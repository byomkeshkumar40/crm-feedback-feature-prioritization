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Raw Feedback" sheetId="2" state="visible" r:id="rId2"/>
    <sheet name="Cleaned Feedback" sheetId="3" state="visible" r:id="rId3"/>
    <sheet name="Feedback Analysis" sheetId="4" state="visible" r:id="rId4"/>
    <sheet name="Feature Prioritization" sheetId="5" state="visible" r:id="rId5"/>
    <sheet name="RICE Calculations" sheetId="6" state="visible" r:id="rId6"/>
    <sheet name="Product Recommendations" sheetId="7" state="visible" r:id="rId7"/>
  </sheets>
  <definedNames>
    <definedName name="_xlnm._FilterDatabase" localSheetId="1" hidden="1">'Raw Feedback'!$A$1:$L$1501</definedName>
    <definedName name="_xlnm._FilterDatabase" localSheetId="2" hidden="1">'Cleaned Feedback'!$A$1:$O$1501</definedName>
    <definedName name="_xlnm._FilterDatabase" localSheetId="4" hidden="1">'Feature Prioritization'!$A$5:$L$17</definedName>
    <definedName name="_xlnm._FilterDatabase" localSheetId="5" hidden="1">'RICE Calculations'!$A$8:$L$20</definedName>
    <definedName name="_xlnm._FilterDatabase" localSheetId="6" hidden="1">'Product Recommendations'!$A$5:$E$17</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
  </numFmts>
  <fonts count="9">
    <font>
      <name val="Calibri"/>
      <family val="2"/>
      <color theme="1"/>
      <sz val="11"/>
      <scheme val="minor"/>
    </font>
    <font>
      <name val="Calibri"/>
      <b val="1"/>
      <color rgb="00FFFFFF"/>
      <sz val="11"/>
    </font>
    <font>
      <b val="1"/>
      <color rgb="001F3A5F"/>
      <sz val="16"/>
    </font>
    <font>
      <i val="1"/>
      <color rgb="00B42318"/>
      <sz val="10"/>
    </font>
    <font>
      <color rgb="00555555"/>
      <sz val="10"/>
    </font>
    <font>
      <b val="1"/>
      <color rgb="001F3A5F"/>
      <sz val="12"/>
    </font>
    <font>
      <b val="1"/>
    </font>
    <font>
      <b val="1"/>
      <color rgb="002F6FDE"/>
      <sz val="13"/>
    </font>
    <font/>
  </fonts>
  <fills count="5">
    <fill>
      <patternFill/>
    </fill>
    <fill>
      <patternFill patternType="gray125"/>
    </fill>
    <fill>
      <patternFill patternType="solid">
        <fgColor rgb="001F3A5F"/>
      </patternFill>
    </fill>
    <fill>
      <patternFill patternType="solid">
        <fgColor rgb="00FFF4D6"/>
      </patternFill>
    </fill>
    <fill>
      <patternFill patternType="solid">
        <fgColor rgb="00E3F2E8"/>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6" fillId="0" borderId="1" pivotButton="0" quotePrefix="0" xfId="0"/>
    <xf numFmtId="3" fontId="7" fillId="0" borderId="1" pivotButton="0" quotePrefix="0" xfId="0"/>
    <xf numFmtId="166" fontId="7" fillId="0" borderId="1" pivotButton="0" quotePrefix="0" xfId="0"/>
    <xf numFmtId="0" fontId="0" fillId="0" borderId="1" pivotButton="0" quotePrefix="0" xfId="0"/>
    <xf numFmtId="0" fontId="6" fillId="0" borderId="0" pivotButton="0" quotePrefix="0" xfId="0"/>
    <xf numFmtId="0" fontId="8" fillId="0" borderId="0" pivotButton="0" quotePrefix="0" xfId="0"/>
    <xf numFmtId="165" fontId="0" fillId="0" borderId="0" pivotButton="0" quotePrefix="0" xfId="0"/>
    <xf numFmtId="166" fontId="0" fillId="0" borderId="1" pivotButton="0" quotePrefix="0" xfId="0"/>
    <xf numFmtId="0" fontId="0" fillId="0" borderId="1" applyAlignment="1" pivotButton="0" quotePrefix="0" xfId="0">
      <alignment vertical="top" wrapText="1"/>
    </xf>
    <xf numFmtId="0" fontId="0" fillId="3" borderId="0" pivotButton="0" quotePrefix="0" xfId="0"/>
    <xf numFmtId="0" fontId="0" fillId="4" borderId="0" pivotButton="0" quotePrefix="0" xfId="0"/>
    <xf numFmtId="0" fontId="0" fillId="4" borderId="1" applyAlignment="1" pivotButton="0" quotePrefix="0" xfId="0">
      <alignment vertical="top" wrapText="1"/>
    </xf>
    <xf numFmtId="0" fontId="0" fillId="3" borderId="1" applyAlignment="1" pivotButton="0" quotePrefix="0" xfId="0">
      <alignment vertical="top" wrapText="1"/>
    </xf>
    <xf numFmtId="2" fontId="0" fillId="3"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48" customWidth="1" min="1" max="1"/>
    <col width="22" customWidth="1" min="2" max="2"/>
    <col width="34" customWidth="1" min="3" max="3"/>
  </cols>
  <sheetData>
    <row r="1">
      <c r="A1" s="1" t="inlineStr">
        <is>
          <t>CRM Customer Feedback Analysis &amp; Feature Prioritization</t>
        </is>
      </c>
    </row>
    <row r="2">
      <c r="A2" s="2" t="inlineStr">
        <is>
          <t>SYNTHETIC DATA — all records are randomly generated for a fictional CRM company; no real customers.</t>
        </is>
      </c>
    </row>
    <row r="3">
      <c r="A3" s="3" t="inlineStr">
        <is>
          <t>Executive summary — fictional B2B SaaS CRM, 12-month window (Oct 2025 – Sep 2026)</t>
        </is>
      </c>
    </row>
    <row r="5">
      <c r="A5" s="4" t="inlineStr">
        <is>
          <t>KPI</t>
        </is>
      </c>
      <c r="B5" s="4" t="inlineStr">
        <is>
          <t>Value</t>
        </is>
      </c>
    </row>
    <row r="6">
      <c r="A6" s="5" t="inlineStr">
        <is>
          <t>Total feedback records</t>
        </is>
      </c>
      <c r="B6" s="6">
        <f>COUNTA('Cleaned Feedback'!$A$2:$A$1501)</f>
        <v/>
      </c>
    </row>
    <row r="7">
      <c r="A7" s="5" t="inlineStr">
        <is>
          <t>Unique customers (static)</t>
        </is>
      </c>
      <c r="B7" s="6" t="n">
        <v>326</v>
      </c>
    </row>
    <row r="8">
      <c r="A8" s="5" t="inlineStr">
        <is>
          <t>Negative feedback %</t>
        </is>
      </c>
      <c r="B8" s="7">
        <f>COUNTIF('Cleaned Feedback'!$J$2:$J$1501,"Negative")/COUNTA('Cleaned Feedback'!$A$2:$A$1501)</f>
        <v/>
      </c>
    </row>
    <row r="9">
      <c r="A9" s="5" t="inlineStr">
        <is>
          <t>High/Critical severity %</t>
        </is>
      </c>
      <c r="B9" s="7">
        <f>(COUNTIF('Cleaned Feedback'!$K$2:$K$1501,"High")+COUNTIF('Cleaned Feedback'!$K$2:$K$1501,"Critical"))/COUNTA('Cleaned Feedback'!$A$2:$A$1501)</f>
        <v/>
      </c>
    </row>
    <row r="10">
      <c r="A10" s="5" t="inlineStr">
        <is>
          <t>Feature requests</t>
        </is>
      </c>
      <c r="B10" s="6">
        <f>COUNTIF('Cleaned Feedback'!$H$2:$H$1501,"Feature Request")</f>
        <v/>
      </c>
    </row>
    <row r="13">
      <c r="A13" s="4" t="inlineStr">
        <is>
          <t>Top 3 RICE priorities</t>
        </is>
      </c>
      <c r="B13" s="4" t="inlineStr">
        <is>
          <t>RICE Score</t>
        </is>
      </c>
      <c r="C13" s="4" t="inlineStr">
        <is>
          <t>Recommendation</t>
        </is>
      </c>
    </row>
    <row r="14">
      <c r="A14" s="8">
        <f>INDEX('RICE Calculations'!$B$9:$B$20,MATCH(1,'RICE Calculations'!$J$9:$J$20,0))</f>
        <v/>
      </c>
      <c r="B14" s="8">
        <f>INDEX('RICE Calculations'!$I$9:$I$20,MATCH(1,'RICE Calculations'!$J$9:$J$20,0))</f>
        <v/>
      </c>
      <c r="C14" s="8" t="inlineStr">
        <is>
          <t>Build now (next planning cycle)</t>
        </is>
      </c>
    </row>
    <row r="15">
      <c r="A15" s="8">
        <f>INDEX('RICE Calculations'!$B$9:$B$20,MATCH(2,'RICE Calculations'!$J$9:$J$20,0))</f>
        <v/>
      </c>
      <c r="B15" s="8">
        <f>INDEX('RICE Calculations'!$I$9:$I$20,MATCH(2,'RICE Calculations'!$J$9:$J$20,0))</f>
        <v/>
      </c>
      <c r="C15" s="8" t="inlineStr">
        <is>
          <t>Build now (next planning cycle)</t>
        </is>
      </c>
    </row>
    <row r="16">
      <c r="A16" s="8">
        <f>INDEX('RICE Calculations'!$B$9:$B$20,MATCH(3,'RICE Calculations'!$J$9:$J$20,0))</f>
        <v/>
      </c>
      <c r="B16" s="8">
        <f>INDEX('RICE Calculations'!$I$9:$I$20,MATCH(3,'RICE Calculations'!$J$9:$J$20,0))</f>
        <v/>
      </c>
      <c r="C16" s="8" t="inlineStr">
        <is>
          <t>Build now (next planning cycle)</t>
        </is>
      </c>
    </row>
    <row r="19">
      <c r="A19" s="9" t="inlineStr">
        <is>
          <t>Observed (synthetic data):</t>
        </is>
      </c>
    </row>
    <row r="20">
      <c r="A20" s="10" t="inlineStr">
        <is>
          <t>• 1,500 records from 326 of 420 accounts (77.6%).</t>
        </is>
      </c>
    </row>
    <row r="21">
      <c r="A21" s="10" t="inlineStr">
        <is>
          <t>• Most-reported complaint theme: Unreliable contact imports (102 records, 86 accounts).</t>
        </is>
      </c>
    </row>
    <row r="22">
      <c r="A22" s="10" t="inlineStr">
        <is>
          <t>• Largest feature area by volume: Workflow Automation (301 records).</t>
        </is>
      </c>
    </row>
    <row r="23">
      <c r="A23" s="10" t="inlineStr">
        <is>
          <t>Interpretation: volume reflects reports, not prevalence; the 420-account base is the only denominator.</t>
        </is>
      </c>
    </row>
    <row r="24">
      <c r="A24" s="10" t="inlineStr">
        <is>
          <t>Hypothesis: fixing top-ranked reliability issues (import, workflow monitoring) may reduce support load — to be validated.</t>
        </is>
      </c>
    </row>
    <row r="25">
      <c r="A25" s="10" t="inlineStr">
        <is>
          <t>Limitations: synthetic data, estimated Impact/Confidence/Effort, RICE ranks are not objective facts.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01"/>
  <sheetViews>
    <sheetView showGridLines="1" workbookViewId="0">
      <pane ySplit="1" topLeftCell="A2" activePane="bottomLeft" state="frozen"/>
      <selection pane="bottomLeft" activeCell="A1" sqref="A1"/>
    </sheetView>
  </sheetViews>
  <sheetFormatPr baseColWidth="8" defaultRowHeight="15"/>
  <cols>
    <col width="11" customWidth="1" min="1" max="1"/>
    <col width="11" customWidth="1" min="2" max="2"/>
    <col width="13" customWidth="1" min="3" max="3"/>
    <col width="16" customWidth="1" min="4" max="4"/>
    <col width="14" customWidth="1" min="5" max="5"/>
    <col width="15" customWidth="1" min="6" max="6"/>
    <col width="20" customWidth="1" min="7" max="7"/>
    <col width="18" customWidth="1" min="8" max="8"/>
    <col width="80" customWidth="1" min="9" max="9"/>
    <col width="11" customWidth="1" min="10" max="10"/>
    <col width="10" customWidth="1" min="11" max="11"/>
    <col width="22" customWidth="1" min="12" max="12"/>
  </cols>
  <sheetData>
    <row r="1">
      <c r="A1" s="4" t="inlineStr">
        <is>
          <t>feedback_id</t>
        </is>
      </c>
      <c r="B1" s="4" t="inlineStr">
        <is>
          <t>customer_id</t>
        </is>
      </c>
      <c r="C1" s="4" t="inlineStr">
        <is>
          <t>submission_date</t>
        </is>
      </c>
      <c r="D1" s="4" t="inlineStr">
        <is>
          <t>feedback_source</t>
        </is>
      </c>
      <c r="E1" s="4" t="inlineStr">
        <is>
          <t>subscription_plan</t>
        </is>
      </c>
      <c r="F1" s="4" t="inlineStr">
        <is>
          <t>customer_segment</t>
        </is>
      </c>
      <c r="G1" s="4" t="inlineStr">
        <is>
          <t>feature_area</t>
        </is>
      </c>
      <c r="H1" s="4" t="inlineStr">
        <is>
          <t>feedback_category</t>
        </is>
      </c>
      <c r="I1" s="4" t="inlineStr">
        <is>
          <t>feedback_text</t>
        </is>
      </c>
      <c r="J1" s="4" t="inlineStr">
        <is>
          <t>sentiment</t>
        </is>
      </c>
      <c r="K1" s="4" t="inlineStr">
        <is>
          <t>severity</t>
        </is>
      </c>
      <c r="L1" s="4" t="inlineStr">
        <is>
          <t>customer_impact</t>
        </is>
      </c>
    </row>
    <row r="2">
      <c r="A2" t="inlineStr">
        <is>
          <t>FB-00001</t>
        </is>
      </c>
      <c r="B2" t="inlineStr">
        <is>
          <t>CUST-0152</t>
        </is>
      </c>
      <c r="C2" t="inlineStr">
        <is>
          <t>2025-10-01</t>
        </is>
      </c>
      <c r="D2" t="inlineStr">
        <is>
          <t>Support Ticket</t>
        </is>
      </c>
      <c r="E2" t="inlineStr">
        <is>
          <t>Enterprise</t>
        </is>
      </c>
      <c r="F2" t="inlineStr">
        <is>
          <t>Enterprise</t>
        </is>
      </c>
      <c r="G2" t="inlineStr">
        <is>
          <t>Integrations</t>
        </is>
      </c>
      <c r="H2" t="inlineStr">
        <is>
          <t>Integration Issue</t>
        </is>
      </c>
      <c r="I2" t="inlineStr">
        <is>
          <t>Frustrated with this one. Webhook delivery is unreliable and there is no retry or log we can inspect. Support suggested logging it here.</t>
        </is>
      </c>
      <c r="J2" t="inlineStr">
        <is>
          <t>Negative</t>
        </is>
      </c>
      <c r="K2" t="inlineStr">
        <is>
          <t>High</t>
        </is>
      </c>
      <c r="L2" t="inlineStr">
        <is>
          <t>Workflow Slowdown</t>
        </is>
      </c>
    </row>
    <row r="3">
      <c r="A3" t="inlineStr">
        <is>
          <t>FB-00002</t>
        </is>
      </c>
      <c r="B3" t="inlineStr">
        <is>
          <t>CUST-0157</t>
        </is>
      </c>
      <c r="C3" t="inlineStr">
        <is>
          <t>2025-10-01</t>
        </is>
      </c>
      <c r="D3" t="inlineStr">
        <is>
          <t>Support Ticket</t>
        </is>
      </c>
      <c r="E3" t="inlineStr">
        <is>
          <t>Starter</t>
        </is>
      </c>
      <c r="F3" t="inlineStr">
        <is>
          <t>SMB</t>
        </is>
      </c>
      <c r="G3" t="inlineStr">
        <is>
          <t>User Interface</t>
        </is>
      </c>
      <c r="H3" t="inlineStr">
        <is>
          <t>Performance Issue</t>
        </is>
      </c>
      <c r="I3" t="inlineStr">
        <is>
          <t>Our team keeps running into this. Since the redesign there is more slow page transitions on older laptops. It happens about 30 times a week for our team of 34. Support suggested logging it here.</t>
        </is>
      </c>
      <c r="J3" t="inlineStr">
        <is>
          <t>NEGATIVE</t>
        </is>
      </c>
      <c r="K3" t="inlineStr">
        <is>
          <t>High</t>
        </is>
      </c>
      <c r="L3" t="inlineStr">
        <is>
          <t>Workflow Slowdown</t>
        </is>
      </c>
    </row>
    <row r="4">
      <c r="A4" t="inlineStr">
        <is>
          <t>FB-00003</t>
        </is>
      </c>
      <c r="B4" t="inlineStr">
        <is>
          <t>CUST-0025</t>
        </is>
      </c>
      <c r="C4" t="inlineStr">
        <is>
          <t>2025-10-02</t>
        </is>
      </c>
      <c r="D4" t="inlineStr">
        <is>
          <t>Support Ticket</t>
        </is>
      </c>
      <c r="E4" t="inlineStr">
        <is>
          <t>Enterprise</t>
        </is>
      </c>
      <c r="F4" t="inlineStr">
        <is>
          <t>Enterprise</t>
        </is>
      </c>
      <c r="G4" t="inlineStr">
        <is>
          <t>Integrations</t>
        </is>
      </c>
      <c r="H4" t="inlineStr">
        <is>
          <t>Integration Issue</t>
        </is>
      </c>
      <c r="I4" t="inlineStr">
        <is>
          <t>Frustrated with this one. After the token expires, Gmail sync stops with no warning. Our RevOps lead flagged it while onboarding 6 new users.</t>
        </is>
      </c>
      <c r="J4" t="inlineStr">
        <is>
          <t>Negative</t>
        </is>
      </c>
      <c r="K4" t="inlineStr">
        <is>
          <t>Low</t>
        </is>
      </c>
      <c r="L4" t="inlineStr">
        <is>
          <t>Minor Inconvenience</t>
        </is>
      </c>
    </row>
    <row r="5">
      <c r="A5" t="inlineStr">
        <is>
          <t>FB-00004</t>
        </is>
      </c>
      <c r="B5" t="inlineStr">
        <is>
          <t>CUST-0027</t>
        </is>
      </c>
      <c r="C5" t="inlineStr">
        <is>
          <t>2025-10-02</t>
        </is>
      </c>
      <c r="D5" t="inlineStr">
        <is>
          <t>Support Ticket</t>
        </is>
      </c>
      <c r="E5" t="inlineStr">
        <is>
          <t>Professional</t>
        </is>
      </c>
      <c r="F5" t="inlineStr">
        <is>
          <t>SMB</t>
        </is>
      </c>
      <c r="G5" t="inlineStr">
        <is>
          <t>Contact Management</t>
        </is>
      </c>
      <c r="H5" t="inlineStr">
        <is>
          <t>Bug</t>
        </is>
      </c>
      <c r="I5" t="inlineStr">
        <is>
          <t>The contact CSV import rejects files with accented characters in names. We estimate we lose roughly 26 hours a month on this. Is there a workaround?</t>
        </is>
      </c>
      <c r="J5" t="inlineStr">
        <is>
          <t>Negative</t>
        </is>
      </c>
      <c r="K5" t="inlineStr">
        <is>
          <t>Medium</t>
        </is>
      </c>
      <c r="L5" t="inlineStr">
        <is>
          <t>Blocks Key Task</t>
        </is>
      </c>
    </row>
    <row r="6">
      <c r="A6" t="inlineStr">
        <is>
          <t>FB-00005</t>
        </is>
      </c>
      <c r="B6" t="inlineStr">
        <is>
          <t>CUST-0003</t>
        </is>
      </c>
      <c r="C6" t="inlineStr">
        <is>
          <t>2025-10-03</t>
        </is>
      </c>
      <c r="D6" t="inlineStr">
        <is>
          <t>Support Ticket</t>
        </is>
      </c>
      <c r="E6" t="inlineStr">
        <is>
          <t>Starter</t>
        </is>
      </c>
      <c r="F6" t="inlineStr">
        <is>
          <t>Mid-Market</t>
        </is>
      </c>
      <c r="G6" t="inlineStr">
        <is>
          <t>User Interface</t>
        </is>
      </c>
      <c r="H6" t="inlineStr">
        <is>
          <t>Usability Issue</t>
        </is>
      </c>
      <c r="I6" t="inlineStr">
        <is>
          <t>Raising this again after our last business review. Too many clicks to reach common screens because of the settings navigation. So far 50 people on our side have reported it.</t>
        </is>
      </c>
      <c r="J6" t="inlineStr">
        <is>
          <t>Negative</t>
        </is>
      </c>
      <c r="K6" t="inlineStr">
        <is>
          <t>Low</t>
        </is>
      </c>
      <c r="L6" t="inlineStr">
        <is>
          <t>Minor Inconvenience</t>
        </is>
      </c>
    </row>
    <row r="7">
      <c r="A7" t="inlineStr">
        <is>
          <t>FB-00006</t>
        </is>
      </c>
      <c r="B7" t="inlineStr">
        <is>
          <t>CUST-0021</t>
        </is>
      </c>
      <c r="C7" t="inlineStr">
        <is>
          <t>2025-10-03</t>
        </is>
      </c>
      <c r="D7" t="inlineStr">
        <is>
          <t>In-App Feedback</t>
        </is>
      </c>
      <c r="E7" t="inlineStr">
        <is>
          <t>Professional</t>
        </is>
      </c>
      <c r="F7" t="inlineStr">
        <is>
          <t>Mid-Market</t>
        </is>
      </c>
      <c r="G7" t="inlineStr">
        <is>
          <t>Workflow Automation</t>
        </is>
      </c>
      <c r="H7" t="inlineStr">
        <is>
          <t>Bug</t>
        </is>
      </c>
      <c r="I7" t="inlineStr">
        <is>
          <t>We are hitting workflow failures: emails don't send and nobody gets notified. It affects our renewal process every cycle.</t>
        </is>
      </c>
      <c r="J7" t="inlineStr">
        <is>
          <t>Neutral</t>
        </is>
      </c>
      <c r="K7" t="inlineStr">
        <is>
          <t>Medium</t>
        </is>
      </c>
      <c r="L7" t="inlineStr">
        <is>
          <t>Minor Inconvenience</t>
        </is>
      </c>
    </row>
    <row r="8">
      <c r="A8" t="inlineStr">
        <is>
          <t>FB-00007</t>
        </is>
      </c>
      <c r="B8" t="inlineStr">
        <is>
          <t>CUST-0060</t>
        </is>
      </c>
      <c r="C8" t="inlineStr">
        <is>
          <t>2025-10-04</t>
        </is>
      </c>
      <c r="D8" t="inlineStr">
        <is>
          <t>In-App Feedback</t>
        </is>
      </c>
      <c r="E8" t="inlineStr">
        <is>
          <t>Starter</t>
        </is>
      </c>
      <c r="F8" t="inlineStr">
        <is>
          <t>SMB</t>
        </is>
      </c>
      <c r="G8" t="inlineStr">
        <is>
          <t>User Interface</t>
        </is>
      </c>
      <c r="H8" t="inlineStr">
        <is>
          <t>Usability Issue</t>
        </is>
      </c>
      <c r="I8" t="inlineStr">
        <is>
          <t>Noting this during onboarding. The navigation menu is cluttered and I can never find the setting I need. We estimate we lose roughly 32 hours a month on this.</t>
        </is>
      </c>
      <c r="J8" t="inlineStr">
        <is>
          <t>Neutral</t>
        </is>
      </c>
      <c r="K8" t="inlineStr">
        <is>
          <t>High</t>
        </is>
      </c>
      <c r="L8" t="inlineStr">
        <is>
          <t>Revenue/Operations Risk</t>
        </is>
      </c>
    </row>
    <row r="9">
      <c r="A9" t="inlineStr">
        <is>
          <t>FB-00008</t>
        </is>
      </c>
      <c r="B9" t="inlineStr">
        <is>
          <t>CUST-0139</t>
        </is>
      </c>
      <c r="C9" t="inlineStr">
        <is>
          <t>2025-10-04</t>
        </is>
      </c>
      <c r="D9" t="inlineStr">
        <is>
          <t>Feature Request</t>
        </is>
      </c>
      <c r="E9" t="inlineStr">
        <is>
          <t>Professional</t>
        </is>
      </c>
      <c r="F9" t="inlineStr">
        <is>
          <t>Mid-Market</t>
        </is>
      </c>
      <c r="G9" t="inlineStr">
        <is>
          <t>Lead Management</t>
        </is>
      </c>
      <c r="H9" t="inlineStr">
        <is>
          <t>Feature Request</t>
        </is>
      </c>
      <c r="I9" t="inlineStr">
        <is>
          <t>Overall we like the product. Right now reps rank leads by gut feel; automated lead scoring would fix that. Happy to beta test.</t>
        </is>
      </c>
      <c r="J9" t="inlineStr">
        <is>
          <t>Positive</t>
        </is>
      </c>
      <c r="K9" t="inlineStr">
        <is>
          <t>High</t>
        </is>
      </c>
      <c r="L9" t="inlineStr">
        <is>
          <t>Workflow Slowdown</t>
        </is>
      </c>
    </row>
    <row r="10">
      <c r="A10" t="inlineStr">
        <is>
          <t>FB-00009</t>
        </is>
      </c>
      <c r="B10" t="inlineStr">
        <is>
          <t>CUST-0036</t>
        </is>
      </c>
      <c r="C10" t="inlineStr">
        <is>
          <t>2025-10-04</t>
        </is>
      </c>
      <c r="D10" t="inlineStr">
        <is>
          <t>Customer Survey</t>
        </is>
      </c>
      <c r="E10" t="inlineStr">
        <is>
          <t>Starter</t>
        </is>
      </c>
      <c r="F10" t="inlineStr">
        <is>
          <t>SMB</t>
        </is>
      </c>
      <c r="G10" t="inlineStr">
        <is>
          <t>Lead Management</t>
        </is>
      </c>
      <c r="H10" t="inlineStr">
        <is>
          <t>USABILITY ISSUE</t>
        </is>
      </c>
      <c r="I10" t="inlineStr">
        <is>
          <t>Frustrated with this one. Setting up lead routing rules takes too many steps and the options don't cover territories. We estimate we lose roughly 58 hours a month on this. We need a fix before renewal.</t>
        </is>
      </c>
      <c r="J10" t="inlineStr">
        <is>
          <t>Negative</t>
        </is>
      </c>
      <c r="K10" t="inlineStr">
        <is>
          <t>Low</t>
        </is>
      </c>
      <c r="L10" t="inlineStr">
        <is>
          <t>Minor Inconvenience</t>
        </is>
      </c>
    </row>
    <row r="11">
      <c r="A11" t="inlineStr">
        <is>
          <t>FB-00010</t>
        </is>
      </c>
      <c r="B11" t="inlineStr">
        <is>
          <t>CUST-0269</t>
        </is>
      </c>
      <c r="C11" t="inlineStr">
        <is>
          <t>2025-10-04</t>
        </is>
      </c>
      <c r="D11" t="inlineStr">
        <is>
          <t>Feature Request</t>
        </is>
      </c>
      <c r="E11" t="inlineStr">
        <is>
          <t>Professional</t>
        </is>
      </c>
      <c r="F11" t="inlineStr">
        <is>
          <t>SMB</t>
        </is>
      </c>
      <c r="G11" t="inlineStr">
        <is>
          <t>Reporting</t>
        </is>
      </c>
      <c r="H11" t="inlineStr">
        <is>
          <t>Bug</t>
        </is>
      </c>
      <c r="I11" t="inlineStr">
        <is>
          <t>FYI for the product team. Our Excel export drops formatting and shows dates as numbers. So far 65 people on our side have reported it.</t>
        </is>
      </c>
      <c r="J11" t="inlineStr">
        <is>
          <t>Neutral</t>
        </is>
      </c>
      <c r="K11" t="inlineStr">
        <is>
          <t>High</t>
        </is>
      </c>
      <c r="L11" t="inlineStr">
        <is>
          <t>Blocks Key Task</t>
        </is>
      </c>
    </row>
    <row r="12">
      <c r="A12" t="inlineStr">
        <is>
          <t>FB-00011</t>
        </is>
      </c>
      <c r="B12" t="inlineStr">
        <is>
          <t>CUST-0313</t>
        </is>
      </c>
      <c r="C12" t="inlineStr">
        <is>
          <t>2025-10-05</t>
        </is>
      </c>
      <c r="D12" t="inlineStr">
        <is>
          <t>Support Ticket</t>
        </is>
      </c>
      <c r="E12" t="inlineStr">
        <is>
          <t>Starter</t>
        </is>
      </c>
      <c r="F12" t="inlineStr">
        <is>
          <t>SMB</t>
        </is>
      </c>
      <c r="G12" t="inlineStr">
        <is>
          <t>Reporting</t>
        </is>
      </c>
      <c r="H12" t="inlineStr">
        <is>
          <t>Performance Issue</t>
        </is>
      </c>
      <c r="I12" t="inlineStr">
        <is>
          <t>Raising this again after our last business review. Our dashboard loading spins for a minute before showing any chart. It happens about 20 times a week for our team of 111. Is there a workaround?</t>
        </is>
      </c>
      <c r="J12" t="inlineStr">
        <is>
          <t>Negative</t>
        </is>
      </c>
      <c r="K12" t="inlineStr">
        <is>
          <t>Medium</t>
        </is>
      </c>
      <c r="L12" t="inlineStr">
        <is>
          <t>Blocks Key Task</t>
        </is>
      </c>
    </row>
    <row r="13">
      <c r="A13" t="inlineStr">
        <is>
          <t>FB-00012</t>
        </is>
      </c>
      <c r="B13" t="inlineStr">
        <is>
          <t>CUST-0404</t>
        </is>
      </c>
      <c r="C13" t="inlineStr">
        <is>
          <t>2025-10-05</t>
        </is>
      </c>
      <c r="D13" t="inlineStr">
        <is>
          <t>In-App Feedback</t>
        </is>
      </c>
      <c r="E13" t="inlineStr">
        <is>
          <t>Starter</t>
        </is>
      </c>
      <c r="F13" t="inlineStr">
        <is>
          <t>SMB</t>
        </is>
      </c>
      <c r="G13" t="inlineStr">
        <is>
          <t>Reporting</t>
        </is>
      </c>
      <c r="H13" t="inlineStr">
        <is>
          <t>Feature Request</t>
        </is>
      </c>
      <c r="I13" t="inlineStr">
        <is>
          <t>Quick note from our admin. We need a custom report builder so non-technical managers can create their own views. Our finance analyst flagged it while onboarding 34 new users. Let us know if you need examples.</t>
        </is>
      </c>
      <c r="J13" t="inlineStr">
        <is>
          <t>Neutral</t>
        </is>
      </c>
      <c r="K13" t="inlineStr">
        <is>
          <t>Low</t>
        </is>
      </c>
      <c r="L13" t="inlineStr">
        <is>
          <t>Minor Inconvenience</t>
        </is>
      </c>
    </row>
    <row r="14">
      <c r="A14" t="inlineStr">
        <is>
          <t>FB-00013</t>
        </is>
      </c>
      <c r="B14" t="inlineStr">
        <is>
          <t>CUST-0303</t>
        </is>
      </c>
      <c r="C14" t="inlineStr">
        <is>
          <t>2025-10-05</t>
        </is>
      </c>
      <c r="D14" t="inlineStr">
        <is>
          <t>Customer Survey</t>
        </is>
      </c>
      <c r="E14" t="inlineStr">
        <is>
          <t>Professional</t>
        </is>
      </c>
      <c r="F14" t="inlineStr">
        <is>
          <t>Enterprise</t>
        </is>
      </c>
      <c r="G14" t="inlineStr">
        <is>
          <t>Workflow Automation</t>
        </is>
      </c>
      <c r="H14" t="inlineStr">
        <is>
          <t>Feature Request</t>
        </is>
      </c>
      <c r="I14" t="inlineStr">
        <is>
          <t>Noting this during onboarding. Competitors ship automation recipes; we are rebuilding the same flows from scratch. So far 36 people on our side have reported it. Let us know if you need examples.</t>
        </is>
      </c>
      <c r="J14" t="inlineStr">
        <is>
          <t>Neutral</t>
        </is>
      </c>
      <c r="K14" t="inlineStr">
        <is>
          <t>Medium</t>
        </is>
      </c>
      <c r="L14" t="inlineStr">
        <is>
          <t>Workflow Slowdown</t>
        </is>
      </c>
    </row>
    <row r="15">
      <c r="A15" t="inlineStr">
        <is>
          <t>FB-00014</t>
        </is>
      </c>
      <c r="B15" t="inlineStr">
        <is>
          <t>CUST-0322</t>
        </is>
      </c>
      <c r="C15" t="inlineStr">
        <is>
          <t>2025-10-05</t>
        </is>
      </c>
      <c r="D15" t="inlineStr">
        <is>
          <t>In-App Feedback</t>
        </is>
      </c>
      <c r="E15" t="inlineStr">
        <is>
          <t>Starter</t>
        </is>
      </c>
      <c r="F15" t="inlineStr">
        <is>
          <t>SMB</t>
        </is>
      </c>
      <c r="G15" t="inlineStr">
        <is>
          <t>Integrations</t>
        </is>
      </c>
      <c r="H15" t="inlineStr">
        <is>
          <t>Feature Request</t>
        </is>
      </c>
      <c r="I15" t="inlineStr">
        <is>
          <t>Recent updates have been a nice improvement. Please build a native Slack integration; our team copies data across systems daily. We estimate we lose roughly 38 hours a month on this. Keep up the good work.</t>
        </is>
      </c>
      <c r="J15" t="inlineStr">
        <is>
          <t>Positive</t>
        </is>
      </c>
      <c r="K15" t="inlineStr">
        <is>
          <t xml:space="preserve">Low </t>
        </is>
      </c>
      <c r="L15" t="inlineStr">
        <is>
          <t>Minor Inconvenience</t>
        </is>
      </c>
    </row>
    <row r="16">
      <c r="A16" t="inlineStr">
        <is>
          <t>FB-00015</t>
        </is>
      </c>
      <c r="B16" t="inlineStr">
        <is>
          <t>CUST-0132</t>
        </is>
      </c>
      <c r="C16" t="inlineStr">
        <is>
          <t>2025-10-06</t>
        </is>
      </c>
      <c r="D16" t="inlineStr">
        <is>
          <t>Feature Request</t>
        </is>
      </c>
      <c r="E16" t="inlineStr">
        <is>
          <t>Starter</t>
        </is>
      </c>
      <c r="F16" t="inlineStr">
        <is>
          <t>SMB</t>
        </is>
      </c>
      <c r="G16" t="inlineStr">
        <is>
          <t>Reporting</t>
        </is>
      </c>
      <c r="H16" t="inlineStr">
        <is>
          <t>Feature Request</t>
        </is>
      </c>
      <c r="I16" t="inlineStr">
        <is>
          <t>Sharing this from our team. Requesting a custom report builder so leadership gets numbers without logging in. Happy to join a feedback call.</t>
        </is>
      </c>
      <c r="J16" t="inlineStr">
        <is>
          <t>Neutral</t>
        </is>
      </c>
      <c r="K16" t="inlineStr">
        <is>
          <t>Low</t>
        </is>
      </c>
      <c r="L16" t="inlineStr">
        <is>
          <t>Workflow Slowdown</t>
        </is>
      </c>
    </row>
    <row r="17">
      <c r="A17" t="inlineStr">
        <is>
          <t>FB-00016</t>
        </is>
      </c>
      <c r="B17" t="inlineStr">
        <is>
          <t>CUST-0420</t>
        </is>
      </c>
      <c r="C17" t="inlineStr">
        <is>
          <t>2025-10-07</t>
        </is>
      </c>
      <c r="D17" t="inlineStr">
        <is>
          <t>In-App Feedback</t>
        </is>
      </c>
      <c r="E17" t="inlineStr">
        <is>
          <t>Enterprise</t>
        </is>
      </c>
      <c r="F17" t="inlineStr">
        <is>
          <t>Enterprise</t>
        </is>
      </c>
      <c r="G17" t="inlineStr">
        <is>
          <t>Workflow Automation</t>
        </is>
      </c>
      <c r="H17" t="inlineStr">
        <is>
          <t>Usability Issue</t>
        </is>
      </c>
      <c r="I17" t="inlineStr">
        <is>
          <t>Happy with most of the product. Our new admins struggle with the workflow editor; there is no guidance or validation. Our finance analyst flagged it while onboarding 43 new users. Keep up the good work.</t>
        </is>
      </c>
      <c r="J17" t="inlineStr">
        <is>
          <t>Positive</t>
        </is>
      </c>
      <c r="K17" t="inlineStr">
        <is>
          <t>Medium</t>
        </is>
      </c>
      <c r="L17" t="inlineStr">
        <is>
          <t>Workflow Slowdown</t>
        </is>
      </c>
    </row>
    <row r="18">
      <c r="A18" t="inlineStr">
        <is>
          <t>FB-00017</t>
        </is>
      </c>
      <c r="B18" t="inlineStr">
        <is>
          <t>CUST-0200</t>
        </is>
      </c>
      <c r="C18" t="inlineStr">
        <is>
          <t>2025-10-07</t>
        </is>
      </c>
      <c r="D18" t="inlineStr">
        <is>
          <t>In-App Feedback</t>
        </is>
      </c>
      <c r="E18" t="inlineStr">
        <is>
          <t>Professional</t>
        </is>
      </c>
      <c r="F18" t="inlineStr">
        <is>
          <t>Mid-Market</t>
        </is>
      </c>
      <c r="G18" t="inlineStr">
        <is>
          <t>Lead Management</t>
        </is>
      </c>
      <c r="H18" t="inlineStr">
        <is>
          <t>Bug</t>
        </is>
      </c>
      <c r="I18" t="inlineStr">
        <is>
          <t>After every list import we find duplicate lead records that have to be cleaned up by hand. It happens about 8 times a week for our team of 3. Is there a workaround?</t>
        </is>
      </c>
      <c r="J18" t="inlineStr">
        <is>
          <t>Negative</t>
        </is>
      </c>
      <c r="K18" t="inlineStr">
        <is>
          <t>Critical</t>
        </is>
      </c>
      <c r="L18" t="inlineStr">
        <is>
          <t>Revenue/Operations Risk</t>
        </is>
      </c>
    </row>
    <row r="19">
      <c r="A19" t="inlineStr">
        <is>
          <t>FB-00018</t>
        </is>
      </c>
      <c r="B19" t="inlineStr">
        <is>
          <t>CUST-0217</t>
        </is>
      </c>
      <c r="C19" t="inlineStr">
        <is>
          <t>2025-10-07</t>
        </is>
      </c>
      <c r="D19" t="inlineStr">
        <is>
          <t>Customer Survey</t>
        </is>
      </c>
      <c r="E19" t="inlineStr">
        <is>
          <t>Starter</t>
        </is>
      </c>
      <c r="F19" t="inlineStr">
        <is>
          <t>Mid-Market</t>
        </is>
      </c>
      <c r="G19" t="inlineStr">
        <is>
          <t>Lead Management</t>
        </is>
      </c>
      <c r="H19" t="inlineStr">
        <is>
          <t>Feature Request</t>
        </is>
      </c>
      <c r="I19" t="inlineStr">
        <is>
          <t>Please add a lead score model based on engagement, company size and recent activity. So far 97 people on our side have reported it.</t>
        </is>
      </c>
      <c r="J19" t="inlineStr">
        <is>
          <t>Neutral</t>
        </is>
      </c>
      <c r="K19" t="inlineStr">
        <is>
          <t>Low</t>
        </is>
      </c>
      <c r="L19" t="inlineStr">
        <is>
          <t>Workflow Slowdown</t>
        </is>
      </c>
    </row>
    <row r="20">
      <c r="A20" t="inlineStr">
        <is>
          <t>FB-00019</t>
        </is>
      </c>
      <c r="B20" t="inlineStr">
        <is>
          <t>CUST-0234</t>
        </is>
      </c>
      <c r="C20" t="inlineStr">
        <is>
          <t>2025-10-07</t>
        </is>
      </c>
      <c r="D20" t="inlineStr">
        <is>
          <t>In-App Feedback</t>
        </is>
      </c>
      <c r="E20" t="inlineStr">
        <is>
          <t>Enterprise</t>
        </is>
      </c>
      <c r="F20" t="inlineStr">
        <is>
          <t>SMB</t>
        </is>
      </c>
      <c r="G20" t="inlineStr">
        <is>
          <t>User Interface</t>
        </is>
      </c>
      <c r="H20" t="inlineStr">
        <is>
          <t>Performance Issue</t>
        </is>
      </c>
      <c r="I20" t="inlineStr">
        <is>
          <t>FYI for the product team. Since the redesign there is more UI freezing on older laptops.</t>
        </is>
      </c>
      <c r="J20" t="inlineStr">
        <is>
          <t>Neutral</t>
        </is>
      </c>
      <c r="K20" t="inlineStr">
        <is>
          <t>Medium</t>
        </is>
      </c>
      <c r="L20" t="inlineStr">
        <is>
          <t>Minor Inconvenience</t>
        </is>
      </c>
    </row>
    <row r="21">
      <c r="A21" t="inlineStr">
        <is>
          <t>FB-00020</t>
        </is>
      </c>
      <c r="B21" t="inlineStr">
        <is>
          <t>CUST-0139</t>
        </is>
      </c>
      <c r="C21" t="inlineStr">
        <is>
          <t>2025-10-07</t>
        </is>
      </c>
      <c r="D21" t="inlineStr">
        <is>
          <t>Feature Request</t>
        </is>
      </c>
      <c r="E21" t="inlineStr">
        <is>
          <t>Professional</t>
        </is>
      </c>
      <c r="F21" t="inlineStr">
        <is>
          <t>Mid-Market</t>
        </is>
      </c>
      <c r="G21" t="inlineStr">
        <is>
          <t>Workflow Automation</t>
        </is>
      </c>
      <c r="H21" t="inlineStr">
        <is>
          <t>Feature Request</t>
        </is>
      </c>
      <c r="I21" t="inlineStr">
        <is>
          <t>Recent updates have been a nice improvement. Competitors ship prebuilt automations; we are rebuilding the same flows from scratch. It happens about 12 times a week for our team of 22.</t>
        </is>
      </c>
      <c r="J21" t="inlineStr">
        <is>
          <t>Positive</t>
        </is>
      </c>
      <c r="K21" t="inlineStr">
        <is>
          <t>Low</t>
        </is>
      </c>
      <c r="L21" t="inlineStr">
        <is>
          <t>Workflow Slowdown</t>
        </is>
      </c>
    </row>
    <row r="22">
      <c r="A22" t="inlineStr">
        <is>
          <t>FB-00021</t>
        </is>
      </c>
      <c r="B22" t="inlineStr">
        <is>
          <t>CUST-0420</t>
        </is>
      </c>
      <c r="C22" t="inlineStr">
        <is>
          <t>2025-10-08</t>
        </is>
      </c>
      <c r="D22" t="inlineStr">
        <is>
          <t>Feature Request</t>
        </is>
      </c>
      <c r="E22" t="inlineStr">
        <is>
          <t>Enterprise</t>
        </is>
      </c>
      <c r="F22" t="inlineStr">
        <is>
          <t>Enterprise</t>
        </is>
      </c>
      <c r="G22" t="inlineStr">
        <is>
          <t>Workflow Automation</t>
        </is>
      </c>
      <c r="H22" t="inlineStr">
        <is>
          <t>Feature Request</t>
        </is>
      </c>
      <c r="I22" t="inlineStr">
        <is>
          <t>Sharing this from our team. A library of workflow templates would cut our setup time. Let us know if you need examples.</t>
        </is>
      </c>
      <c r="J22" t="inlineStr">
        <is>
          <t>Neutral</t>
        </is>
      </c>
      <c r="K22" t="inlineStr">
        <is>
          <t>Low</t>
        </is>
      </c>
      <c r="L22" t="inlineStr">
        <is>
          <t>Minor Inconvenience</t>
        </is>
      </c>
    </row>
    <row r="23">
      <c r="A23" t="inlineStr">
        <is>
          <t>FB-00022</t>
        </is>
      </c>
      <c r="B23" t="inlineStr">
        <is>
          <t>CUST-0286</t>
        </is>
      </c>
      <c r="C23" t="inlineStr">
        <is>
          <t>2025-10-08</t>
        </is>
      </c>
      <c r="D23" t="inlineStr">
        <is>
          <t>In-App Feedback</t>
        </is>
      </c>
      <c r="E23" t="inlineStr">
        <is>
          <t>Enterprise</t>
        </is>
      </c>
      <c r="F23" t="inlineStr">
        <is>
          <t>Enterprise</t>
        </is>
      </c>
      <c r="G23" t="inlineStr">
        <is>
          <t>Reporting</t>
        </is>
      </c>
      <c r="H23" t="inlineStr">
        <is>
          <t>Performance Issue</t>
        </is>
      </c>
      <c r="I23" t="inlineStr">
        <is>
          <t>Not what we expected for the price. Report load time got noticeably worse over the last few months. It affects our lead handoff process every cycle. Please look into it soon.</t>
        </is>
      </c>
      <c r="J23" t="inlineStr">
        <is>
          <t>Negative</t>
        </is>
      </c>
      <c r="K23" t="inlineStr">
        <is>
          <t>Medium</t>
        </is>
      </c>
      <c r="L23" t="inlineStr">
        <is>
          <t>Workflow Slowdown</t>
        </is>
      </c>
    </row>
    <row r="24">
      <c r="A24" t="inlineStr">
        <is>
          <t>FB-00023</t>
        </is>
      </c>
      <c r="B24" t="inlineStr">
        <is>
          <t>CUST-0140</t>
        </is>
      </c>
      <c r="C24" t="inlineStr">
        <is>
          <t>2025-10-08</t>
        </is>
      </c>
      <c r="D24" t="inlineStr">
        <is>
          <t>Customer Survey</t>
        </is>
      </c>
      <c r="E24" t="inlineStr">
        <is>
          <t>Professional</t>
        </is>
      </c>
      <c r="F24" t="inlineStr">
        <is>
          <t>Mid-Market</t>
        </is>
      </c>
      <c r="G24" t="inlineStr">
        <is>
          <t>Workflow Automation</t>
        </is>
      </c>
      <c r="H24" t="inlineStr">
        <is>
          <t>Bug</t>
        </is>
      </c>
      <c r="I24" t="inlineStr">
        <is>
          <t>Our team keeps running into this. Several workflow failures left deals stuck in the wrong stage. Our customer success lead flagged it while onboarding 34 new users. We need a fix before renewal.</t>
        </is>
      </c>
      <c r="J24" t="inlineStr">
        <is>
          <t>Negative</t>
        </is>
      </c>
      <c r="K24" t="inlineStr">
        <is>
          <t>Critical</t>
        </is>
      </c>
      <c r="L24" t="inlineStr">
        <is>
          <t>Blocks Key Task</t>
        </is>
      </c>
    </row>
    <row r="25">
      <c r="A25" t="inlineStr">
        <is>
          <t>FB-00024</t>
        </is>
      </c>
      <c r="B25" t="inlineStr">
        <is>
          <t>CUST-0007</t>
        </is>
      </c>
      <c r="C25" t="inlineStr">
        <is>
          <t>2025-10-08</t>
        </is>
      </c>
      <c r="D25" t="inlineStr">
        <is>
          <t>Support Ticket</t>
        </is>
      </c>
      <c r="E25" t="inlineStr">
        <is>
          <t>Professional</t>
        </is>
      </c>
      <c r="F25" t="inlineStr">
        <is>
          <t>SMB</t>
        </is>
      </c>
      <c r="G25" t="inlineStr">
        <is>
          <t>Integrations</t>
        </is>
      </c>
      <c r="H25" t="inlineStr">
        <is>
          <t>Integration Issue</t>
        </is>
      </c>
      <c r="I25" t="inlineStr">
        <is>
          <t>This has been a recurring problem for us. The Outlook calendar sync duplicates meetings and misses replies. It affects our month-end reporting process every cycle. We need a fix before renewal.</t>
        </is>
      </c>
      <c r="J25" t="inlineStr">
        <is>
          <t>Negative</t>
        </is>
      </c>
      <c r="K25" t="inlineStr">
        <is>
          <t xml:space="preserve">High </t>
        </is>
      </c>
      <c r="L25" t="inlineStr">
        <is>
          <t>Blocks Key Task</t>
        </is>
      </c>
    </row>
    <row r="26">
      <c r="A26" t="inlineStr">
        <is>
          <t>FB-00025</t>
        </is>
      </c>
      <c r="B26" t="inlineStr">
        <is>
          <t>CUST-0174</t>
        </is>
      </c>
      <c r="C26" t="inlineStr">
        <is>
          <t>2025-10-09</t>
        </is>
      </c>
      <c r="D26" t="inlineStr">
        <is>
          <t>In-App Feedback</t>
        </is>
      </c>
      <c r="E26" t="inlineStr">
        <is>
          <t>Professional</t>
        </is>
      </c>
      <c r="F26" t="inlineStr">
        <is>
          <t>Mid-Market</t>
        </is>
      </c>
      <c r="G26" t="inlineStr">
        <is>
          <t>Lead Management</t>
        </is>
      </c>
      <c r="H26" t="inlineStr">
        <is>
          <t>Feature Request</t>
        </is>
      </c>
      <c r="I26" t="inlineStr">
        <is>
          <t>We need automated lead scoring so reps can focus on the prospects most likely to close. It happens about 32 times a week for our team of 67. Let us know if you need examples.</t>
        </is>
      </c>
      <c r="J26" t="inlineStr">
        <is>
          <t>Neutral</t>
        </is>
      </c>
      <c r="K26" t="inlineStr">
        <is>
          <t>Low</t>
        </is>
      </c>
      <c r="L26" t="inlineStr">
        <is>
          <t>Workflow Slowdown</t>
        </is>
      </c>
    </row>
    <row r="27">
      <c r="A27" t="inlineStr">
        <is>
          <t>FB-00026</t>
        </is>
      </c>
      <c r="B27" t="inlineStr">
        <is>
          <t>CUST-0249</t>
        </is>
      </c>
      <c r="C27" t="inlineStr">
        <is>
          <t>2025-10-09</t>
        </is>
      </c>
      <c r="D27" t="inlineStr">
        <is>
          <t>Customer Survey</t>
        </is>
      </c>
      <c r="E27" t="inlineStr">
        <is>
          <t>Starter</t>
        </is>
      </c>
      <c r="F27" t="inlineStr">
        <is>
          <t>SMB</t>
        </is>
      </c>
      <c r="G27" t="inlineStr">
        <is>
          <t>User Interface</t>
        </is>
      </c>
      <c r="H27" t="inlineStr">
        <is>
          <t>Feature Request</t>
        </is>
      </c>
      <c r="I27" t="inlineStr">
        <is>
          <t>We lose notes whenever reps are away from a desk without mobile call logging. Let us know if you need examples.</t>
        </is>
      </c>
      <c r="J27" t="inlineStr">
        <is>
          <t>Neutral</t>
        </is>
      </c>
      <c r="K27" t="inlineStr">
        <is>
          <t>Low</t>
        </is>
      </c>
      <c r="L27" t="inlineStr">
        <is>
          <t>Minor Inconvenience</t>
        </is>
      </c>
    </row>
    <row r="28">
      <c r="A28" t="inlineStr">
        <is>
          <t>FB-00027</t>
        </is>
      </c>
      <c r="B28" t="inlineStr">
        <is>
          <t>CUST-0222</t>
        </is>
      </c>
      <c r="C28" t="inlineStr">
        <is>
          <t>2025-10-09</t>
        </is>
      </c>
      <c r="D28" t="inlineStr">
        <is>
          <t>Feature Request</t>
        </is>
      </c>
      <c r="E28" t="inlineStr">
        <is>
          <t>Professional</t>
        </is>
      </c>
      <c r="F28" t="inlineStr">
        <is>
          <t>Mid-Market</t>
        </is>
      </c>
      <c r="G28" t="inlineStr">
        <is>
          <t>Workflow Automation</t>
        </is>
      </c>
      <c r="H28" t="inlineStr">
        <is>
          <t>Feature Request</t>
        </is>
      </c>
      <c r="I28" t="inlineStr">
        <is>
          <t>Requesting approval steps; today approvals happen over chat. It happens about 22 times a week for our team of 74. Happy to beta test.</t>
        </is>
      </c>
      <c r="J28" t="inlineStr">
        <is>
          <t>Positive</t>
        </is>
      </c>
      <c r="K28" t="inlineStr">
        <is>
          <t>Low</t>
        </is>
      </c>
      <c r="L28" t="inlineStr">
        <is>
          <t>Minor Inconvenience</t>
        </is>
      </c>
    </row>
    <row r="29">
      <c r="A29" t="inlineStr">
        <is>
          <t>FB-00028</t>
        </is>
      </c>
      <c r="B29" t="inlineStr">
        <is>
          <t>CUST-0277</t>
        </is>
      </c>
      <c r="C29" t="inlineStr">
        <is>
          <t>09-Oct-2025</t>
        </is>
      </c>
      <c r="D29" t="inlineStr">
        <is>
          <t>Customer Survey</t>
        </is>
      </c>
      <c r="E29" t="inlineStr">
        <is>
          <t>Professional</t>
        </is>
      </c>
      <c r="F29" t="inlineStr">
        <is>
          <t>Mid-Market</t>
        </is>
      </c>
      <c r="G29" t="inlineStr">
        <is>
          <t>Workflow Automation</t>
        </is>
      </c>
      <c r="H29" t="inlineStr">
        <is>
          <t>Feature Request</t>
        </is>
      </c>
      <c r="I29" t="inlineStr">
        <is>
          <t>We'd adopt automation faster with prebuilt automations we could customize. We estimate we lose roughly 34 hours a month on this. Let us know if you need examples.</t>
        </is>
      </c>
      <c r="J29" t="inlineStr">
        <is>
          <t>Neutral</t>
        </is>
      </c>
      <c r="K29" t="inlineStr">
        <is>
          <t>Medium</t>
        </is>
      </c>
      <c r="L29" t="inlineStr">
        <is>
          <t>Blocks Key Task</t>
        </is>
      </c>
    </row>
    <row r="30">
      <c r="A30" t="inlineStr">
        <is>
          <t>FB-00029</t>
        </is>
      </c>
      <c r="B30" t="inlineStr">
        <is>
          <t>CUST-0116</t>
        </is>
      </c>
      <c r="C30" t="inlineStr">
        <is>
          <t>2025-10-09</t>
        </is>
      </c>
      <c r="D30" t="inlineStr">
        <is>
          <t>Support Ticket</t>
        </is>
      </c>
      <c r="E30" t="inlineStr">
        <is>
          <t>Professional</t>
        </is>
      </c>
      <c r="F30" t="inlineStr">
        <is>
          <t>SMB</t>
        </is>
      </c>
      <c r="G30" t="inlineStr">
        <is>
          <t>Lead Management</t>
        </is>
      </c>
      <c r="H30" t="inlineStr">
        <is>
          <t>Bug</t>
        </is>
      </c>
      <c r="I30" t="inlineStr">
        <is>
          <t>Quick note from our admin. There are duplicate lead records across our pipeline views and nobody knows which record is the source of truth.</t>
        </is>
      </c>
      <c r="J30" t="inlineStr">
        <is>
          <t>Neutral</t>
        </is>
      </c>
      <c r="K30" t="inlineStr">
        <is>
          <t>Medium</t>
        </is>
      </c>
      <c r="L30" t="inlineStr">
        <is>
          <t>Workflow Slowdown</t>
        </is>
      </c>
    </row>
    <row r="31">
      <c r="A31" t="inlineStr">
        <is>
          <t>FB-00030</t>
        </is>
      </c>
      <c r="B31" t="inlineStr">
        <is>
          <t>CUST-0087</t>
        </is>
      </c>
      <c r="C31" t="inlineStr">
        <is>
          <t>2025-10-10</t>
        </is>
      </c>
      <c r="D31" t="inlineStr">
        <is>
          <t>Support Ticket</t>
        </is>
      </c>
      <c r="E31" t="inlineStr">
        <is>
          <t>Professional</t>
        </is>
      </c>
      <c r="F31" t="inlineStr">
        <is>
          <t>SMB</t>
        </is>
      </c>
      <c r="G31" t="inlineStr">
        <is>
          <t>Reporting</t>
        </is>
      </c>
      <c r="H31" t="inlineStr">
        <is>
          <t>Bug</t>
        </is>
      </c>
      <c r="I31" t="inlineStr">
        <is>
          <t>Feedback from our monthly review. Finance can't rely on the Excel export; totals don't match the screen. Our admin flagged it while onboarding 36 new users. Let us know if you need examples.</t>
        </is>
      </c>
      <c r="J31" t="inlineStr">
        <is>
          <t>Neutral</t>
        </is>
      </c>
      <c r="K31" t="inlineStr">
        <is>
          <t>Medium</t>
        </is>
      </c>
      <c r="L31" t="inlineStr">
        <is>
          <t>Workflow Slowdown</t>
        </is>
      </c>
    </row>
    <row r="32">
      <c r="A32" t="inlineStr">
        <is>
          <t>FB-00031</t>
        </is>
      </c>
      <c r="B32" t="inlineStr">
        <is>
          <t>CUST-0390</t>
        </is>
      </c>
      <c r="C32" t="inlineStr">
        <is>
          <t>2025-10-10</t>
        </is>
      </c>
      <c r="D32" t="inlineStr">
        <is>
          <t>Feature Request</t>
        </is>
      </c>
      <c r="E32" t="inlineStr">
        <is>
          <t>Professional</t>
        </is>
      </c>
      <c r="F32" t="inlineStr">
        <is>
          <t>Mid-Market</t>
        </is>
      </c>
      <c r="G32" t="inlineStr">
        <is>
          <t>Contact Management</t>
        </is>
      </c>
      <c r="H32" t="inlineStr">
        <is>
          <t>Feature Request</t>
        </is>
      </c>
      <c r="I32" t="inlineStr">
        <is>
          <t>Sharing this from our team. Please extend a contact relationship hierarchy; the current limit is too small for our use case. It happens about 27 times a week for our team of 68.</t>
        </is>
      </c>
      <c r="J32" t="inlineStr">
        <is>
          <t>Neutral</t>
        </is>
      </c>
      <c r="K32" t="inlineStr">
        <is>
          <t>Low</t>
        </is>
      </c>
      <c r="L32" t="inlineStr">
        <is>
          <t>Minor Inconvenience</t>
        </is>
      </c>
    </row>
    <row r="33">
      <c r="A33" t="inlineStr">
        <is>
          <t>FB-00032</t>
        </is>
      </c>
      <c r="B33" t="inlineStr">
        <is>
          <t>CUST-0276</t>
        </is>
      </c>
      <c r="C33" t="inlineStr">
        <is>
          <t>2025-10-11</t>
        </is>
      </c>
      <c r="D33" t="inlineStr">
        <is>
          <t>Customer Survey</t>
        </is>
      </c>
      <c r="E33" t="inlineStr">
        <is>
          <t>Professional</t>
        </is>
      </c>
      <c r="F33" t="inlineStr">
        <is>
          <t>SMB</t>
        </is>
      </c>
      <c r="G33" t="inlineStr">
        <is>
          <t>Lead Management</t>
        </is>
      </c>
      <c r="H33" t="inlineStr">
        <is>
          <t>Feature Request</t>
        </is>
      </c>
      <c r="I33" t="inlineStr">
        <is>
          <t>Sharing this from our team. We need lead scoring rules so reps can focus on the prospects most likely to close. Let us know if you need examples.</t>
        </is>
      </c>
      <c r="J33" t="inlineStr">
        <is>
          <t>Neutral</t>
        </is>
      </c>
      <c r="K33" t="inlineStr">
        <is>
          <t>Low</t>
        </is>
      </c>
      <c r="L33" t="inlineStr">
        <is>
          <t>Minor Inconvenience</t>
        </is>
      </c>
    </row>
    <row r="34">
      <c r="A34" t="inlineStr">
        <is>
          <t>FB-00033</t>
        </is>
      </c>
      <c r="B34" t="inlineStr">
        <is>
          <t>CUST-0314</t>
        </is>
      </c>
      <c r="C34" t="inlineStr">
        <is>
          <t>2025-10-11</t>
        </is>
      </c>
      <c r="D34" t="inlineStr">
        <is>
          <t>Feature Request</t>
        </is>
      </c>
      <c r="E34" t="inlineStr">
        <is>
          <t>Enterprise</t>
        </is>
      </c>
      <c r="F34" t="inlineStr">
        <is>
          <t>Mid-Market</t>
        </is>
      </c>
      <c r="G34" t="inlineStr">
        <is>
          <t>Contact Management</t>
        </is>
      </c>
      <c r="H34" t="inlineStr">
        <is>
          <t>Feature Request</t>
        </is>
      </c>
      <c r="I34" t="inlineStr">
        <is>
          <t>Recent updates have been a nice improvement. Is there any plan for contact de-duplication tooling? Merging one record at a time is not realistic. It affects our lead handoff process every cycle.</t>
        </is>
      </c>
      <c r="J34" t="inlineStr">
        <is>
          <t>Positive</t>
        </is>
      </c>
      <c r="K34" t="inlineStr">
        <is>
          <t>Medium</t>
        </is>
      </c>
      <c r="L34" t="inlineStr">
        <is>
          <t>Blocks Key Task</t>
        </is>
      </c>
    </row>
    <row r="35">
      <c r="A35" t="inlineStr">
        <is>
          <t>FB-00034</t>
        </is>
      </c>
      <c r="B35" t="inlineStr">
        <is>
          <t>CUST-0086</t>
        </is>
      </c>
      <c r="C35" t="inlineStr">
        <is>
          <t>2025-10-12</t>
        </is>
      </c>
      <c r="D35" t="inlineStr">
        <is>
          <t>In-App Feedback</t>
        </is>
      </c>
      <c r="E35" t="inlineStr">
        <is>
          <t>Enterprise</t>
        </is>
      </c>
      <c r="F35" t="inlineStr">
        <is>
          <t>Enterprise</t>
        </is>
      </c>
      <c r="G35" t="inlineStr">
        <is>
          <t>Workflow Automation</t>
        </is>
      </c>
      <c r="H35" t="inlineStr">
        <is>
          <t>Bug</t>
        </is>
      </c>
      <c r="I35" t="inlineStr">
        <is>
          <t>We found automation misfires only because a customer complained. Is there a workaround?</t>
        </is>
      </c>
      <c r="J35" t="inlineStr">
        <is>
          <t>Negative</t>
        </is>
      </c>
      <c r="K35" t="inlineStr">
        <is>
          <t>High</t>
        </is>
      </c>
      <c r="L35" t="inlineStr">
        <is>
          <t>Blocks Key Task</t>
        </is>
      </c>
    </row>
    <row r="36">
      <c r="A36" t="inlineStr">
        <is>
          <t>FB-00035</t>
        </is>
      </c>
      <c r="B36" t="inlineStr">
        <is>
          <t>CUST-0262</t>
        </is>
      </c>
      <c r="C36" t="inlineStr">
        <is>
          <t>2025-10-13</t>
        </is>
      </c>
      <c r="D36" t="inlineStr">
        <is>
          <t>In-App Feedback</t>
        </is>
      </c>
      <c r="E36" t="inlineStr">
        <is>
          <t>Professional</t>
        </is>
      </c>
      <c r="F36" t="inlineStr">
        <is>
          <t>Mid-Market</t>
        </is>
      </c>
      <c r="G36" t="inlineStr">
        <is>
          <t>Workflow Automation</t>
        </is>
      </c>
      <c r="H36" t="inlineStr">
        <is>
          <t>Bug</t>
        </is>
      </c>
      <c r="I36" t="inlineStr">
        <is>
          <t>This has been a recurring problem for us. We found automation misfires only because a customer complained. So far 54 people on our side have reported it. Is there a workaround?</t>
        </is>
      </c>
      <c r="J36" t="inlineStr">
        <is>
          <t>Negative</t>
        </is>
      </c>
      <c r="K36" t="inlineStr">
        <is>
          <t>Low</t>
        </is>
      </c>
      <c r="L36" t="inlineStr">
        <is>
          <t>Blocks Key Task</t>
        </is>
      </c>
    </row>
    <row r="37">
      <c r="A37" t="inlineStr">
        <is>
          <t>FB-00036</t>
        </is>
      </c>
      <c r="B37" t="inlineStr">
        <is>
          <t>CUST-0352</t>
        </is>
      </c>
      <c r="C37" t="inlineStr">
        <is>
          <t>2025-10-13</t>
        </is>
      </c>
      <c r="D37" t="inlineStr">
        <is>
          <t>In-App Feedback</t>
        </is>
      </c>
      <c r="E37" t="inlineStr">
        <is>
          <t>Starter</t>
        </is>
      </c>
      <c r="F37" t="inlineStr">
        <is>
          <t>SMB</t>
        </is>
      </c>
      <c r="G37" t="inlineStr">
        <is>
          <t>Integrations</t>
        </is>
      </c>
      <c r="H37" t="inlineStr">
        <is>
          <t>Feature Request</t>
        </is>
      </c>
      <c r="I37" t="inlineStr">
        <is>
          <t>Overall we like the product. We would pay for a native accounting integration instead of maintaining Zapier chains. It affects our weekly pipeline review process every cycle. Keep up the good work.</t>
        </is>
      </c>
      <c r="J37" t="inlineStr">
        <is>
          <t>Positive</t>
        </is>
      </c>
      <c r="K37" t="inlineStr">
        <is>
          <t>Medium</t>
        </is>
      </c>
      <c r="L37" t="inlineStr">
        <is>
          <t>Workflow Slowdown</t>
        </is>
      </c>
    </row>
    <row r="38">
      <c r="A38" t="inlineStr">
        <is>
          <t>FB-00037</t>
        </is>
      </c>
      <c r="B38" t="inlineStr">
        <is>
          <t>CUST-0384</t>
        </is>
      </c>
      <c r="C38" t="inlineStr">
        <is>
          <t>2025-10-13</t>
        </is>
      </c>
      <c r="D38" t="inlineStr">
        <is>
          <t>Feature Request</t>
        </is>
      </c>
      <c r="E38" t="inlineStr">
        <is>
          <t>Enterprise</t>
        </is>
      </c>
      <c r="F38" t="inlineStr">
        <is>
          <t>Mid-Market</t>
        </is>
      </c>
      <c r="G38" t="inlineStr">
        <is>
          <t>Integrations</t>
        </is>
      </c>
      <c r="H38" t="inlineStr">
        <is>
          <t>Feature Request</t>
        </is>
      </c>
      <c r="I38" t="inlineStr">
        <is>
          <t>Feedback from our monthly review. Please add SSO support; managing users by hand does not scale.</t>
        </is>
      </c>
      <c r="J38" t="inlineStr">
        <is>
          <t>Neutral</t>
        </is>
      </c>
      <c r="K38" t="inlineStr">
        <is>
          <t>Low</t>
        </is>
      </c>
      <c r="L38" t="inlineStr">
        <is>
          <t>Minor Inconvenience</t>
        </is>
      </c>
    </row>
    <row r="39">
      <c r="A39" t="inlineStr">
        <is>
          <t>FB-00038</t>
        </is>
      </c>
      <c r="B39" t="inlineStr">
        <is>
          <t>CUST-0175</t>
        </is>
      </c>
      <c r="C39" t="inlineStr">
        <is>
          <t>2025-10-13</t>
        </is>
      </c>
      <c r="D39" t="inlineStr">
        <is>
          <t>In-App Feedback</t>
        </is>
      </c>
      <c r="E39" t="inlineStr">
        <is>
          <t>Professional</t>
        </is>
      </c>
      <c r="F39" t="inlineStr">
        <is>
          <t>Mid-Market</t>
        </is>
      </c>
      <c r="G39" t="inlineStr">
        <is>
          <t>Contact Management</t>
        </is>
      </c>
      <c r="H39" t="inlineStr">
        <is>
          <t>Bug</t>
        </is>
      </c>
      <c r="I39" t="inlineStr">
        <is>
          <t>Our team keeps running into this. The spreadsheet import silently skipped rows and we only noticed days later. So far 35 people on our side have reported it. Support suggested logging it here.</t>
        </is>
      </c>
      <c r="J39" t="inlineStr">
        <is>
          <t>Negative</t>
        </is>
      </c>
      <c r="K39" t="inlineStr">
        <is>
          <t>Critical</t>
        </is>
      </c>
      <c r="L39" t="inlineStr">
        <is>
          <t>Revenue/Operations Risk</t>
        </is>
      </c>
    </row>
    <row r="40">
      <c r="A40" t="inlineStr">
        <is>
          <t>FB-00039</t>
        </is>
      </c>
      <c r="B40" t="inlineStr">
        <is>
          <t>CUST-0054</t>
        </is>
      </c>
      <c r="C40" t="inlineStr">
        <is>
          <t>2025-10-14</t>
        </is>
      </c>
      <c r="D40" t="inlineStr">
        <is>
          <t>In-App Feedback</t>
        </is>
      </c>
      <c r="E40" t="inlineStr">
        <is>
          <t>Enterprise</t>
        </is>
      </c>
      <c r="F40" t="inlineStr">
        <is>
          <t>Enterprise</t>
        </is>
      </c>
      <c r="G40" t="inlineStr">
        <is>
          <t>Lead Management</t>
        </is>
      </c>
      <c r="H40" t="inlineStr">
        <is>
          <t>Bug</t>
        </is>
      </c>
      <c r="I40" t="inlineStr">
        <is>
          <t>There are duplicate lead records across our pipeline views and nobody knows which record is the source of truth. So far 8 people on our side have reported it.</t>
        </is>
      </c>
      <c r="J40" t="inlineStr">
        <is>
          <t>Negative</t>
        </is>
      </c>
      <c r="K40" t="inlineStr">
        <is>
          <t>High</t>
        </is>
      </c>
      <c r="L40" t="inlineStr">
        <is>
          <t>Workflow Slowdown</t>
        </is>
      </c>
    </row>
    <row r="41">
      <c r="A41" t="inlineStr">
        <is>
          <t>FB-00040</t>
        </is>
      </c>
      <c r="B41" t="inlineStr">
        <is>
          <t>CUST-0116</t>
        </is>
      </c>
      <c r="C41" t="inlineStr">
        <is>
          <t>2025-10-14</t>
        </is>
      </c>
      <c r="D41" t="inlineStr">
        <is>
          <t>Feature Request</t>
        </is>
      </c>
      <c r="E41" t="inlineStr">
        <is>
          <t>Professional</t>
        </is>
      </c>
      <c r="F41" t="inlineStr">
        <is>
          <t>SMB</t>
        </is>
      </c>
      <c r="G41" t="inlineStr">
        <is>
          <t>Lead Management</t>
        </is>
      </c>
      <c r="H41" t="inlineStr">
        <is>
          <t>Feature Request</t>
        </is>
      </c>
      <c r="I41" t="inlineStr">
        <is>
          <t>Great support experience recently. Would love to see a lead score model that marketing and sales can both tune.</t>
        </is>
      </c>
      <c r="J41" t="inlineStr">
        <is>
          <t>Positive</t>
        </is>
      </c>
      <c r="K41" t="inlineStr">
        <is>
          <t>Low</t>
        </is>
      </c>
      <c r="L41" t="inlineStr">
        <is>
          <t>Blocks Key Task</t>
        </is>
      </c>
    </row>
    <row r="42">
      <c r="A42" t="inlineStr">
        <is>
          <t>FB-00041</t>
        </is>
      </c>
      <c r="B42" t="inlineStr">
        <is>
          <t>CUST-0258</t>
        </is>
      </c>
      <c r="C42" t="inlineStr">
        <is>
          <t>2025-10-14</t>
        </is>
      </c>
      <c r="D42" t="inlineStr">
        <is>
          <t>Support Ticket</t>
        </is>
      </c>
      <c r="E42" t="inlineStr">
        <is>
          <t>Professional</t>
        </is>
      </c>
      <c r="F42" t="inlineStr">
        <is>
          <t>Mid-Market</t>
        </is>
      </c>
      <c r="G42" t="inlineStr">
        <is>
          <t>Reporting</t>
        </is>
      </c>
      <c r="H42" t="inlineStr">
        <is>
          <t>Bug</t>
        </is>
      </c>
      <c r="I42" t="inlineStr">
        <is>
          <t>Our report export drops formatting and shows dates as numbers. We need a fix before renewal.</t>
        </is>
      </c>
      <c r="J42" t="inlineStr">
        <is>
          <t>Negative</t>
        </is>
      </c>
      <c r="K42" t="inlineStr">
        <is>
          <t>Low</t>
        </is>
      </c>
      <c r="L42" t="inlineStr">
        <is>
          <t>Minor Inconvenience</t>
        </is>
      </c>
    </row>
    <row r="43">
      <c r="A43" t="inlineStr">
        <is>
          <t>FB-00042</t>
        </is>
      </c>
      <c r="B43" t="inlineStr">
        <is>
          <t>CUST-0243</t>
        </is>
      </c>
      <c r="C43" t="inlineStr">
        <is>
          <t>14-Oct-2025</t>
        </is>
      </c>
      <c r="D43" t="inlineStr">
        <is>
          <t>Support Ticket</t>
        </is>
      </c>
      <c r="E43" t="inlineStr">
        <is>
          <t>Professional</t>
        </is>
      </c>
      <c r="F43" t="inlineStr">
        <is>
          <t>SMB</t>
        </is>
      </c>
      <c r="G43" t="inlineStr">
        <is>
          <t>Integrations</t>
        </is>
      </c>
      <c r="H43" t="inlineStr">
        <is>
          <t>Integration Issue</t>
        </is>
      </c>
      <c r="I43" t="inlineStr">
        <is>
          <t>Escalating on behalf of our ops lead. API rate limits is unreliable and there is no retry or log we can inspect. Please look into it soon.</t>
        </is>
      </c>
      <c r="J43" t="inlineStr">
        <is>
          <t>Negative</t>
        </is>
      </c>
      <c r="K43" t="inlineStr">
        <is>
          <t>Low</t>
        </is>
      </c>
      <c r="L43" t="inlineStr">
        <is>
          <t>Workflow Slowdown</t>
        </is>
      </c>
    </row>
    <row r="44">
      <c r="A44" t="inlineStr">
        <is>
          <t>FB-00043</t>
        </is>
      </c>
      <c r="B44" t="inlineStr">
        <is>
          <t>CUST-0189</t>
        </is>
      </c>
      <c r="C44" t="inlineStr">
        <is>
          <t>2025-10-14</t>
        </is>
      </c>
      <c r="D44" t="inlineStr">
        <is>
          <t>In-App Feedback</t>
        </is>
      </c>
      <c r="E44" t="inlineStr">
        <is>
          <t>Starter</t>
        </is>
      </c>
      <c r="F44" t="inlineStr">
        <is>
          <t>SMB</t>
        </is>
      </c>
      <c r="G44" t="inlineStr">
        <is>
          <t>Contact Management</t>
        </is>
      </c>
      <c r="H44" t="inlineStr">
        <is>
          <t>Bug</t>
        </is>
      </c>
      <c r="I44" t="inlineStr">
        <is>
          <t>Frustrated with this one. The import field mapping silently skipped rows and we only noticed days later. Our RevOps lead flagged it while onboarding 93 new users. Support suggested logging it here.</t>
        </is>
      </c>
      <c r="J44" t="inlineStr">
        <is>
          <t>Negative</t>
        </is>
      </c>
      <c r="K44" t="inlineStr">
        <is>
          <t>High</t>
        </is>
      </c>
      <c r="L44" t="inlineStr">
        <is>
          <t>Workflow Slowdown</t>
        </is>
      </c>
    </row>
    <row r="45">
      <c r="A45" t="inlineStr">
        <is>
          <t>FB-00044</t>
        </is>
      </c>
      <c r="B45" t="inlineStr">
        <is>
          <t>CUST-0385</t>
        </is>
      </c>
      <c r="C45" t="inlineStr">
        <is>
          <t>2025-10-14</t>
        </is>
      </c>
      <c r="D45" t="inlineStr">
        <is>
          <t>Support Ticket</t>
        </is>
      </c>
      <c r="E45" t="inlineStr">
        <is>
          <t>Starter</t>
        </is>
      </c>
      <c r="F45" t="inlineStr">
        <is>
          <t>SMB</t>
        </is>
      </c>
      <c r="G45" t="inlineStr">
        <is>
          <t>Integrations</t>
        </is>
      </c>
      <c r="H45" t="inlineStr">
        <is>
          <t>Integration Issue</t>
        </is>
      </c>
      <c r="I45" t="inlineStr">
        <is>
          <t>Raising this again after our last business review. After the token expires, Gmail sync stops with no warning. So far 47 people on our side have reported it.</t>
        </is>
      </c>
      <c r="J45" t="inlineStr">
        <is>
          <t>Negative</t>
        </is>
      </c>
      <c r="K45" t="inlineStr">
        <is>
          <t xml:space="preserve"> Medium</t>
        </is>
      </c>
      <c r="L45" t="inlineStr">
        <is>
          <t>Workflow Slowdown</t>
        </is>
      </c>
    </row>
    <row r="46">
      <c r="A46" t="inlineStr">
        <is>
          <t>FB-00045</t>
        </is>
      </c>
      <c r="B46" t="inlineStr">
        <is>
          <t>CUST-0265</t>
        </is>
      </c>
      <c r="C46" t="inlineStr">
        <is>
          <t>2025-10-15</t>
        </is>
      </c>
      <c r="D46" t="inlineStr">
        <is>
          <t>In-App Feedback</t>
        </is>
      </c>
      <c r="E46" t="inlineStr">
        <is>
          <t>Starter</t>
        </is>
      </c>
      <c r="F46" t="inlineStr">
        <is>
          <t>SMB</t>
        </is>
      </c>
      <c r="G46" t="inlineStr">
        <is>
          <t>Lead Management</t>
        </is>
      </c>
      <c r="H46" t="inlineStr">
        <is>
          <t>Performance Issue</t>
        </is>
      </c>
      <c r="I46" t="inlineStr">
        <is>
          <t>Not what we expected for the price. The lead list loading gets very slow once we pass a few thousand open leads. We estimate we lose roughly 56 hours a month on this. We need a fix before renewal.</t>
        </is>
      </c>
      <c r="J46" t="inlineStr">
        <is>
          <t>Negative</t>
        </is>
      </c>
      <c r="K46" t="inlineStr">
        <is>
          <t>High</t>
        </is>
      </c>
      <c r="L46" t="inlineStr">
        <is>
          <t>Blocks Key Task</t>
        </is>
      </c>
    </row>
    <row r="47">
      <c r="A47" t="inlineStr">
        <is>
          <t>FB-00046</t>
        </is>
      </c>
      <c r="B47" t="inlineStr">
        <is>
          <t>CUST-0419</t>
        </is>
      </c>
      <c r="C47" t="inlineStr">
        <is>
          <t>2025-10-15</t>
        </is>
      </c>
      <c r="D47" t="inlineStr">
        <is>
          <t>Feature Request</t>
        </is>
      </c>
      <c r="E47" t="inlineStr">
        <is>
          <t>Starter</t>
        </is>
      </c>
      <c r="F47" t="inlineStr">
        <is>
          <t>SMB</t>
        </is>
      </c>
      <c r="G47" t="inlineStr">
        <is>
          <t>Lead Management</t>
        </is>
      </c>
      <c r="H47" t="inlineStr">
        <is>
          <t>Feature Request</t>
        </is>
      </c>
      <c r="I47" t="inlineStr">
        <is>
          <t>Overall we like the product. Please add a lead score model based on engagement, company size and recent activity. Thanks to the team.</t>
        </is>
      </c>
      <c r="J47" t="inlineStr">
        <is>
          <t>Positive</t>
        </is>
      </c>
      <c r="K47" t="inlineStr">
        <is>
          <t>Low</t>
        </is>
      </c>
      <c r="L47" t="inlineStr">
        <is>
          <t>Minor Inconvenience</t>
        </is>
      </c>
    </row>
    <row r="48">
      <c r="A48" t="inlineStr">
        <is>
          <t>FB-00047</t>
        </is>
      </c>
      <c r="B48" t="inlineStr">
        <is>
          <t>CUST-0035</t>
        </is>
      </c>
      <c r="C48" t="inlineStr">
        <is>
          <t>2025-10-15</t>
        </is>
      </c>
      <c r="D48" t="inlineStr">
        <is>
          <t>Feature Request</t>
        </is>
      </c>
      <c r="E48" t="inlineStr">
        <is>
          <t>Professional</t>
        </is>
      </c>
      <c r="F48" t="inlineStr">
        <is>
          <t>Enterprise</t>
        </is>
      </c>
      <c r="G48" t="inlineStr">
        <is>
          <t>Contact Management</t>
        </is>
      </c>
      <c r="H48" t="inlineStr">
        <is>
          <t>Feature Request</t>
        </is>
      </c>
      <c r="I48" t="inlineStr">
        <is>
          <t>Noting this during onboarding. Is there any plan for a bulk contact merge? Merging one record at a time is not realistic. Happy to join a feedback call.</t>
        </is>
      </c>
      <c r="J48" t="inlineStr">
        <is>
          <t>Neutral</t>
        </is>
      </c>
      <c r="K48" t="inlineStr">
        <is>
          <t>Low</t>
        </is>
      </c>
      <c r="L48" t="inlineStr">
        <is>
          <t>Minor Inconvenience</t>
        </is>
      </c>
    </row>
    <row r="49">
      <c r="A49" t="inlineStr">
        <is>
          <t>FB-00048</t>
        </is>
      </c>
      <c r="B49" t="inlineStr">
        <is>
          <t>CUST-0216</t>
        </is>
      </c>
      <c r="C49" t="inlineStr">
        <is>
          <t>2025-10-15</t>
        </is>
      </c>
      <c r="D49" t="inlineStr">
        <is>
          <t>Support Ticket</t>
        </is>
      </c>
      <c r="E49" t="inlineStr">
        <is>
          <t>Starter</t>
        </is>
      </c>
      <c r="F49" t="inlineStr">
        <is>
          <t>Mid-Market</t>
        </is>
      </c>
      <c r="G49" t="inlineStr">
        <is>
          <t>Integrations</t>
        </is>
      </c>
      <c r="H49" t="inlineStr">
        <is>
          <t>Feature Request</t>
        </is>
      </c>
      <c r="I49" t="inlineStr">
        <is>
          <t>Raising this again after our last business review. We would pay for a native Slack integration instead of maintaining Zapier chains. Support suggested logging it here.</t>
        </is>
      </c>
      <c r="J49" t="inlineStr">
        <is>
          <t>Negative</t>
        </is>
      </c>
      <c r="K49" t="inlineStr">
        <is>
          <t>Low</t>
        </is>
      </c>
      <c r="L49" t="inlineStr">
        <is>
          <t>Blocks Key Task</t>
        </is>
      </c>
    </row>
    <row r="50">
      <c r="A50" t="inlineStr">
        <is>
          <t>FB-00049</t>
        </is>
      </c>
      <c r="B50" t="inlineStr">
        <is>
          <t>CUST-0002</t>
        </is>
      </c>
      <c r="C50" t="inlineStr">
        <is>
          <t>2025-10-15</t>
        </is>
      </c>
      <c r="D50" t="inlineStr">
        <is>
          <t>In-App Feedback</t>
        </is>
      </c>
      <c r="E50" t="inlineStr">
        <is>
          <t>Starter</t>
        </is>
      </c>
      <c r="F50" t="inlineStr">
        <is>
          <t>SMB</t>
        </is>
      </c>
      <c r="G50" t="inlineStr">
        <is>
          <t>Workflow Automation</t>
        </is>
      </c>
      <c r="H50" t="inlineStr">
        <is>
          <t>Usability Issue</t>
        </is>
      </c>
      <c r="I50" t="inlineStr">
        <is>
          <t>Our new admins struggle with the workflow builder; there is no guidance or validation. Please look into it soon.</t>
        </is>
      </c>
      <c r="J50" t="inlineStr">
        <is>
          <t>Negative</t>
        </is>
      </c>
      <c r="K50" t="inlineStr">
        <is>
          <t>Low</t>
        </is>
      </c>
      <c r="L50" t="inlineStr">
        <is>
          <t>Minor Inconvenience</t>
        </is>
      </c>
    </row>
    <row r="51">
      <c r="A51" t="inlineStr">
        <is>
          <t>FB-00050</t>
        </is>
      </c>
      <c r="B51" t="inlineStr">
        <is>
          <t>CUST-0265</t>
        </is>
      </c>
      <c r="C51" t="inlineStr">
        <is>
          <t>2025-10-16</t>
        </is>
      </c>
      <c r="D51" t="inlineStr">
        <is>
          <t>Support Ticket</t>
        </is>
      </c>
      <c r="E51" t="inlineStr">
        <is>
          <t>starter</t>
        </is>
      </c>
      <c r="F51" t="inlineStr">
        <is>
          <t>SMB</t>
        </is>
      </c>
      <c r="G51" t="inlineStr">
        <is>
          <t>User Interface</t>
        </is>
      </c>
      <c r="H51" t="inlineStr">
        <is>
          <t>Performance Issue</t>
        </is>
      </c>
      <c r="I51" t="inlineStr">
        <is>
          <t>Quick note from our admin. The page lag gets worse in the afternoon. Our customer success lead flagged it while onboarding 72 new users. Let us know if you need examples.</t>
        </is>
      </c>
      <c r="J51" t="inlineStr">
        <is>
          <t>Neutral</t>
        </is>
      </c>
      <c r="K51" t="inlineStr">
        <is>
          <t>Medium</t>
        </is>
      </c>
      <c r="L51" t="inlineStr">
        <is>
          <t>Workflow Slowdown</t>
        </is>
      </c>
    </row>
    <row r="52">
      <c r="A52" t="inlineStr">
        <is>
          <t>FB-00051</t>
        </is>
      </c>
      <c r="B52" t="inlineStr">
        <is>
          <t>CUST-0402</t>
        </is>
      </c>
      <c r="C52" t="inlineStr">
        <is>
          <t>2025-10-16</t>
        </is>
      </c>
      <c r="D52" t="inlineStr">
        <is>
          <t xml:space="preserve">In-App Feedback </t>
        </is>
      </c>
      <c r="E52" t="inlineStr">
        <is>
          <t>Professional</t>
        </is>
      </c>
      <c r="F52" t="inlineStr">
        <is>
          <t>Mid-Market</t>
        </is>
      </c>
      <c r="G52" t="inlineStr">
        <is>
          <t>user interface</t>
        </is>
      </c>
      <c r="H52" t="inlineStr">
        <is>
          <t>Feature Request</t>
        </is>
      </c>
      <c r="I52" t="inlineStr">
        <is>
          <t>Sharing this from our team. Please add bulk actions on lists; changing records one at a time wastes hours. It happens about 28 times a week for our team of 43. Happy to join a feedback call.</t>
        </is>
      </c>
      <c r="J52" t="inlineStr">
        <is>
          <t>Neutral</t>
        </is>
      </c>
      <c r="K52" t="inlineStr">
        <is>
          <t>Low</t>
        </is>
      </c>
      <c r="L52" t="inlineStr">
        <is>
          <t>Minor Inconvenience</t>
        </is>
      </c>
    </row>
    <row r="53">
      <c r="A53" t="inlineStr">
        <is>
          <t>FB-00052</t>
        </is>
      </c>
      <c r="B53" t="inlineStr">
        <is>
          <t>CUST-0248</t>
        </is>
      </c>
      <c r="C53" t="inlineStr">
        <is>
          <t>2025-10-16</t>
        </is>
      </c>
      <c r="D53" t="inlineStr">
        <is>
          <t>Support Ticket</t>
        </is>
      </c>
      <c r="E53" t="inlineStr">
        <is>
          <t>Starter</t>
        </is>
      </c>
      <c r="F53" t="inlineStr">
        <is>
          <t>SMB</t>
        </is>
      </c>
      <c r="G53" t="inlineStr">
        <is>
          <t>User Interface</t>
        </is>
      </c>
      <c r="H53" t="inlineStr">
        <is>
          <t>Usability Issue</t>
        </is>
      </c>
      <c r="I53" t="inlineStr">
        <is>
          <t>New hires get lost in the navigation menu; it takes weeks to learn. Please look into it soon.</t>
        </is>
      </c>
      <c r="J53" t="inlineStr">
        <is>
          <t>Negative</t>
        </is>
      </c>
      <c r="K53" t="inlineStr">
        <is>
          <t>Medium</t>
        </is>
      </c>
      <c r="L53" t="inlineStr">
        <is>
          <t>Workflow Slowdown</t>
        </is>
      </c>
    </row>
    <row r="54">
      <c r="A54" t="inlineStr">
        <is>
          <t>FB-00053</t>
        </is>
      </c>
      <c r="B54" t="inlineStr">
        <is>
          <t>CUST-0284</t>
        </is>
      </c>
      <c r="C54" t="inlineStr">
        <is>
          <t>2025-10-16</t>
        </is>
      </c>
      <c r="D54" t="inlineStr">
        <is>
          <t>Feature Request</t>
        </is>
      </c>
      <c r="E54" t="inlineStr">
        <is>
          <t>Enterprise</t>
        </is>
      </c>
      <c r="F54" t="inlineStr">
        <is>
          <t>Enterprise</t>
        </is>
      </c>
      <c r="G54" t="inlineStr">
        <is>
          <t>User Interface</t>
        </is>
      </c>
      <c r="H54" t="inlineStr">
        <is>
          <t>Feature Request</t>
        </is>
      </c>
      <c r="I54" t="inlineStr">
        <is>
          <t>Happy with most of the product. Requesting offline mobile access so reps can log activity right after a meeting. Keep up the good work.</t>
        </is>
      </c>
      <c r="J54" t="inlineStr">
        <is>
          <t>Positive</t>
        </is>
      </c>
      <c r="K54" t="inlineStr">
        <is>
          <t>Low</t>
        </is>
      </c>
      <c r="L54" t="inlineStr">
        <is>
          <t>Minor Inconvenience</t>
        </is>
      </c>
    </row>
    <row r="55">
      <c r="A55" t="inlineStr">
        <is>
          <t>FB-00054</t>
        </is>
      </c>
      <c r="B55" t="inlineStr">
        <is>
          <t>CUST-0229</t>
        </is>
      </c>
      <c r="C55" t="inlineStr">
        <is>
          <t>2025-10-16</t>
        </is>
      </c>
      <c r="D55" t="inlineStr">
        <is>
          <t>Customer Survey</t>
        </is>
      </c>
      <c r="E55" t="inlineStr">
        <is>
          <t>Starter</t>
        </is>
      </c>
      <c r="F55" t="inlineStr">
        <is>
          <t>Mid-Market</t>
        </is>
      </c>
      <c r="G55" t="inlineStr">
        <is>
          <t>Lead Management</t>
        </is>
      </c>
      <c r="H55" t="inlineStr">
        <is>
          <t>Feature Request</t>
        </is>
      </c>
      <c r="I55" t="inlineStr">
        <is>
          <t>Quick note from our admin. Right now reps rank leads by gut feel; a lead score model would fix that.</t>
        </is>
      </c>
      <c r="J55" t="inlineStr">
        <is>
          <t>Neutral</t>
        </is>
      </c>
      <c r="K55" t="inlineStr">
        <is>
          <t>Medium</t>
        </is>
      </c>
      <c r="L55" t="inlineStr">
        <is>
          <t>Workflow Slowdown</t>
        </is>
      </c>
    </row>
    <row r="56">
      <c r="A56" t="inlineStr">
        <is>
          <t>FB-00055</t>
        </is>
      </c>
      <c r="B56" t="inlineStr">
        <is>
          <t>CUST-0082</t>
        </is>
      </c>
      <c r="C56" t="inlineStr">
        <is>
          <t>2025-10-16</t>
        </is>
      </c>
      <c r="D56" t="inlineStr">
        <is>
          <t>Customer Survey</t>
        </is>
      </c>
      <c r="E56" t="inlineStr">
        <is>
          <t>Starter</t>
        </is>
      </c>
      <c r="F56" t="inlineStr">
        <is>
          <t>SMB</t>
        </is>
      </c>
      <c r="G56" t="inlineStr">
        <is>
          <t>Contact Management</t>
        </is>
      </c>
      <c r="H56" t="inlineStr">
        <is>
          <t>Bug</t>
        </is>
      </c>
      <c r="I56" t="inlineStr">
        <is>
          <t>The import field mapping rejects files with accented characters in names. We estimate we lose roughly 20 hours a month on this. We need a fix before renewal.</t>
        </is>
      </c>
      <c r="J56" t="inlineStr">
        <is>
          <t>negative</t>
        </is>
      </c>
      <c r="K56" t="inlineStr">
        <is>
          <t>Low</t>
        </is>
      </c>
      <c r="L56" t="inlineStr">
        <is>
          <t>Workflow Slowdown</t>
        </is>
      </c>
    </row>
    <row r="57">
      <c r="A57" t="inlineStr">
        <is>
          <t>FB-00056</t>
        </is>
      </c>
      <c r="B57" t="inlineStr">
        <is>
          <t>CUST-0187</t>
        </is>
      </c>
      <c r="C57" t="inlineStr">
        <is>
          <t>2025-10-17</t>
        </is>
      </c>
      <c r="D57" t="inlineStr">
        <is>
          <t>Feature Request</t>
        </is>
      </c>
      <c r="E57" t="inlineStr">
        <is>
          <t>Enterprise</t>
        </is>
      </c>
      <c r="F57" t="inlineStr">
        <is>
          <t>Mid-Market</t>
        </is>
      </c>
      <c r="G57" t="inlineStr">
        <is>
          <t>Contact Management</t>
        </is>
      </c>
      <c r="H57" t="inlineStr">
        <is>
          <t>Feature Request</t>
        </is>
      </c>
      <c r="I57" t="inlineStr">
        <is>
          <t>Is there any plan for a tool to merge duplicate contacts? Merging one record at a time is not realistic.</t>
        </is>
      </c>
      <c r="J57" t="inlineStr">
        <is>
          <t>Positive</t>
        </is>
      </c>
      <c r="K57" t="inlineStr">
        <is>
          <t>Low</t>
        </is>
      </c>
      <c r="L57" t="inlineStr">
        <is>
          <t>Minor Inconvenience</t>
        </is>
      </c>
    </row>
    <row r="58">
      <c r="A58" t="inlineStr">
        <is>
          <t>FB-00057</t>
        </is>
      </c>
      <c r="B58" t="inlineStr">
        <is>
          <t>CUST-0099</t>
        </is>
      </c>
      <c r="C58" t="inlineStr">
        <is>
          <t>2025-10-17</t>
        </is>
      </c>
      <c r="D58" t="inlineStr">
        <is>
          <t>Customer Survey</t>
        </is>
      </c>
      <c r="E58" t="inlineStr">
        <is>
          <t>Starter</t>
        </is>
      </c>
      <c r="F58" t="inlineStr">
        <is>
          <t>Mid-Market</t>
        </is>
      </c>
      <c r="G58" t="inlineStr">
        <is>
          <t>Integrations</t>
        </is>
      </c>
      <c r="H58" t="inlineStr">
        <is>
          <t xml:space="preserve">Feature Request </t>
        </is>
      </c>
      <c r="I58" t="inlineStr">
        <is>
          <t>Overall we like the product. Lack of a native Slack integration is a gap versus other CRMs we evaluated. It affects our onboarding process every cycle. Happy to beta test.</t>
        </is>
      </c>
      <c r="J58" t="inlineStr">
        <is>
          <t>Positive</t>
        </is>
      </c>
      <c r="K58" t="inlineStr">
        <is>
          <t>Medium</t>
        </is>
      </c>
      <c r="L58" t="inlineStr">
        <is>
          <t>Workflow Slowdown</t>
        </is>
      </c>
    </row>
    <row r="59">
      <c r="A59" t="inlineStr">
        <is>
          <t>FB-00058</t>
        </is>
      </c>
      <c r="B59" t="inlineStr">
        <is>
          <t>CUST-0229</t>
        </is>
      </c>
      <c r="C59" t="inlineStr">
        <is>
          <t>2025-10-17</t>
        </is>
      </c>
      <c r="D59" t="inlineStr">
        <is>
          <t>Support Ticket</t>
        </is>
      </c>
      <c r="E59" t="inlineStr">
        <is>
          <t>Starter</t>
        </is>
      </c>
      <c r="F59" t="inlineStr">
        <is>
          <t>Mid-Market</t>
        </is>
      </c>
      <c r="G59" t="inlineStr">
        <is>
          <t>Integrations</t>
        </is>
      </c>
      <c r="H59" t="inlineStr">
        <is>
          <t>Integration Issue</t>
        </is>
      </c>
      <c r="I59" t="inlineStr">
        <is>
          <t>Our team keeps running into this. Reps no longer trust email sync, so they log activity by hand. It affects our weekly pipeline review process every cycle. Is there a workaround?</t>
        </is>
      </c>
      <c r="J59" t="inlineStr">
        <is>
          <t>Negative</t>
        </is>
      </c>
      <c r="K59" t="inlineStr">
        <is>
          <t>High</t>
        </is>
      </c>
      <c r="L59" t="inlineStr">
        <is>
          <t>Workflow Slowdown</t>
        </is>
      </c>
    </row>
    <row r="60">
      <c r="A60" t="inlineStr">
        <is>
          <t>FB-00059</t>
        </is>
      </c>
      <c r="B60" t="inlineStr">
        <is>
          <t>CUST-0181</t>
        </is>
      </c>
      <c r="C60" t="inlineStr">
        <is>
          <t>2025-10-17</t>
        </is>
      </c>
      <c r="D60" t="inlineStr">
        <is>
          <t>Support Ticket</t>
        </is>
      </c>
      <c r="E60" t="inlineStr">
        <is>
          <t>Starter</t>
        </is>
      </c>
      <c r="F60" t="inlineStr">
        <is>
          <t>SMB</t>
        </is>
      </c>
      <c r="G60" t="inlineStr">
        <is>
          <t>Workflow Automation</t>
        </is>
      </c>
      <c r="H60" t="inlineStr">
        <is>
          <t>Feature Request</t>
        </is>
      </c>
      <c r="I60" t="inlineStr">
        <is>
          <t>Feedback from our monthly review. We'd adopt automation faster with workflow templates we could customize. It happens about 39 times a week for our team of 36.</t>
        </is>
      </c>
      <c r="J60" t="inlineStr">
        <is>
          <t>Neutral</t>
        </is>
      </c>
      <c r="K60" t="inlineStr">
        <is>
          <t>High</t>
        </is>
      </c>
      <c r="L60" t="inlineStr">
        <is>
          <t>Blocks Key Task</t>
        </is>
      </c>
    </row>
    <row r="61">
      <c r="A61" t="inlineStr">
        <is>
          <t>FB-00060</t>
        </is>
      </c>
      <c r="B61" t="inlineStr">
        <is>
          <t>CUST-0047</t>
        </is>
      </c>
      <c r="C61" t="inlineStr">
        <is>
          <t>2025-10-18</t>
        </is>
      </c>
      <c r="D61" t="inlineStr">
        <is>
          <t>Customer Survey</t>
        </is>
      </c>
      <c r="E61" t="inlineStr">
        <is>
          <t>Starter</t>
        </is>
      </c>
      <c r="F61" t="inlineStr">
        <is>
          <t>SMB</t>
        </is>
      </c>
      <c r="G61" t="inlineStr">
        <is>
          <t>User Interface</t>
        </is>
      </c>
      <c r="H61" t="inlineStr">
        <is>
          <t>Usability Issue</t>
        </is>
      </c>
      <c r="I61" t="inlineStr">
        <is>
          <t>This has been a recurring problem for us. Too many clicks to reach common screens because of the settings navigation. So far 67 people on our side have reported it. We need a fix before renewal.</t>
        </is>
      </c>
      <c r="J61" t="inlineStr">
        <is>
          <t>Negative</t>
        </is>
      </c>
      <c r="K61" t="inlineStr">
        <is>
          <t>Low</t>
        </is>
      </c>
      <c r="L61" t="inlineStr">
        <is>
          <t>Minor Inconvenience</t>
        </is>
      </c>
    </row>
    <row r="62">
      <c r="A62" t="inlineStr">
        <is>
          <t>FB-00061</t>
        </is>
      </c>
      <c r="B62" t="inlineStr">
        <is>
          <t>CUST-0284</t>
        </is>
      </c>
      <c r="C62" t="inlineStr">
        <is>
          <t>2025-10-18</t>
        </is>
      </c>
      <c r="D62" t="inlineStr">
        <is>
          <t>In-App Feedback</t>
        </is>
      </c>
      <c r="E62" t="inlineStr">
        <is>
          <t>Enterprise</t>
        </is>
      </c>
      <c r="F62" t="inlineStr">
        <is>
          <t>Enterprise</t>
        </is>
      </c>
      <c r="G62" t="inlineStr">
        <is>
          <t>Workflow Automation</t>
        </is>
      </c>
      <c r="H62" t="inlineStr">
        <is>
          <t>Bug</t>
        </is>
      </c>
      <c r="I62" t="inlineStr">
        <is>
          <t>Sharing this from our team. We are hitting automation misfires: emails don't send and nobody gets notified. We estimate we lose roughly 5 hours a month on this.</t>
        </is>
      </c>
      <c r="J62" t="inlineStr">
        <is>
          <t>Neutral</t>
        </is>
      </c>
      <c r="K62" t="inlineStr">
        <is>
          <t>Critical</t>
        </is>
      </c>
      <c r="L62" t="inlineStr">
        <is>
          <t>Blocks Key Task</t>
        </is>
      </c>
    </row>
    <row r="63">
      <c r="A63" t="inlineStr">
        <is>
          <t>FB-00062</t>
        </is>
      </c>
      <c r="B63" t="inlineStr">
        <is>
          <t>CUST-0117</t>
        </is>
      </c>
      <c r="C63" t="inlineStr">
        <is>
          <t>2025-10-19</t>
        </is>
      </c>
      <c r="D63" t="inlineStr">
        <is>
          <t>Customer Survey</t>
        </is>
      </c>
      <c r="E63" t="inlineStr">
        <is>
          <t>Professional</t>
        </is>
      </c>
      <c r="F63" t="inlineStr">
        <is>
          <t>Mid-Market</t>
        </is>
      </c>
      <c r="G63" t="inlineStr">
        <is>
          <t>Workflow Automation</t>
        </is>
      </c>
      <c r="H63" t="inlineStr">
        <is>
          <t>Feature Request</t>
        </is>
      </c>
      <c r="I63" t="inlineStr">
        <is>
          <t>A library of workflow templates would cut our setup time. It happens about 30 times a week for our team of 119. Thanks to the team.</t>
        </is>
      </c>
      <c r="J63" t="inlineStr">
        <is>
          <t>Positive</t>
        </is>
      </c>
      <c r="K63" t="inlineStr">
        <is>
          <t>Medium</t>
        </is>
      </c>
      <c r="L63" t="inlineStr">
        <is>
          <t>Workflow Slowdown</t>
        </is>
      </c>
    </row>
    <row r="64">
      <c r="A64" t="inlineStr">
        <is>
          <t>FB-00063</t>
        </is>
      </c>
      <c r="B64" t="inlineStr">
        <is>
          <t>CUST-0181</t>
        </is>
      </c>
      <c r="C64" t="inlineStr">
        <is>
          <t>2025-10-19</t>
        </is>
      </c>
      <c r="D64" t="inlineStr">
        <is>
          <t>Customer Survey</t>
        </is>
      </c>
      <c r="E64" t="inlineStr">
        <is>
          <t>Starter</t>
        </is>
      </c>
      <c r="F64" t="inlineStr">
        <is>
          <t>SMB</t>
        </is>
      </c>
      <c r="G64" t="inlineStr">
        <is>
          <t>Contact Management</t>
        </is>
      </c>
      <c r="H64" t="inlineStr">
        <is>
          <t>Bug</t>
        </is>
      </c>
      <c r="I64" t="inlineStr">
        <is>
          <t>The spreadsheet import fails halfway through with a generic error and no row-level detail. It affects our onboarding process every cycle. Please look into it soon.</t>
        </is>
      </c>
      <c r="J64" t="inlineStr">
        <is>
          <t>Negative</t>
        </is>
      </c>
      <c r="K64" t="inlineStr">
        <is>
          <t>Medium</t>
        </is>
      </c>
      <c r="L64" t="inlineStr">
        <is>
          <t>Workflow Slowdown</t>
        </is>
      </c>
    </row>
    <row r="65">
      <c r="A65" t="inlineStr">
        <is>
          <t>FB-00064</t>
        </is>
      </c>
      <c r="B65" t="inlineStr">
        <is>
          <t>CUST-0286</t>
        </is>
      </c>
      <c r="C65" t="inlineStr">
        <is>
          <t>2025-10-20</t>
        </is>
      </c>
      <c r="D65" t="inlineStr">
        <is>
          <t>In-App Feedback</t>
        </is>
      </c>
      <c r="E65" t="inlineStr">
        <is>
          <t>Enterprise</t>
        </is>
      </c>
      <c r="F65" t="inlineStr">
        <is>
          <t>Enterprise</t>
        </is>
      </c>
      <c r="G65" t="inlineStr">
        <is>
          <t>Contact Management</t>
        </is>
      </c>
      <c r="H65" t="inlineStr">
        <is>
          <t>Performance Issue</t>
        </is>
      </c>
      <c r="I65" t="inlineStr">
        <is>
          <t>Feedback from our monthly review. Our contact search is slow and often returns stale results right after an update. Our admin flagged it while onboarding 42 new users.</t>
        </is>
      </c>
      <c r="J65" t="inlineStr">
        <is>
          <t>Neutral</t>
        </is>
      </c>
      <c r="K65" t="inlineStr">
        <is>
          <t>High</t>
        </is>
      </c>
      <c r="L65" t="inlineStr">
        <is>
          <t>Blocks Key Task</t>
        </is>
      </c>
    </row>
    <row r="66">
      <c r="A66" t="inlineStr">
        <is>
          <t>FB-00065</t>
        </is>
      </c>
      <c r="B66" t="inlineStr">
        <is>
          <t>CUST-0401</t>
        </is>
      </c>
      <c r="C66" t="inlineStr">
        <is>
          <t>2025-10-21</t>
        </is>
      </c>
      <c r="D66" t="inlineStr">
        <is>
          <t>Customer Survey</t>
        </is>
      </c>
      <c r="E66" t="inlineStr">
        <is>
          <t>Professional</t>
        </is>
      </c>
      <c r="F66" t="inlineStr">
        <is>
          <t>SMB</t>
        </is>
      </c>
      <c r="G66" t="inlineStr">
        <is>
          <t>Integrations</t>
        </is>
      </c>
      <c r="H66" t="inlineStr">
        <is>
          <t>Integration Issue</t>
        </is>
      </c>
      <c r="I66" t="inlineStr">
        <is>
          <t>Frustrated with this one. Webhook delivery is unreliable and there is no retry or log we can inspect. Our RevOps lead flagged it while onboarding 39 new users. Please look into it soon.</t>
        </is>
      </c>
      <c r="J66" t="inlineStr">
        <is>
          <t>Negative</t>
        </is>
      </c>
      <c r="K66" t="inlineStr">
        <is>
          <t>High</t>
        </is>
      </c>
      <c r="L66" t="inlineStr">
        <is>
          <t>Workflow Slowdown</t>
        </is>
      </c>
    </row>
    <row r="67">
      <c r="A67" t="inlineStr">
        <is>
          <t>FB-00066</t>
        </is>
      </c>
      <c r="B67" t="inlineStr">
        <is>
          <t>CUST-0345</t>
        </is>
      </c>
      <c r="C67" t="inlineStr">
        <is>
          <t>2025-10-21</t>
        </is>
      </c>
      <c r="D67" t="inlineStr">
        <is>
          <t>In-App Feedback</t>
        </is>
      </c>
      <c r="E67" t="inlineStr">
        <is>
          <t>Enterprise</t>
        </is>
      </c>
      <c r="F67" t="inlineStr">
        <is>
          <t>Enterprise</t>
        </is>
      </c>
      <c r="G67" t="inlineStr">
        <is>
          <t>Reporting</t>
        </is>
      </c>
      <c r="H67" t="inlineStr">
        <is>
          <t>Bug</t>
        </is>
      </c>
      <c r="I67" t="inlineStr">
        <is>
          <t>Great support experience recently. Finance can't rely on the report export; totals don't match the screen. It happens about 35 times a week for our team of 32.</t>
        </is>
      </c>
      <c r="J67" t="inlineStr">
        <is>
          <t>Positive</t>
        </is>
      </c>
      <c r="K67" t="inlineStr">
        <is>
          <t>Low</t>
        </is>
      </c>
      <c r="L67" t="inlineStr">
        <is>
          <t>Minor Inconvenience</t>
        </is>
      </c>
    </row>
    <row r="68">
      <c r="A68" t="inlineStr">
        <is>
          <t>FB-00067</t>
        </is>
      </c>
      <c r="B68" t="inlineStr">
        <is>
          <t>CUST-0306</t>
        </is>
      </c>
      <c r="C68" t="inlineStr">
        <is>
          <t>2025-10-22</t>
        </is>
      </c>
      <c r="D68" t="inlineStr">
        <is>
          <t>Customer Survey</t>
        </is>
      </c>
      <c r="E68" t="inlineStr">
        <is>
          <t>Professional</t>
        </is>
      </c>
      <c r="F68" t="inlineStr">
        <is>
          <t>SMB</t>
        </is>
      </c>
      <c r="G68" t="inlineStr">
        <is>
          <t>User Interface</t>
        </is>
      </c>
      <c r="H68" t="inlineStr">
        <is>
          <t>Feature Request</t>
        </is>
      </c>
      <c r="I68" t="inlineStr">
        <is>
          <t>Requesting bulk actions on lists across every list view. Happy to join a feedback call.</t>
        </is>
      </c>
      <c r="J68" t="inlineStr">
        <is>
          <t>Neutral</t>
        </is>
      </c>
      <c r="K68" t="inlineStr">
        <is>
          <t xml:space="preserve">Low </t>
        </is>
      </c>
      <c r="L68" t="inlineStr">
        <is>
          <t>Minor Inconvenience</t>
        </is>
      </c>
    </row>
    <row r="69">
      <c r="A69" t="inlineStr">
        <is>
          <t>FB-00068</t>
        </is>
      </c>
      <c r="B69" t="inlineStr">
        <is>
          <t>CUST-0055</t>
        </is>
      </c>
      <c r="C69" t="inlineStr">
        <is>
          <t>2025-10-22</t>
        </is>
      </c>
      <c r="D69" t="inlineStr">
        <is>
          <t>Feature Request</t>
        </is>
      </c>
      <c r="E69" t="inlineStr">
        <is>
          <t>Professional</t>
        </is>
      </c>
      <c r="F69" t="inlineStr">
        <is>
          <t>Mid-Market</t>
        </is>
      </c>
      <c r="G69" t="inlineStr">
        <is>
          <t>User Interface</t>
        </is>
      </c>
      <c r="H69" t="inlineStr">
        <is>
          <t>Feature Request</t>
        </is>
      </c>
      <c r="I69" t="inlineStr">
        <is>
          <t>Escalating on behalf of our ops lead. Please prioritize a mobile app; the mobile web view is hard to use. We need a fix before renewal.</t>
        </is>
      </c>
      <c r="J69" t="inlineStr">
        <is>
          <t>Negative</t>
        </is>
      </c>
      <c r="K69" t="inlineStr">
        <is>
          <t>Medium</t>
        </is>
      </c>
      <c r="L69" t="inlineStr">
        <is>
          <t>Workflow Slowdown</t>
        </is>
      </c>
    </row>
    <row r="70">
      <c r="A70" t="inlineStr">
        <is>
          <t>FB-00069</t>
        </is>
      </c>
      <c r="B70" t="inlineStr">
        <is>
          <t>CUST-0325</t>
        </is>
      </c>
      <c r="C70" t="inlineStr">
        <is>
          <t>2025-10-22</t>
        </is>
      </c>
      <c r="D70" t="inlineStr">
        <is>
          <t>Feature Request</t>
        </is>
      </c>
      <c r="E70" t="inlineStr">
        <is>
          <t>Starter</t>
        </is>
      </c>
      <c r="F70" t="inlineStr">
        <is>
          <t>SMB</t>
        </is>
      </c>
      <c r="G70" t="inlineStr">
        <is>
          <t>User Interface</t>
        </is>
      </c>
      <c r="H70" t="inlineStr">
        <is>
          <t>Feature Request</t>
        </is>
      </c>
      <c r="I70" t="inlineStr">
        <is>
          <t>Our field reps need mobile call logging to update deals between visits. It affects our onboarding process every cycle. Let us know if you need examples.</t>
        </is>
      </c>
      <c r="J70" t="inlineStr">
        <is>
          <t>Neutral</t>
        </is>
      </c>
      <c r="K70" t="inlineStr">
        <is>
          <t>Low</t>
        </is>
      </c>
      <c r="L70" t="inlineStr">
        <is>
          <t>Minor Inconvenience</t>
        </is>
      </c>
    </row>
    <row r="71">
      <c r="A71" t="inlineStr">
        <is>
          <t>FB-00070</t>
        </is>
      </c>
      <c r="B71" t="inlineStr">
        <is>
          <t>CUST-0146</t>
        </is>
      </c>
      <c r="C71" t="inlineStr">
        <is>
          <t>2025-10-22</t>
        </is>
      </c>
      <c r="D71" t="inlineStr">
        <is>
          <t>Support Ticket</t>
        </is>
      </c>
      <c r="E71" t="inlineStr">
        <is>
          <t>Starter</t>
        </is>
      </c>
      <c r="F71" t="inlineStr">
        <is>
          <t>SMB</t>
        </is>
      </c>
      <c r="G71" t="inlineStr">
        <is>
          <t>User Interface</t>
        </is>
      </c>
      <c r="H71" t="inlineStr">
        <is>
          <t>Feature Request</t>
        </is>
      </c>
      <c r="I71" t="inlineStr">
        <is>
          <t>Overall we like the product. Requesting a mobile app so reps can log activity right after a meeting.</t>
        </is>
      </c>
      <c r="J71" t="inlineStr">
        <is>
          <t>Positive</t>
        </is>
      </c>
      <c r="K71" t="inlineStr">
        <is>
          <t>Low</t>
        </is>
      </c>
      <c r="L71" t="inlineStr">
        <is>
          <t>Workflow Slowdown</t>
        </is>
      </c>
    </row>
    <row r="72">
      <c r="A72" t="inlineStr">
        <is>
          <t>FB-00071</t>
        </is>
      </c>
      <c r="B72" t="inlineStr">
        <is>
          <t>CUST-0136</t>
        </is>
      </c>
      <c r="C72" t="inlineStr">
        <is>
          <t>2025-10-23</t>
        </is>
      </c>
      <c r="D72" t="inlineStr">
        <is>
          <t>Customer Survey</t>
        </is>
      </c>
      <c r="E72" t="inlineStr">
        <is>
          <t>Starter</t>
        </is>
      </c>
      <c r="F72" t="inlineStr">
        <is>
          <t>SMB</t>
        </is>
      </c>
      <c r="G72" t="inlineStr">
        <is>
          <t>Reporting</t>
        </is>
      </c>
      <c r="H72" t="inlineStr">
        <is>
          <t>Feature Request</t>
        </is>
      </c>
      <c r="I72" t="inlineStr">
        <is>
          <t>We need a custom report builder so non-technical managers can create their own views. Support suggested logging it here.</t>
        </is>
      </c>
      <c r="J72" t="inlineStr">
        <is>
          <t>Negative</t>
        </is>
      </c>
      <c r="K72" t="inlineStr">
        <is>
          <t>Low</t>
        </is>
      </c>
      <c r="L72" t="inlineStr">
        <is>
          <t>Workflow Slowdown</t>
        </is>
      </c>
    </row>
    <row r="73">
      <c r="A73" t="inlineStr">
        <is>
          <t>FB-00072</t>
        </is>
      </c>
      <c r="B73" t="inlineStr">
        <is>
          <t>CUST-0108</t>
        </is>
      </c>
      <c r="C73" t="inlineStr">
        <is>
          <t>2025-10-23</t>
        </is>
      </c>
      <c r="D73" t="inlineStr">
        <is>
          <t>Customer Survey</t>
        </is>
      </c>
      <c r="E73" t="inlineStr">
        <is>
          <t>Enterprise</t>
        </is>
      </c>
      <c r="F73" t="inlineStr">
        <is>
          <t>Mid-Market</t>
        </is>
      </c>
      <c r="G73" t="inlineStr">
        <is>
          <t>Integrations</t>
        </is>
      </c>
      <c r="H73" t="inlineStr">
        <is>
          <t>Integration Issue</t>
        </is>
      </c>
      <c r="I73" t="inlineStr">
        <is>
          <t>Our Gmail sync keeps disconnecting and activities are missing from the contact timeline. So far 67 people on our side have reported it.</t>
        </is>
      </c>
      <c r="J73" t="inlineStr">
        <is>
          <t>Negative</t>
        </is>
      </c>
      <c r="K73" t="inlineStr">
        <is>
          <t>Medium</t>
        </is>
      </c>
      <c r="L73" t="inlineStr">
        <is>
          <t>Workflow Slowdown</t>
        </is>
      </c>
    </row>
    <row r="74">
      <c r="A74" t="inlineStr">
        <is>
          <t>FB-00073</t>
        </is>
      </c>
      <c r="B74" t="inlineStr">
        <is>
          <t>CUST-0235</t>
        </is>
      </c>
      <c r="C74" t="inlineStr">
        <is>
          <t>2025-10-23</t>
        </is>
      </c>
      <c r="D74" t="inlineStr">
        <is>
          <t>Support Ticket</t>
        </is>
      </c>
      <c r="E74" t="inlineStr">
        <is>
          <t>Enterprise</t>
        </is>
      </c>
      <c r="F74" t="inlineStr">
        <is>
          <t>Mid-Market</t>
        </is>
      </c>
      <c r="G74" t="inlineStr">
        <is>
          <t>Integrations</t>
        </is>
      </c>
      <c r="H74" t="inlineStr">
        <is>
          <t>Integration Issue</t>
        </is>
      </c>
      <c r="I74" t="inlineStr">
        <is>
          <t>Not what we expected for the price. API timeouts is unreliable and there is no retry or log we can inspect. It affects our month-end reporting process every cycle. We need a fix before renewal.</t>
        </is>
      </c>
      <c r="J74" t="inlineStr">
        <is>
          <t>Negative</t>
        </is>
      </c>
      <c r="K74" t="inlineStr">
        <is>
          <t>low</t>
        </is>
      </c>
      <c r="L74" t="inlineStr">
        <is>
          <t>Minor Inconvenience</t>
        </is>
      </c>
    </row>
    <row r="75">
      <c r="A75" t="inlineStr">
        <is>
          <t>FB-00074</t>
        </is>
      </c>
      <c r="B75" t="inlineStr">
        <is>
          <t>CUST-0196</t>
        </is>
      </c>
      <c r="C75" t="inlineStr">
        <is>
          <t>2025-10-23</t>
        </is>
      </c>
      <c r="D75" t="inlineStr">
        <is>
          <t>Support Ticket</t>
        </is>
      </c>
      <c r="E75" t="inlineStr">
        <is>
          <t>Enterprise</t>
        </is>
      </c>
      <c r="F75" t="inlineStr">
        <is>
          <t>Enterprise</t>
        </is>
      </c>
      <c r="G75" t="inlineStr">
        <is>
          <t>User Interface</t>
        </is>
      </c>
      <c r="H75" t="inlineStr">
        <is>
          <t>Performance Issue</t>
        </is>
      </c>
      <c r="I75" t="inlineStr">
        <is>
          <t>FYI for the product team. Since the redesign there is more page lag on older laptops. We estimate we lose roughly 23 hours a month on this. Let us know if you need examples.</t>
        </is>
      </c>
      <c r="J75" t="inlineStr">
        <is>
          <t>Neutral</t>
        </is>
      </c>
      <c r="K75" t="inlineStr">
        <is>
          <t>Critical</t>
        </is>
      </c>
      <c r="L75" t="inlineStr">
        <is>
          <t>Revenue/Operations Risk</t>
        </is>
      </c>
    </row>
    <row r="76">
      <c r="A76" t="inlineStr">
        <is>
          <t>FB-00075</t>
        </is>
      </c>
      <c r="B76" t="inlineStr">
        <is>
          <t>CUST-0322</t>
        </is>
      </c>
      <c r="C76" t="inlineStr">
        <is>
          <t>2025-10-24</t>
        </is>
      </c>
      <c r="D76" t="inlineStr">
        <is>
          <t>Support Ticket</t>
        </is>
      </c>
      <c r="E76" t="inlineStr">
        <is>
          <t>Starter</t>
        </is>
      </c>
      <c r="F76" t="inlineStr">
        <is>
          <t>SMB</t>
        </is>
      </c>
      <c r="G76" t="inlineStr">
        <is>
          <t>Lead Management</t>
        </is>
      </c>
      <c r="H76" t="inlineStr">
        <is>
          <t>Performance Issue</t>
        </is>
      </c>
      <c r="I76" t="inlineStr">
        <is>
          <t>Complaint about pipeline board loading: the board freezes while cards render. Our sales manager flagged it while onboarding 45 new users. Let us know if you need examples.</t>
        </is>
      </c>
      <c r="J76" t="inlineStr">
        <is>
          <t>Neutral</t>
        </is>
      </c>
      <c r="K76" t="inlineStr">
        <is>
          <t>Critical</t>
        </is>
      </c>
      <c r="L76" t="inlineStr">
        <is>
          <t>Revenue/Operations Risk</t>
        </is>
      </c>
    </row>
    <row r="77">
      <c r="A77" t="inlineStr">
        <is>
          <t>FB-00076</t>
        </is>
      </c>
      <c r="B77" t="inlineStr">
        <is>
          <t>CUST-0203</t>
        </is>
      </c>
      <c r="C77" t="inlineStr">
        <is>
          <t>2025-10-24</t>
        </is>
      </c>
      <c r="D77" t="inlineStr">
        <is>
          <t>Feature Request</t>
        </is>
      </c>
      <c r="E77" t="inlineStr">
        <is>
          <t>Professional</t>
        </is>
      </c>
      <c r="F77" t="inlineStr">
        <is>
          <t>Mid-Market</t>
        </is>
      </c>
      <c r="G77" t="inlineStr">
        <is>
          <t>Reporting</t>
        </is>
      </c>
      <c r="H77" t="inlineStr">
        <is>
          <t>Feature Request</t>
        </is>
      </c>
      <c r="I77" t="inlineStr">
        <is>
          <t>Overall we like the product. We need scheduled report emails so non-technical managers can create their own views. Keep up the good work.</t>
        </is>
      </c>
      <c r="J77" t="inlineStr">
        <is>
          <t>Positive</t>
        </is>
      </c>
      <c r="K77" t="inlineStr">
        <is>
          <t>Low</t>
        </is>
      </c>
      <c r="L77" t="inlineStr">
        <is>
          <t>Minor Inconvenience</t>
        </is>
      </c>
    </row>
    <row r="78">
      <c r="A78" t="inlineStr">
        <is>
          <t>FB-00077</t>
        </is>
      </c>
      <c r="B78" t="inlineStr">
        <is>
          <t>CUST-0224</t>
        </is>
      </c>
      <c r="C78" t="inlineStr">
        <is>
          <t>2025-10-24</t>
        </is>
      </c>
      <c r="D78" t="inlineStr">
        <is>
          <t>Feature Request</t>
        </is>
      </c>
      <c r="E78" t="inlineStr">
        <is>
          <t>Enterprise</t>
        </is>
      </c>
      <c r="F78" t="inlineStr">
        <is>
          <t>Mid-Market</t>
        </is>
      </c>
      <c r="G78" t="inlineStr">
        <is>
          <t>Reporting</t>
        </is>
      </c>
      <c r="H78" t="inlineStr">
        <is>
          <t>Feature Request</t>
        </is>
      </c>
      <c r="I78" t="inlineStr">
        <is>
          <t>Please add scheduled report emails; today an analyst rebuilds the same report every week. Let us know if you need examples.</t>
        </is>
      </c>
      <c r="J78" t="inlineStr">
        <is>
          <t>Neutral</t>
        </is>
      </c>
      <c r="K78" t="inlineStr">
        <is>
          <t>Low</t>
        </is>
      </c>
      <c r="L78" t="inlineStr">
        <is>
          <t>Workflow Slowdown</t>
        </is>
      </c>
    </row>
    <row r="79">
      <c r="A79" t="inlineStr">
        <is>
          <t>FB-00078</t>
        </is>
      </c>
      <c r="B79" t="inlineStr">
        <is>
          <t>CUST-0022</t>
        </is>
      </c>
      <c r="C79" t="inlineStr">
        <is>
          <t>2025-10-24</t>
        </is>
      </c>
      <c r="D79" t="inlineStr">
        <is>
          <t>Support Ticket</t>
        </is>
      </c>
      <c r="E79" t="inlineStr">
        <is>
          <t>Starter</t>
        </is>
      </c>
      <c r="F79" t="inlineStr">
        <is>
          <t>SMB</t>
        </is>
      </c>
      <c r="G79" t="inlineStr">
        <is>
          <t>Lead Management</t>
        </is>
      </c>
      <c r="H79" t="inlineStr">
        <is>
          <t>Bug</t>
        </is>
      </c>
      <c r="I79" t="inlineStr">
        <is>
          <t>After every list import we find lead de-duplication failures that have to be cleaned up by hand. So far 43 people on our side have reported it. Is there a workaround?</t>
        </is>
      </c>
      <c r="J79" t="inlineStr">
        <is>
          <t>Negative</t>
        </is>
      </c>
      <c r="K79" t="inlineStr">
        <is>
          <t>Medium</t>
        </is>
      </c>
      <c r="L79" t="inlineStr">
        <is>
          <t>Workflow Slowdown</t>
        </is>
      </c>
    </row>
    <row r="80">
      <c r="A80" t="inlineStr">
        <is>
          <t>FB-00079</t>
        </is>
      </c>
      <c r="B80" t="inlineStr">
        <is>
          <t>CUST-0355</t>
        </is>
      </c>
      <c r="C80" t="inlineStr">
        <is>
          <t>2025-10-24</t>
        </is>
      </c>
      <c r="D80" t="inlineStr">
        <is>
          <t>Support Ticket</t>
        </is>
      </c>
      <c r="E80" t="inlineStr">
        <is>
          <t>Starter</t>
        </is>
      </c>
      <c r="F80" t="inlineStr">
        <is>
          <t>Mid-Market</t>
        </is>
      </c>
      <c r="G80" t="inlineStr">
        <is>
          <t>Contact Management</t>
        </is>
      </c>
      <c r="H80" t="inlineStr">
        <is>
          <t>Performance Issue</t>
        </is>
      </c>
      <c r="I80" t="inlineStr">
        <is>
          <t>The saved contact filters times out on our largest accounts. It affects our lead handoff process every cycle.</t>
        </is>
      </c>
      <c r="J80" t="inlineStr">
        <is>
          <t>Neutral</t>
        </is>
      </c>
      <c r="K80" t="inlineStr">
        <is>
          <t>High</t>
        </is>
      </c>
      <c r="L80" t="inlineStr">
        <is>
          <t>Workflow Slowdown</t>
        </is>
      </c>
    </row>
    <row r="81">
      <c r="A81" t="inlineStr">
        <is>
          <t>FB-00080</t>
        </is>
      </c>
      <c r="B81" t="inlineStr">
        <is>
          <t>CUST-0055</t>
        </is>
      </c>
      <c r="C81" t="inlineStr">
        <is>
          <t>2025-10-24</t>
        </is>
      </c>
      <c r="D81" t="inlineStr">
        <is>
          <t>In-App Feedback</t>
        </is>
      </c>
      <c r="E81" t="inlineStr">
        <is>
          <t>Professional</t>
        </is>
      </c>
      <c r="F81" t="inlineStr">
        <is>
          <t>Mid-Market</t>
        </is>
      </c>
      <c r="G81" t="inlineStr">
        <is>
          <t>Reporting</t>
        </is>
      </c>
      <c r="H81" t="inlineStr">
        <is>
          <t>Bug</t>
        </is>
      </c>
      <c r="I81" t="inlineStr">
        <is>
          <t>This has been a recurring problem for us. Finance can't rely on the Excel export; totals don't match the screen. We estimate we lose roughly 47 hours a month on this. Is there a workaround?</t>
        </is>
      </c>
      <c r="J81" t="inlineStr">
        <is>
          <t>Negative</t>
        </is>
      </c>
      <c r="K81" t="inlineStr">
        <is>
          <t>High</t>
        </is>
      </c>
      <c r="L81" t="inlineStr">
        <is>
          <t>Blocks Key Task</t>
        </is>
      </c>
    </row>
    <row r="82">
      <c r="A82" t="inlineStr">
        <is>
          <t>FB-00081</t>
        </is>
      </c>
      <c r="B82" t="inlineStr">
        <is>
          <t>CUST-0069</t>
        </is>
      </c>
      <c r="C82" t="inlineStr">
        <is>
          <t>2025-10-25</t>
        </is>
      </c>
      <c r="D82" t="inlineStr">
        <is>
          <t>Customer Survey</t>
        </is>
      </c>
      <c r="E82" t="inlineStr">
        <is>
          <t>Starter</t>
        </is>
      </c>
      <c r="F82" t="inlineStr">
        <is>
          <t>Mid-Market</t>
        </is>
      </c>
      <c r="G82" t="inlineStr">
        <is>
          <t>Lead Management</t>
        </is>
      </c>
      <c r="H82" t="inlineStr">
        <is>
          <t>Bug</t>
        </is>
      </c>
      <c r="I82" t="inlineStr">
        <is>
          <t>Sharing this from our team. After every list import we find duplicated leads that have to be cleaned up by hand. Our customer success lead flagged it while onboarding 113 new users.</t>
        </is>
      </c>
      <c r="J82" t="inlineStr">
        <is>
          <t>Neutral</t>
        </is>
      </c>
      <c r="K82" t="inlineStr">
        <is>
          <t>Medium</t>
        </is>
      </c>
      <c r="L82" t="inlineStr">
        <is>
          <t>Workflow Slowdown</t>
        </is>
      </c>
    </row>
    <row r="83">
      <c r="A83" t="inlineStr">
        <is>
          <t>FB-00082</t>
        </is>
      </c>
      <c r="B83" t="inlineStr">
        <is>
          <t>CUST-0158</t>
        </is>
      </c>
      <c r="C83" t="inlineStr">
        <is>
          <t>2025-10-25</t>
        </is>
      </c>
      <c r="D83" t="inlineStr">
        <is>
          <t>Customer Survey</t>
        </is>
      </c>
      <c r="E83" t="inlineStr">
        <is>
          <t>Starter</t>
        </is>
      </c>
      <c r="F83" t="inlineStr">
        <is>
          <t>SMB</t>
        </is>
      </c>
      <c r="G83" t="inlineStr">
        <is>
          <t>Reporting</t>
        </is>
      </c>
      <c r="H83" t="inlineStr">
        <is>
          <t>Performance Issue</t>
        </is>
      </c>
      <c r="I83" t="inlineStr">
        <is>
          <t>The report load time is painfully slow with a full year of data.</t>
        </is>
      </c>
      <c r="J83" t="inlineStr">
        <is>
          <t>Neutral</t>
        </is>
      </c>
      <c r="K83" t="inlineStr">
        <is>
          <t>Medium</t>
        </is>
      </c>
      <c r="L83" t="inlineStr">
        <is>
          <t>Blocks Key Task</t>
        </is>
      </c>
    </row>
    <row r="84">
      <c r="A84" t="inlineStr">
        <is>
          <t>FB-00083</t>
        </is>
      </c>
      <c r="B84" t="inlineStr">
        <is>
          <t>CUST-0315</t>
        </is>
      </c>
      <c r="C84" t="inlineStr">
        <is>
          <t>2025-10-25</t>
        </is>
      </c>
      <c r="D84" t="inlineStr">
        <is>
          <t>Support Ticket</t>
        </is>
      </c>
      <c r="E84" t="inlineStr">
        <is>
          <t>Professional</t>
        </is>
      </c>
      <c r="F84" t="inlineStr">
        <is>
          <t>SMB</t>
        </is>
      </c>
      <c r="G84" t="inlineStr">
        <is>
          <t>Integrations</t>
        </is>
      </c>
      <c r="H84" t="inlineStr">
        <is>
          <t>Integration Issue</t>
        </is>
      </c>
      <c r="I84" t="inlineStr">
        <is>
          <t>Our email sync keeps disconnecting and activities are missing from the contact timeline. It affects our month-end reporting process every cycle.</t>
        </is>
      </c>
      <c r="J84" t="inlineStr">
        <is>
          <t>Negative</t>
        </is>
      </c>
      <c r="K84" t="inlineStr">
        <is>
          <t>High</t>
        </is>
      </c>
      <c r="L84" t="inlineStr">
        <is>
          <t>Workflow Slowdown</t>
        </is>
      </c>
    </row>
    <row r="85">
      <c r="A85" t="inlineStr">
        <is>
          <t>FB-00084</t>
        </is>
      </c>
      <c r="B85" t="inlineStr">
        <is>
          <t>CUST-0394</t>
        </is>
      </c>
      <c r="C85" t="inlineStr">
        <is>
          <t>2025-10-25</t>
        </is>
      </c>
      <c r="D85" t="inlineStr">
        <is>
          <t>Customer Survey</t>
        </is>
      </c>
      <c r="E85" t="inlineStr">
        <is>
          <t>Enterprise</t>
        </is>
      </c>
      <c r="F85" t="inlineStr">
        <is>
          <t>Enterprise</t>
        </is>
      </c>
      <c r="G85" t="inlineStr">
        <is>
          <t>Integrations</t>
        </is>
      </c>
      <c r="H85" t="inlineStr">
        <is>
          <t>Feature Request</t>
        </is>
      </c>
      <c r="I85" t="inlineStr">
        <is>
          <t>Happy with most of the product. Our security team requires SCIM provisioning before we can expand seats. So far 13 people on our side have reported it. Keep up the good work.</t>
        </is>
      </c>
      <c r="J85" t="inlineStr">
        <is>
          <t>Positive</t>
        </is>
      </c>
      <c r="K85" t="inlineStr">
        <is>
          <t>Low</t>
        </is>
      </c>
      <c r="L85" t="inlineStr">
        <is>
          <t>Minor Inconvenience</t>
        </is>
      </c>
    </row>
    <row r="86">
      <c r="A86" t="inlineStr">
        <is>
          <t>FB-00085</t>
        </is>
      </c>
      <c r="B86" t="inlineStr">
        <is>
          <t>CUST-0251</t>
        </is>
      </c>
      <c r="C86" t="inlineStr">
        <is>
          <t>2025-10-25</t>
        </is>
      </c>
      <c r="D86" t="inlineStr">
        <is>
          <t>Feature Request</t>
        </is>
      </c>
      <c r="E86" t="inlineStr">
        <is>
          <t>Professional</t>
        </is>
      </c>
      <c r="F86" t="inlineStr">
        <is>
          <t>Mid-Market</t>
        </is>
      </c>
      <c r="G86" t="inlineStr">
        <is>
          <t>Integrations</t>
        </is>
      </c>
      <c r="H86" t="inlineStr">
        <is>
          <t>Feature Request</t>
        </is>
      </c>
      <c r="I86" t="inlineStr">
        <is>
          <t>Sharing this from our team. Please build a native Slack integration; our team copies data across systems daily.</t>
        </is>
      </c>
      <c r="J86" t="inlineStr">
        <is>
          <t>Neutral</t>
        </is>
      </c>
      <c r="K86" t="inlineStr">
        <is>
          <t>Low</t>
        </is>
      </c>
      <c r="L86" t="inlineStr">
        <is>
          <t>Workflow Slowdown</t>
        </is>
      </c>
    </row>
    <row r="87">
      <c r="A87" t="inlineStr">
        <is>
          <t>FB-00086</t>
        </is>
      </c>
      <c r="B87" t="inlineStr">
        <is>
          <t>CUST-0049</t>
        </is>
      </c>
      <c r="C87" t="inlineStr">
        <is>
          <t>2025-10-25</t>
        </is>
      </c>
      <c r="D87" t="inlineStr">
        <is>
          <t>In-App Feedback</t>
        </is>
      </c>
      <c r="E87" t="inlineStr">
        <is>
          <t>Starter</t>
        </is>
      </c>
      <c r="F87" t="inlineStr">
        <is>
          <t>SMB</t>
        </is>
      </c>
      <c r="G87" t="inlineStr">
        <is>
          <t>User Interface</t>
        </is>
      </c>
      <c r="H87" t="inlineStr">
        <is>
          <t>Feature Request</t>
        </is>
      </c>
      <c r="I87" t="inlineStr">
        <is>
          <t>Happy with most of the product. Requesting mobile call logging so reps can log activity right after a meeting. It happens about 2 times a week for our team of 109.</t>
        </is>
      </c>
      <c r="J87" t="inlineStr">
        <is>
          <t>Positive</t>
        </is>
      </c>
      <c r="K87" t="inlineStr">
        <is>
          <t>Low</t>
        </is>
      </c>
      <c r="L87" t="inlineStr">
        <is>
          <t>Minor Inconvenience</t>
        </is>
      </c>
    </row>
    <row r="88">
      <c r="A88" t="inlineStr">
        <is>
          <t>FB-00087</t>
        </is>
      </c>
      <c r="B88" t="inlineStr">
        <is>
          <t>CUST-0084</t>
        </is>
      </c>
      <c r="C88" t="inlineStr">
        <is>
          <t>2025-10-26</t>
        </is>
      </c>
      <c r="D88" t="inlineStr">
        <is>
          <t>Customer Survey</t>
        </is>
      </c>
      <c r="E88" t="inlineStr">
        <is>
          <t>Enterprise</t>
        </is>
      </c>
      <c r="F88" t="inlineStr">
        <is>
          <t>Enterprise</t>
        </is>
      </c>
      <c r="G88" t="inlineStr">
        <is>
          <t>Integrations</t>
        </is>
      </c>
      <c r="H88" t="inlineStr">
        <is>
          <t>Feature Request</t>
        </is>
      </c>
      <c r="I88" t="inlineStr">
        <is>
          <t>Sharing this from our team. Please add SAML login; managing users by hand does not scale. It affects our month-end reporting process every cycle.</t>
        </is>
      </c>
      <c r="J88" t="inlineStr">
        <is>
          <t>Neutral</t>
        </is>
      </c>
      <c r="K88" t="inlineStr">
        <is>
          <t>High</t>
        </is>
      </c>
      <c r="L88" t="inlineStr">
        <is>
          <t>Blocks Key Task</t>
        </is>
      </c>
    </row>
    <row r="89">
      <c r="A89" t="inlineStr">
        <is>
          <t>FB-00088</t>
        </is>
      </c>
      <c r="B89" t="inlineStr">
        <is>
          <t>CUST-0415</t>
        </is>
      </c>
      <c r="C89" t="inlineStr">
        <is>
          <t>2025-10-26</t>
        </is>
      </c>
      <c r="D89" t="inlineStr">
        <is>
          <t>Customer Survey</t>
        </is>
      </c>
      <c r="E89" t="inlineStr">
        <is>
          <t>Enterprise</t>
        </is>
      </c>
      <c r="F89" t="inlineStr">
        <is>
          <t>Mid-Market</t>
        </is>
      </c>
      <c r="G89" t="inlineStr">
        <is>
          <t>Workflow Automation</t>
        </is>
      </c>
      <c r="H89" t="inlineStr">
        <is>
          <t>Feature Request</t>
        </is>
      </c>
      <c r="I89" t="inlineStr">
        <is>
          <t>Great support experience recently. Requesting approval steps; today approvals happen over chat. Our finance analyst flagged it while onboarding 113 new users.</t>
        </is>
      </c>
      <c r="J89" t="inlineStr">
        <is>
          <t>Positive</t>
        </is>
      </c>
      <c r="K89" t="inlineStr">
        <is>
          <t>Low</t>
        </is>
      </c>
      <c r="L89" t="inlineStr">
        <is>
          <t>Workflow Slowdown</t>
        </is>
      </c>
    </row>
    <row r="90">
      <c r="A90" t="inlineStr">
        <is>
          <t>FB-00089</t>
        </is>
      </c>
      <c r="B90" t="inlineStr">
        <is>
          <t>CUST-0187</t>
        </is>
      </c>
      <c r="C90" t="inlineStr">
        <is>
          <t>2025-10-26</t>
        </is>
      </c>
      <c r="D90" t="inlineStr">
        <is>
          <t>Support Ticket</t>
        </is>
      </c>
      <c r="E90" t="inlineStr">
        <is>
          <t>Enterprise</t>
        </is>
      </c>
      <c r="F90" t="inlineStr">
        <is>
          <t>Mid-Market</t>
        </is>
      </c>
      <c r="G90" t="inlineStr">
        <is>
          <t>Integrations</t>
        </is>
      </c>
      <c r="H90" t="inlineStr">
        <is>
          <t>Integration Issue</t>
        </is>
      </c>
      <c r="I90" t="inlineStr">
        <is>
          <t>Noting this during onboarding. We keep hitting API timeouts during nightly syncs with our data warehouse. So far 52 people on our side have reported it. Let us know if you need examples.</t>
        </is>
      </c>
      <c r="J90" t="inlineStr">
        <is>
          <t>Neutral</t>
        </is>
      </c>
      <c r="K90" t="inlineStr">
        <is>
          <t>Low</t>
        </is>
      </c>
      <c r="L90" t="inlineStr">
        <is>
          <t>Workflow Slowdown</t>
        </is>
      </c>
    </row>
    <row r="91">
      <c r="A91" t="inlineStr">
        <is>
          <t>FB-00090</t>
        </is>
      </c>
      <c r="B91" t="inlineStr">
        <is>
          <t>CUST-0007</t>
        </is>
      </c>
      <c r="C91" t="inlineStr">
        <is>
          <t>2025-10-26</t>
        </is>
      </c>
      <c r="D91" t="inlineStr">
        <is>
          <t>Customer Survey</t>
        </is>
      </c>
      <c r="E91" t="inlineStr">
        <is>
          <t xml:space="preserve">Professional </t>
        </is>
      </c>
      <c r="F91" t="inlineStr">
        <is>
          <t>SMB</t>
        </is>
      </c>
      <c r="G91" t="inlineStr">
        <is>
          <t>Reporting</t>
        </is>
      </c>
      <c r="H91" t="inlineStr">
        <is>
          <t>Bug</t>
        </is>
      </c>
      <c r="I91" t="inlineStr">
        <is>
          <t>Finance can't rely on the Excel export; totals don't match the screen. So far 31 people on our side have reported it. Let us know if you need examples.</t>
        </is>
      </c>
      <c r="J91" t="inlineStr">
        <is>
          <t>Neutral</t>
        </is>
      </c>
      <c r="K91" t="inlineStr">
        <is>
          <t>Critical</t>
        </is>
      </c>
      <c r="L91" t="inlineStr">
        <is>
          <t>Revenue/Operations Risk</t>
        </is>
      </c>
    </row>
    <row r="92">
      <c r="A92" t="inlineStr">
        <is>
          <t>FB-00091</t>
        </is>
      </c>
      <c r="B92" t="inlineStr">
        <is>
          <t>CUST-0126</t>
        </is>
      </c>
      <c r="C92" t="inlineStr">
        <is>
          <t>2025-10-26</t>
        </is>
      </c>
      <c r="D92" t="inlineStr">
        <is>
          <t>In-App Feedback</t>
        </is>
      </c>
      <c r="E92" t="inlineStr">
        <is>
          <t>Professional</t>
        </is>
      </c>
      <c r="F92" t="inlineStr">
        <is>
          <t>Mid-Market</t>
        </is>
      </c>
      <c r="G92" t="inlineStr">
        <is>
          <t>Contact Management</t>
        </is>
      </c>
      <c r="H92" t="inlineStr">
        <is>
          <t>Feature Request</t>
        </is>
      </c>
      <c r="I92" t="inlineStr">
        <is>
          <t>Overall we like the product. Please extend an account hierarchy view; the current limit is too small for our use case. Happy to beta test.</t>
        </is>
      </c>
      <c r="J92" t="inlineStr">
        <is>
          <t>Positive</t>
        </is>
      </c>
      <c r="K92" t="inlineStr">
        <is>
          <t>Low</t>
        </is>
      </c>
      <c r="L92" t="inlineStr">
        <is>
          <t>Minor Inconvenience</t>
        </is>
      </c>
    </row>
    <row r="93">
      <c r="A93" t="inlineStr">
        <is>
          <t>FB-00092</t>
        </is>
      </c>
      <c r="B93" t="inlineStr">
        <is>
          <t>CUST-0232</t>
        </is>
      </c>
      <c r="C93" t="inlineStr">
        <is>
          <t>2025-10-27</t>
        </is>
      </c>
      <c r="D93" t="inlineStr">
        <is>
          <t>Feature Request</t>
        </is>
      </c>
      <c r="E93" t="inlineStr">
        <is>
          <t>Enterprise</t>
        </is>
      </c>
      <c r="F93" t="inlineStr">
        <is>
          <t>Mid-Market</t>
        </is>
      </c>
      <c r="G93" t="inlineStr">
        <is>
          <t>Contact Management</t>
        </is>
      </c>
      <c r="H93" t="inlineStr">
        <is>
          <t>Feature Request</t>
        </is>
      </c>
      <c r="I93" t="inlineStr">
        <is>
          <t>Feedback from our monthly review. Requesting an account hierarchy view so account managers can see who reports to whom. We estimate we lose roughly 6 hours a month on this. Happy to join a feedback call.</t>
        </is>
      </c>
      <c r="J93" t="inlineStr">
        <is>
          <t>Neutral</t>
        </is>
      </c>
      <c r="K93" t="inlineStr">
        <is>
          <t>Low</t>
        </is>
      </c>
      <c r="L93" t="inlineStr">
        <is>
          <t>Minor Inconvenience</t>
        </is>
      </c>
    </row>
    <row r="94">
      <c r="A94" t="inlineStr">
        <is>
          <t>FB-00093</t>
        </is>
      </c>
      <c r="B94" t="inlineStr">
        <is>
          <t>CUST-0203</t>
        </is>
      </c>
      <c r="C94" t="inlineStr">
        <is>
          <t>2025-10-27</t>
        </is>
      </c>
      <c r="D94" t="inlineStr">
        <is>
          <t>In-App Feedback</t>
        </is>
      </c>
      <c r="E94" t="inlineStr">
        <is>
          <t>Professional</t>
        </is>
      </c>
      <c r="F94" t="inlineStr">
        <is>
          <t>Mid-Market</t>
        </is>
      </c>
      <c r="G94" t="inlineStr">
        <is>
          <t>Integrations</t>
        </is>
      </c>
      <c r="H94" t="inlineStr">
        <is>
          <t>Integration Issue</t>
        </is>
      </c>
      <c r="I94" t="inlineStr">
        <is>
          <t>Our email sync keeps disconnecting and activities are missing from the contact timeline. Please look into it soon.</t>
        </is>
      </c>
      <c r="J94" t="inlineStr">
        <is>
          <t>Negative</t>
        </is>
      </c>
      <c r="K94" t="inlineStr">
        <is>
          <t>Low</t>
        </is>
      </c>
      <c r="L94" t="inlineStr">
        <is>
          <t>Minor Inconvenience</t>
        </is>
      </c>
    </row>
    <row r="95">
      <c r="A95" t="inlineStr">
        <is>
          <t>FB-00094</t>
        </is>
      </c>
      <c r="B95" t="inlineStr">
        <is>
          <t>CUST-0080</t>
        </is>
      </c>
      <c r="C95" t="inlineStr">
        <is>
          <t>2025-10-28</t>
        </is>
      </c>
      <c r="D95" t="inlineStr">
        <is>
          <t>Customer Survey</t>
        </is>
      </c>
      <c r="E95" t="inlineStr">
        <is>
          <t>Professional</t>
        </is>
      </c>
      <c r="F95" t="inlineStr">
        <is>
          <t>Mid-Market</t>
        </is>
      </c>
      <c r="G95" t="inlineStr">
        <is>
          <t>User Interface</t>
        </is>
      </c>
      <c r="H95" t="inlineStr">
        <is>
          <t>Usability Issue</t>
        </is>
      </c>
      <c r="I95" t="inlineStr">
        <is>
          <t>Feedback from our monthly review. New hires get lost in the navigation menu; it takes weeks to learn.</t>
        </is>
      </c>
      <c r="J95" t="inlineStr">
        <is>
          <t>Neutral</t>
        </is>
      </c>
      <c r="K95" t="inlineStr">
        <is>
          <t>Medium</t>
        </is>
      </c>
      <c r="L95" t="inlineStr">
        <is>
          <t>Blocks Key Task</t>
        </is>
      </c>
    </row>
    <row r="96">
      <c r="A96" t="inlineStr">
        <is>
          <t>FB-00095</t>
        </is>
      </c>
      <c r="B96" t="inlineStr">
        <is>
          <t>CUST-0306</t>
        </is>
      </c>
      <c r="C96" t="inlineStr">
        <is>
          <t>2025-10-28</t>
        </is>
      </c>
      <c r="D96" t="inlineStr">
        <is>
          <t>Feature Request</t>
        </is>
      </c>
      <c r="E96" t="inlineStr">
        <is>
          <t>Professional</t>
        </is>
      </c>
      <c r="F96" t="inlineStr">
        <is>
          <t>SMB</t>
        </is>
      </c>
      <c r="G96" t="inlineStr">
        <is>
          <t>User Interface</t>
        </is>
      </c>
      <c r="H96" t="inlineStr">
        <is>
          <t>Feature Request</t>
        </is>
      </c>
      <c r="I96" t="inlineStr">
        <is>
          <t>Admins ask for multi-select actions every time we reorganize territories. It affects our renewal process every cycle. Happy to beta test.</t>
        </is>
      </c>
      <c r="J96" t="inlineStr">
        <is>
          <t>Positive</t>
        </is>
      </c>
      <c r="K96" t="inlineStr">
        <is>
          <t>High</t>
        </is>
      </c>
      <c r="L96" t="inlineStr">
        <is>
          <t>Workflow Slowdown</t>
        </is>
      </c>
    </row>
    <row r="97">
      <c r="A97" t="inlineStr">
        <is>
          <t>FB-00096</t>
        </is>
      </c>
      <c r="B97" t="inlineStr">
        <is>
          <t>CUST-0136</t>
        </is>
      </c>
      <c r="C97" t="inlineStr">
        <is>
          <t>2025-10-28</t>
        </is>
      </c>
      <c r="D97" t="inlineStr">
        <is>
          <t>Customer Survey</t>
        </is>
      </c>
      <c r="E97" t="inlineStr">
        <is>
          <t>Starter</t>
        </is>
      </c>
      <c r="F97" t="inlineStr">
        <is>
          <t>SMB</t>
        </is>
      </c>
      <c r="G97" t="inlineStr">
        <is>
          <t>Workflow Automation</t>
        </is>
      </c>
      <c r="H97" t="inlineStr">
        <is>
          <t>Usability Issue</t>
        </is>
      </c>
      <c r="I97" t="inlineStr">
        <is>
          <t>Sharing this from our team. The workflow editor is hard to follow once a flow has more than a handful of steps. Our sales manager flagged it while onboarding 106 new users. Happy to join a feedback call.</t>
        </is>
      </c>
      <c r="J97" t="inlineStr">
        <is>
          <t>Neutral</t>
        </is>
      </c>
      <c r="K97" t="inlineStr">
        <is>
          <t>Medium</t>
        </is>
      </c>
      <c r="L97" t="inlineStr">
        <is>
          <t>Blocks Key Task</t>
        </is>
      </c>
    </row>
    <row r="98">
      <c r="A98" t="inlineStr">
        <is>
          <t>FB-00097</t>
        </is>
      </c>
      <c r="B98" t="inlineStr">
        <is>
          <t>CUST-0259</t>
        </is>
      </c>
      <c r="C98" t="inlineStr">
        <is>
          <t>2025-10-28</t>
        </is>
      </c>
      <c r="D98" t="inlineStr">
        <is>
          <t>Support Ticket</t>
        </is>
      </c>
      <c r="E98" t="inlineStr">
        <is>
          <t>Starter</t>
        </is>
      </c>
      <c r="F98" t="inlineStr">
        <is>
          <t>SMB</t>
        </is>
      </c>
      <c r="G98" t="inlineStr">
        <is>
          <t>Contact Management</t>
        </is>
      </c>
      <c r="H98" t="inlineStr">
        <is>
          <t>Bug</t>
        </is>
      </c>
      <c r="I98" t="inlineStr">
        <is>
          <t>The spreadsheet import silently skipped rows and we only noticed days later. We estimate we lose roughly 42 hours a month on this.</t>
        </is>
      </c>
      <c r="J98" t="inlineStr">
        <is>
          <t>Negative</t>
        </is>
      </c>
      <c r="K98" t="inlineStr">
        <is>
          <t>Low</t>
        </is>
      </c>
      <c r="L98" t="inlineStr">
        <is>
          <t>Workflow Slowdown</t>
        </is>
      </c>
    </row>
    <row r="99">
      <c r="A99" t="inlineStr">
        <is>
          <t>FB-00098</t>
        </is>
      </c>
      <c r="B99" t="inlineStr">
        <is>
          <t>CUST-0324</t>
        </is>
      </c>
      <c r="C99" t="inlineStr">
        <is>
          <t>2025-10-29</t>
        </is>
      </c>
      <c r="D99" t="inlineStr">
        <is>
          <t>Support Ticket</t>
        </is>
      </c>
      <c r="E99" t="inlineStr">
        <is>
          <t>Starter</t>
        </is>
      </c>
      <c r="F99" t="inlineStr">
        <is>
          <t>SMB</t>
        </is>
      </c>
      <c r="G99" t="inlineStr">
        <is>
          <t>Workflow Automation</t>
        </is>
      </c>
      <c r="H99" t="inlineStr">
        <is>
          <t>Usability Issue</t>
        </is>
      </c>
      <c r="I99" t="inlineStr">
        <is>
          <t>Our new admins struggle with the workflow editor; there is no guidance or validation.</t>
        </is>
      </c>
      <c r="J99" t="inlineStr">
        <is>
          <t>Negative</t>
        </is>
      </c>
      <c r="K99" t="inlineStr">
        <is>
          <t>High</t>
        </is>
      </c>
      <c r="L99" t="inlineStr">
        <is>
          <t>Workflow Slowdown</t>
        </is>
      </c>
    </row>
    <row r="100">
      <c r="A100" t="inlineStr">
        <is>
          <t>FB-00099</t>
        </is>
      </c>
      <c r="B100" t="inlineStr">
        <is>
          <t>CUST-0048</t>
        </is>
      </c>
      <c r="C100" t="inlineStr">
        <is>
          <t>2025-10-29</t>
        </is>
      </c>
      <c r="D100" t="inlineStr">
        <is>
          <t>Feature Request</t>
        </is>
      </c>
      <c r="E100" t="inlineStr">
        <is>
          <t>Starter</t>
        </is>
      </c>
      <c r="F100" t="inlineStr">
        <is>
          <t>SMB</t>
        </is>
      </c>
      <c r="G100" t="inlineStr">
        <is>
          <t>Lead Management</t>
        </is>
      </c>
      <c r="H100" t="inlineStr">
        <is>
          <t>Feature Request</t>
        </is>
      </c>
      <c r="I100" t="inlineStr">
        <is>
          <t>Sharing this from our team. Would love to see lead scoring rules that marketing and sales can both tune. So far 109 people on our side have reported it.</t>
        </is>
      </c>
      <c r="J100" t="inlineStr">
        <is>
          <t>Neutral</t>
        </is>
      </c>
      <c r="K100" t="inlineStr">
        <is>
          <t>Medium</t>
        </is>
      </c>
      <c r="L100" t="inlineStr">
        <is>
          <t>Minor Inconvenience</t>
        </is>
      </c>
    </row>
    <row r="101">
      <c r="A101" t="inlineStr">
        <is>
          <t>FB-00100</t>
        </is>
      </c>
      <c r="B101" t="inlineStr">
        <is>
          <t>CUST-0084</t>
        </is>
      </c>
      <c r="C101" t="inlineStr">
        <is>
          <t>2025-10-29</t>
        </is>
      </c>
      <c r="D101" t="inlineStr">
        <is>
          <t>Support Ticket</t>
        </is>
      </c>
      <c r="E101" t="inlineStr">
        <is>
          <t>Enterprise</t>
        </is>
      </c>
      <c r="F101" t="inlineStr">
        <is>
          <t>Enterprise</t>
        </is>
      </c>
      <c r="G101" t="inlineStr">
        <is>
          <t>Lead Management</t>
        </is>
      </c>
      <c r="H101" t="inlineStr">
        <is>
          <t>Bug</t>
        </is>
      </c>
      <c r="I101" t="inlineStr">
        <is>
          <t>Web form submissions keep creating duplicate lead records, and reps end up calling the same prospect twice. We need a fix before renewal.</t>
        </is>
      </c>
      <c r="J101" t="inlineStr">
        <is>
          <t>Negative</t>
        </is>
      </c>
      <c r="K101" t="inlineStr">
        <is>
          <t>Medium</t>
        </is>
      </c>
      <c r="L101" t="inlineStr">
        <is>
          <t>Blocks Key Task</t>
        </is>
      </c>
    </row>
    <row r="102">
      <c r="A102" t="inlineStr">
        <is>
          <t>FB-00101</t>
        </is>
      </c>
      <c r="B102" t="inlineStr">
        <is>
          <t>CUST-0243</t>
        </is>
      </c>
      <c r="C102" t="inlineStr">
        <is>
          <t>2025-10-29</t>
        </is>
      </c>
      <c r="D102" t="inlineStr">
        <is>
          <t>Support Ticket</t>
        </is>
      </c>
      <c r="E102" t="inlineStr">
        <is>
          <t>Professional</t>
        </is>
      </c>
      <c r="F102" t="inlineStr">
        <is>
          <t>SMB</t>
        </is>
      </c>
      <c r="G102" t="inlineStr">
        <is>
          <t>Reporting</t>
        </is>
      </c>
      <c r="H102" t="inlineStr">
        <is>
          <t>Bug</t>
        </is>
      </c>
      <c r="I102" t="inlineStr">
        <is>
          <t>Our Excel export drops formatting and shows dates as numbers. So far 41 people on our side have reported it.</t>
        </is>
      </c>
      <c r="J102" t="inlineStr">
        <is>
          <t>Negative</t>
        </is>
      </c>
      <c r="K102" t="inlineStr">
        <is>
          <t>High</t>
        </is>
      </c>
      <c r="L102" t="inlineStr">
        <is>
          <t>Workflow Slowdown</t>
        </is>
      </c>
    </row>
    <row r="103">
      <c r="A103" t="inlineStr">
        <is>
          <t>FB-00102</t>
        </is>
      </c>
      <c r="B103" t="inlineStr">
        <is>
          <t>CUST-0043</t>
        </is>
      </c>
      <c r="C103" t="inlineStr">
        <is>
          <t>2025-10-29</t>
        </is>
      </c>
      <c r="D103" t="inlineStr">
        <is>
          <t>Customer Survey</t>
        </is>
      </c>
      <c r="E103" t="inlineStr">
        <is>
          <t>Starter</t>
        </is>
      </c>
      <c r="F103" t="inlineStr">
        <is>
          <t xml:space="preserve"> SMB</t>
        </is>
      </c>
      <c r="G103" t="inlineStr">
        <is>
          <t>Reporting</t>
        </is>
      </c>
      <c r="H103" t="inlineStr">
        <is>
          <t>Feature Request</t>
        </is>
      </c>
      <c r="I103" t="inlineStr">
        <is>
          <t>Requesting a custom report builder so leadership gets numbers without logging in. It happens about 37 times a week for our team of 74. Let us know if you need examples.</t>
        </is>
      </c>
      <c r="J103" t="inlineStr">
        <is>
          <t>Neutral</t>
        </is>
      </c>
      <c r="K103" t="inlineStr">
        <is>
          <t>Medium</t>
        </is>
      </c>
      <c r="L103" t="inlineStr">
        <is>
          <t>Minor Inconvenience</t>
        </is>
      </c>
    </row>
    <row r="104">
      <c r="A104" t="inlineStr">
        <is>
          <t>FB-00103</t>
        </is>
      </c>
      <c r="B104" t="inlineStr">
        <is>
          <t>CUST-0263</t>
        </is>
      </c>
      <c r="C104" t="inlineStr">
        <is>
          <t>2025-10-30</t>
        </is>
      </c>
      <c r="D104" t="inlineStr">
        <is>
          <t>In-App Feedback</t>
        </is>
      </c>
      <c r="E104" t="inlineStr">
        <is>
          <t>Professional</t>
        </is>
      </c>
      <c r="F104" t="inlineStr">
        <is>
          <t>Mid-Market</t>
        </is>
      </c>
      <c r="G104" t="inlineStr">
        <is>
          <t>Reporting</t>
        </is>
      </c>
      <c r="H104" t="inlineStr">
        <is>
          <t>Bug</t>
        </is>
      </c>
      <c r="I104" t="inlineStr">
        <is>
          <t>FYI for the product team. The report export times out for date ranges longer than a quarter. Let us know if you need examples.</t>
        </is>
      </c>
      <c r="J104" t="inlineStr">
        <is>
          <t>Neutral</t>
        </is>
      </c>
      <c r="K104" t="inlineStr">
        <is>
          <t>Critical</t>
        </is>
      </c>
      <c r="L104" t="inlineStr">
        <is>
          <t>Blocks Key Task</t>
        </is>
      </c>
    </row>
    <row r="105">
      <c r="A105" t="inlineStr">
        <is>
          <t>FB-00104</t>
        </is>
      </c>
      <c r="B105" t="inlineStr">
        <is>
          <t>CUST-0197</t>
        </is>
      </c>
      <c r="C105" t="inlineStr">
        <is>
          <t>2025-10-30</t>
        </is>
      </c>
      <c r="D105" t="inlineStr">
        <is>
          <t>Feature Request</t>
        </is>
      </c>
      <c r="E105" t="inlineStr">
        <is>
          <t>Professional</t>
        </is>
      </c>
      <c r="F105" t="inlineStr">
        <is>
          <t>Mid-Market</t>
        </is>
      </c>
      <c r="G105" t="inlineStr">
        <is>
          <t>contact management</t>
        </is>
      </c>
      <c r="H105" t="inlineStr">
        <is>
          <t>feature request</t>
        </is>
      </c>
      <c r="I105" t="inlineStr">
        <is>
          <t>A bulk contact merge that keeps activity history would save our ops team hours. It happens about 3 times a week for our team of 106. Let us know if you need examples.</t>
        </is>
      </c>
      <c r="J105" t="inlineStr">
        <is>
          <t>Neutral</t>
        </is>
      </c>
      <c r="K105" t="inlineStr">
        <is>
          <t>Medium</t>
        </is>
      </c>
      <c r="L105" t="inlineStr">
        <is>
          <t>Workflow Slowdown</t>
        </is>
      </c>
    </row>
    <row r="106">
      <c r="A106" t="inlineStr">
        <is>
          <t>FB-00105</t>
        </is>
      </c>
      <c r="B106" t="inlineStr">
        <is>
          <t>CUST-0054</t>
        </is>
      </c>
      <c r="C106" t="inlineStr">
        <is>
          <t>2025-10-30</t>
        </is>
      </c>
      <c r="D106" t="inlineStr">
        <is>
          <t>Support Ticket</t>
        </is>
      </c>
      <c r="E106" t="inlineStr">
        <is>
          <t>Enterprise</t>
        </is>
      </c>
      <c r="F106" t="inlineStr">
        <is>
          <t>Enterprise</t>
        </is>
      </c>
      <c r="G106" t="inlineStr">
        <is>
          <t>Reporting</t>
        </is>
      </c>
      <c r="H106" t="inlineStr">
        <is>
          <t xml:space="preserve">Feature Request </t>
        </is>
      </c>
      <c r="I106" t="inlineStr">
        <is>
          <t>Sharing this from our team. Without a custom report builder we export raw data and rebuild everything elsewhere. So far 5 people on our side have reported it.</t>
        </is>
      </c>
      <c r="J106" t="inlineStr">
        <is>
          <t>Neutral</t>
        </is>
      </c>
      <c r="K106" t="inlineStr">
        <is>
          <t>Medium</t>
        </is>
      </c>
      <c r="L106" t="inlineStr">
        <is>
          <t>Workflow Slowdown</t>
        </is>
      </c>
    </row>
    <row r="107">
      <c r="A107" t="inlineStr">
        <is>
          <t>FB-00106</t>
        </is>
      </c>
      <c r="B107" t="inlineStr">
        <is>
          <t>CUST-0349</t>
        </is>
      </c>
      <c r="C107" t="inlineStr">
        <is>
          <t>2025-10-30</t>
        </is>
      </c>
      <c r="D107" t="inlineStr">
        <is>
          <t>Customer Survey</t>
        </is>
      </c>
      <c r="E107" t="inlineStr">
        <is>
          <t>Professional</t>
        </is>
      </c>
      <c r="F107" t="inlineStr">
        <is>
          <t>Mid-Market</t>
        </is>
      </c>
      <c r="G107" t="inlineStr">
        <is>
          <t>Contact Management</t>
        </is>
      </c>
      <c r="H107" t="inlineStr">
        <is>
          <t>Feature Request</t>
        </is>
      </c>
      <c r="I107" t="inlineStr">
        <is>
          <t>This has been a recurring problem for us. Lacking a contact relationship hierarchy forces us to keep a parallel spreadsheet. Our customer success lead flagged it while onboarding 80 new users. Is there a workaround?</t>
        </is>
      </c>
      <c r="J107" t="inlineStr">
        <is>
          <t>Negative</t>
        </is>
      </c>
      <c r="K107" t="inlineStr">
        <is>
          <t>Medium</t>
        </is>
      </c>
      <c r="L107" t="inlineStr">
        <is>
          <t>Minor Inconvenience</t>
        </is>
      </c>
    </row>
    <row r="108">
      <c r="A108" t="inlineStr">
        <is>
          <t>FB-00107</t>
        </is>
      </c>
      <c r="B108" t="inlineStr">
        <is>
          <t>CUST-0334</t>
        </is>
      </c>
      <c r="C108" t="inlineStr">
        <is>
          <t>2025-10-31</t>
        </is>
      </c>
      <c r="D108" t="inlineStr">
        <is>
          <t>Feature Request</t>
        </is>
      </c>
      <c r="E108" t="inlineStr">
        <is>
          <t>Enterprise</t>
        </is>
      </c>
      <c r="F108" t="inlineStr">
        <is>
          <t>SMB</t>
        </is>
      </c>
      <c r="G108" t="inlineStr">
        <is>
          <t>Lead Management</t>
        </is>
      </c>
      <c r="H108" t="inlineStr">
        <is>
          <t>Feature Request</t>
        </is>
      </c>
      <c r="I108" t="inlineStr">
        <is>
          <t>Right now reps rank leads by gut feel; lead scoring rules would fix that. So far 23 people on our side have reported it.</t>
        </is>
      </c>
      <c r="J108" t="inlineStr">
        <is>
          <t>Neutral</t>
        </is>
      </c>
      <c r="K108" t="inlineStr">
        <is>
          <t>Low</t>
        </is>
      </c>
      <c r="L108" t="inlineStr">
        <is>
          <t>Workflow Slowdown</t>
        </is>
      </c>
    </row>
    <row r="109">
      <c r="A109" t="inlineStr">
        <is>
          <t>FB-00108</t>
        </is>
      </c>
      <c r="B109" t="inlineStr">
        <is>
          <t>CUST-0349</t>
        </is>
      </c>
      <c r="C109" t="inlineStr">
        <is>
          <t>2025-10-31</t>
        </is>
      </c>
      <c r="D109" t="inlineStr">
        <is>
          <t>Support Ticket</t>
        </is>
      </c>
      <c r="E109" t="inlineStr">
        <is>
          <t>Professional</t>
        </is>
      </c>
      <c r="F109" t="inlineStr">
        <is>
          <t>Mid-Market</t>
        </is>
      </c>
      <c r="G109" t="inlineStr">
        <is>
          <t>Workflow Automation</t>
        </is>
      </c>
      <c r="H109" t="inlineStr">
        <is>
          <t>Usability Issue</t>
        </is>
      </c>
      <c r="I109" t="inlineStr">
        <is>
          <t>Recent updates have been a nice improvement. I can't tell what a branch does in the workflow builder without opening every node. So far 17 people on our side have reported it.</t>
        </is>
      </c>
      <c r="J109" t="inlineStr">
        <is>
          <t>Positive</t>
        </is>
      </c>
      <c r="K109" t="inlineStr">
        <is>
          <t>Low</t>
        </is>
      </c>
      <c r="L109" t="inlineStr">
        <is>
          <t>Minor Inconvenience</t>
        </is>
      </c>
    </row>
    <row r="110">
      <c r="A110" t="inlineStr">
        <is>
          <t>FB-00109</t>
        </is>
      </c>
      <c r="B110" t="inlineStr">
        <is>
          <t>CUST-0284</t>
        </is>
      </c>
      <c r="C110" t="inlineStr">
        <is>
          <t>2025-10-31</t>
        </is>
      </c>
      <c r="D110" t="inlineStr">
        <is>
          <t>Support Ticket</t>
        </is>
      </c>
      <c r="E110" t="inlineStr">
        <is>
          <t>Enterprise</t>
        </is>
      </c>
      <c r="F110" t="inlineStr">
        <is>
          <t>Enterprise</t>
        </is>
      </c>
      <c r="G110" t="inlineStr">
        <is>
          <t>Workflow Automation</t>
        </is>
      </c>
      <c r="H110" t="inlineStr">
        <is>
          <t>Bug</t>
        </is>
      </c>
      <c r="I110" t="inlineStr">
        <is>
          <t>Great support experience recently. Since the last release we've had workflow failures and tasks are being created twice. So far 41 people on our side have reported it. Happy to beta test.</t>
        </is>
      </c>
      <c r="J110" t="inlineStr">
        <is>
          <t>Positive</t>
        </is>
      </c>
      <c r="K110" t="inlineStr">
        <is>
          <t>Low</t>
        </is>
      </c>
      <c r="L110" t="inlineStr">
        <is>
          <t>Minor Inconvenience</t>
        </is>
      </c>
    </row>
    <row r="111">
      <c r="A111" t="inlineStr">
        <is>
          <t>FB-00110</t>
        </is>
      </c>
      <c r="B111" t="inlineStr">
        <is>
          <t>CUST-0334</t>
        </is>
      </c>
      <c r="C111" t="inlineStr">
        <is>
          <t>2025-10-31</t>
        </is>
      </c>
      <c r="D111" t="inlineStr">
        <is>
          <t>Support Ticket</t>
        </is>
      </c>
      <c r="E111" t="inlineStr">
        <is>
          <t>ENTERPRISE</t>
        </is>
      </c>
      <c r="F111" t="inlineStr">
        <is>
          <t>SMB</t>
        </is>
      </c>
      <c r="G111" t="inlineStr">
        <is>
          <t>Reporting</t>
        </is>
      </c>
      <c r="H111" t="inlineStr">
        <is>
          <t>Bug</t>
        </is>
      </c>
      <c r="I111" t="inlineStr">
        <is>
          <t>Not what we expected for the price. The Excel export times out for date ranges longer than a quarter. Support suggested logging it here.</t>
        </is>
      </c>
      <c r="J111" t="inlineStr">
        <is>
          <t>Negative</t>
        </is>
      </c>
      <c r="K111" t="inlineStr">
        <is>
          <t>Low</t>
        </is>
      </c>
      <c r="L111" t="inlineStr">
        <is>
          <t>Minor Inconvenience</t>
        </is>
      </c>
    </row>
    <row r="112">
      <c r="A112" t="inlineStr">
        <is>
          <t>FB-00111</t>
        </is>
      </c>
      <c r="B112" t="inlineStr">
        <is>
          <t>CUST-0046</t>
        </is>
      </c>
      <c r="C112" t="inlineStr">
        <is>
          <t>2025-10-31</t>
        </is>
      </c>
      <c r="D112" t="inlineStr">
        <is>
          <t>Feature Request</t>
        </is>
      </c>
      <c r="E112" t="inlineStr">
        <is>
          <t>Professional</t>
        </is>
      </c>
      <c r="F112" t="inlineStr">
        <is>
          <t>Mid-Market</t>
        </is>
      </c>
      <c r="G112" t="inlineStr">
        <is>
          <t>User Interface</t>
        </is>
      </c>
      <c r="H112" t="inlineStr">
        <is>
          <t>Usability Issue</t>
        </is>
      </c>
      <c r="I112" t="inlineStr">
        <is>
          <t>FYI for the product team. The page layout changed and nobody told us where things moved. We estimate we lose roughly 51 hours a month on this. Let us know if you need examples.</t>
        </is>
      </c>
      <c r="J112" t="inlineStr">
        <is>
          <t>Neutral</t>
        </is>
      </c>
      <c r="K112" t="inlineStr">
        <is>
          <t>Medium</t>
        </is>
      </c>
      <c r="L112" t="inlineStr">
        <is>
          <t>Minor Inconvenience</t>
        </is>
      </c>
    </row>
    <row r="113">
      <c r="A113" t="inlineStr">
        <is>
          <t>FB-00112</t>
        </is>
      </c>
      <c r="B113" t="inlineStr">
        <is>
          <t>CUST-0222</t>
        </is>
      </c>
      <c r="C113" t="inlineStr">
        <is>
          <t>2025-10-31</t>
        </is>
      </c>
      <c r="D113" t="inlineStr">
        <is>
          <t>Customer Survey</t>
        </is>
      </c>
      <c r="E113" t="inlineStr">
        <is>
          <t>Professional</t>
        </is>
      </c>
      <c r="F113" t="inlineStr">
        <is>
          <t>Mid-Market</t>
        </is>
      </c>
      <c r="G113" t="inlineStr">
        <is>
          <t>Workflow Automation</t>
        </is>
      </c>
      <c r="H113" t="inlineStr">
        <is>
          <t>Usability Issue</t>
        </is>
      </c>
      <c r="I113" t="inlineStr">
        <is>
          <t>Frustrated with this one. I can't tell what a branch does in the workflow builder without opening every node. It affects our renewal process every cycle. Support suggested logging it here.</t>
        </is>
      </c>
      <c r="J113" t="inlineStr">
        <is>
          <t>Negative</t>
        </is>
      </c>
      <c r="K113" t="inlineStr">
        <is>
          <t>Low</t>
        </is>
      </c>
      <c r="L113" t="inlineStr">
        <is>
          <t>Workflow Slowdown</t>
        </is>
      </c>
    </row>
    <row r="114">
      <c r="A114" t="inlineStr">
        <is>
          <t>FB-00113</t>
        </is>
      </c>
      <c r="B114" t="inlineStr">
        <is>
          <t>CUST-0132</t>
        </is>
      </c>
      <c r="C114" t="inlineStr">
        <is>
          <t>2025-11-01</t>
        </is>
      </c>
      <c r="D114" t="inlineStr">
        <is>
          <t>Support Ticket</t>
        </is>
      </c>
      <c r="E114" t="inlineStr">
        <is>
          <t>Starter</t>
        </is>
      </c>
      <c r="F114" t="inlineStr">
        <is>
          <t>SMB</t>
        </is>
      </c>
      <c r="G114" t="inlineStr">
        <is>
          <t>Workflow Automation</t>
        </is>
      </c>
      <c r="H114" t="inlineStr">
        <is>
          <t>Bug</t>
        </is>
      </c>
      <c r="I114" t="inlineStr">
        <is>
          <t>Since the last release we've had workflow runs failing silently and tasks are being created twice. Our customer success lead flagged it while onboarding 13 new users. Is there a workaround?</t>
        </is>
      </c>
      <c r="J114" t="inlineStr">
        <is>
          <t>Negative</t>
        </is>
      </c>
      <c r="K114" t="inlineStr">
        <is>
          <t>Critical</t>
        </is>
      </c>
      <c r="L114" t="inlineStr">
        <is>
          <t>Revenue/Operations Risk</t>
        </is>
      </c>
    </row>
    <row r="115">
      <c r="A115" t="inlineStr">
        <is>
          <t>FB-00114</t>
        </is>
      </c>
      <c r="B115" t="inlineStr">
        <is>
          <t>CUST-0284</t>
        </is>
      </c>
      <c r="C115" t="inlineStr">
        <is>
          <t>2025-11-01</t>
        </is>
      </c>
      <c r="D115" t="inlineStr">
        <is>
          <t>In-App Feedback</t>
        </is>
      </c>
      <c r="E115" t="inlineStr">
        <is>
          <t>Enterprise</t>
        </is>
      </c>
      <c r="F115" t="inlineStr">
        <is>
          <t>Enterprise</t>
        </is>
      </c>
      <c r="G115" t="inlineStr">
        <is>
          <t>Workflow Automation</t>
        </is>
      </c>
      <c r="H115" t="inlineStr">
        <is>
          <t>Usability Issue</t>
        </is>
      </c>
      <c r="I115" t="inlineStr">
        <is>
          <t>Raising this again after our last business review. I can't tell what a branch does in the workflow editor without opening every node.</t>
        </is>
      </c>
      <c r="J115" t="inlineStr">
        <is>
          <t>Negative</t>
        </is>
      </c>
      <c r="K115" t="inlineStr">
        <is>
          <t>Medium</t>
        </is>
      </c>
      <c r="L115" t="inlineStr">
        <is>
          <t>Workflow Slowdown</t>
        </is>
      </c>
    </row>
    <row r="116">
      <c r="A116" t="inlineStr">
        <is>
          <t>FB-00115</t>
        </is>
      </c>
      <c r="B116" t="inlineStr">
        <is>
          <t>CUST-0137</t>
        </is>
      </c>
      <c r="C116" t="inlineStr">
        <is>
          <t>2025-11-01</t>
        </is>
      </c>
      <c r="D116" t="inlineStr">
        <is>
          <t>Feature Request</t>
        </is>
      </c>
      <c r="E116" t="inlineStr">
        <is>
          <t>Starter</t>
        </is>
      </c>
      <c r="F116" t="inlineStr">
        <is>
          <t>SMB</t>
        </is>
      </c>
      <c r="G116" t="inlineStr">
        <is>
          <t>Integrations</t>
        </is>
      </c>
      <c r="H116" t="inlineStr">
        <is>
          <t>Feature Request</t>
        </is>
      </c>
      <c r="I116" t="inlineStr">
        <is>
          <t>Requesting a marketing automation connector to remove manual re-entry. It affects our month-end reporting process every cycle. Thanks to the team.</t>
        </is>
      </c>
      <c r="J116" t="inlineStr">
        <is>
          <t>Positive</t>
        </is>
      </c>
      <c r="K116" t="inlineStr">
        <is>
          <t>Low</t>
        </is>
      </c>
      <c r="L116" t="inlineStr">
        <is>
          <t>Minor Inconvenience</t>
        </is>
      </c>
    </row>
    <row r="117">
      <c r="A117" t="inlineStr">
        <is>
          <t>FB-00116</t>
        </is>
      </c>
      <c r="B117" t="inlineStr">
        <is>
          <t>CUST-0257</t>
        </is>
      </c>
      <c r="C117" t="inlineStr">
        <is>
          <t>2025-11-01</t>
        </is>
      </c>
      <c r="D117" t="inlineStr">
        <is>
          <t>Customer Survey</t>
        </is>
      </c>
      <c r="E117" t="inlineStr">
        <is>
          <t>Enterprise</t>
        </is>
      </c>
      <c r="F117" t="inlineStr">
        <is>
          <t>Mid-Market</t>
        </is>
      </c>
      <c r="G117" t="inlineStr">
        <is>
          <t>Contact Management</t>
        </is>
      </c>
      <c r="H117" t="inlineStr">
        <is>
          <t>Feature Request</t>
        </is>
      </c>
      <c r="I117" t="inlineStr">
        <is>
          <t>Feedback from our monthly review. Is there any plan for a tool to merge duplicate contacts? Merging one record at a time is not realistic. It happens about 38 times a week for our team of 64. Let us know if you need examples.</t>
        </is>
      </c>
      <c r="J117" t="inlineStr">
        <is>
          <t>Neutral</t>
        </is>
      </c>
      <c r="K117" t="inlineStr">
        <is>
          <t>Low</t>
        </is>
      </c>
      <c r="L117" t="inlineStr">
        <is>
          <t>Minor Inconvenience</t>
        </is>
      </c>
    </row>
    <row r="118">
      <c r="A118" t="inlineStr">
        <is>
          <t>FB-00117</t>
        </is>
      </c>
      <c r="B118" t="inlineStr">
        <is>
          <t>CUST-0286</t>
        </is>
      </c>
      <c r="C118" t="inlineStr">
        <is>
          <t>2025-11-01</t>
        </is>
      </c>
      <c r="D118" t="inlineStr">
        <is>
          <t>In-App Feedback</t>
        </is>
      </c>
      <c r="E118" t="inlineStr">
        <is>
          <t>Enterprise</t>
        </is>
      </c>
      <c r="F118" t="inlineStr">
        <is>
          <t>Enterprise</t>
        </is>
      </c>
      <c r="G118" t="inlineStr">
        <is>
          <t>Reporting</t>
        </is>
      </c>
      <c r="H118" t="inlineStr">
        <is>
          <t>Feature Request</t>
        </is>
      </c>
      <c r="I118" t="inlineStr">
        <is>
          <t>Noting this during onboarding. Requesting a custom report builder so leadership gets numbers without logging in. So far 106 people on our side have reported it. Let us know if you need examples.</t>
        </is>
      </c>
      <c r="J118" t="inlineStr">
        <is>
          <t>Neutral</t>
        </is>
      </c>
      <c r="K118" t="inlineStr">
        <is>
          <t>High</t>
        </is>
      </c>
      <c r="L118" t="inlineStr">
        <is>
          <t>Workflow Slowdown</t>
        </is>
      </c>
    </row>
    <row r="119">
      <c r="A119" t="inlineStr">
        <is>
          <t>FB-00118</t>
        </is>
      </c>
      <c r="B119" t="inlineStr">
        <is>
          <t>CUST-0168</t>
        </is>
      </c>
      <c r="C119" t="inlineStr">
        <is>
          <t>2025-11-01</t>
        </is>
      </c>
      <c r="D119" t="inlineStr">
        <is>
          <t>In-App Feedback</t>
        </is>
      </c>
      <c r="E119" t="inlineStr">
        <is>
          <t>Professional</t>
        </is>
      </c>
      <c r="F119" t="inlineStr">
        <is>
          <t>Mid-Market</t>
        </is>
      </c>
      <c r="G119" t="inlineStr">
        <is>
          <t>Integrations</t>
        </is>
      </c>
      <c r="H119" t="inlineStr">
        <is>
          <t>Integration Issue</t>
        </is>
      </c>
      <c r="I119" t="inlineStr">
        <is>
          <t>The Outlook calendar sync duplicates meetings and misses replies. It happens about 2 times a week for our team of 52.</t>
        </is>
      </c>
      <c r="J119" t="inlineStr">
        <is>
          <t>Neutral</t>
        </is>
      </c>
      <c r="K119" t="inlineStr">
        <is>
          <t>Low</t>
        </is>
      </c>
      <c r="L119" t="inlineStr">
        <is>
          <t>Minor Inconvenience</t>
        </is>
      </c>
    </row>
    <row r="120">
      <c r="A120" t="inlineStr">
        <is>
          <t>FB-00119</t>
        </is>
      </c>
      <c r="B120" t="inlineStr">
        <is>
          <t>CUST-0288</t>
        </is>
      </c>
      <c r="C120" t="inlineStr">
        <is>
          <t>2025-11-01</t>
        </is>
      </c>
      <c r="D120" t="inlineStr">
        <is>
          <t>Customer Survey</t>
        </is>
      </c>
      <c r="E120" t="inlineStr">
        <is>
          <t>Professional</t>
        </is>
      </c>
      <c r="F120" t="inlineStr">
        <is>
          <t>Mid-Market</t>
        </is>
      </c>
      <c r="G120" t="inlineStr">
        <is>
          <t>Contact Management</t>
        </is>
      </c>
      <c r="H120" t="inlineStr">
        <is>
          <t>Performance Issue</t>
        </is>
      </c>
      <c r="I120" t="inlineStr">
        <is>
          <t>Not what we expected for the price. Our contact search is slow and often returns stale results right after an update. Is there a workaround?</t>
        </is>
      </c>
      <c r="J120" t="inlineStr">
        <is>
          <t>Negative</t>
        </is>
      </c>
      <c r="K120" t="inlineStr">
        <is>
          <t>Medium</t>
        </is>
      </c>
      <c r="L120" t="inlineStr">
        <is>
          <t>Minor Inconvenience</t>
        </is>
      </c>
    </row>
    <row r="121">
      <c r="A121" t="inlineStr">
        <is>
          <t>FB-00120</t>
        </is>
      </c>
      <c r="B121" t="inlineStr">
        <is>
          <t>CUST-0409</t>
        </is>
      </c>
      <c r="C121" t="inlineStr">
        <is>
          <t>02-Nov-2025</t>
        </is>
      </c>
      <c r="D121" t="inlineStr">
        <is>
          <t>In-App Feedback</t>
        </is>
      </c>
      <c r="E121" t="inlineStr">
        <is>
          <t>Starter</t>
        </is>
      </c>
      <c r="F121" t="inlineStr">
        <is>
          <t>SMB</t>
        </is>
      </c>
      <c r="G121" t="inlineStr">
        <is>
          <t>Lead Management</t>
        </is>
      </c>
      <c r="H121" t="inlineStr">
        <is>
          <t>Usability Issue</t>
        </is>
      </c>
      <c r="I121" t="inlineStr">
        <is>
          <t>Sharing this from our team. Setting up round-robin lead assignment takes too many steps and the options don't cover territories. Our finance analyst flagged it while onboarding 32 new users. Let us know if you need examples.</t>
        </is>
      </c>
      <c r="J121" t="inlineStr">
        <is>
          <t>Neutral</t>
        </is>
      </c>
      <c r="K121" t="inlineStr">
        <is>
          <t>Medium</t>
        </is>
      </c>
      <c r="L121" t="inlineStr">
        <is>
          <t>Workflow Slowdown</t>
        </is>
      </c>
    </row>
    <row r="122">
      <c r="A122" t="inlineStr">
        <is>
          <t>FB-00121</t>
        </is>
      </c>
      <c r="B122" t="inlineStr">
        <is>
          <t>CUST-0132</t>
        </is>
      </c>
      <c r="C122" t="inlineStr">
        <is>
          <t>2025-11-02</t>
        </is>
      </c>
      <c r="D122" t="inlineStr">
        <is>
          <t>Feature Request</t>
        </is>
      </c>
      <c r="E122" t="inlineStr">
        <is>
          <t>Starter</t>
        </is>
      </c>
      <c r="F122" t="inlineStr">
        <is>
          <t>SMB</t>
        </is>
      </c>
      <c r="G122" t="inlineStr">
        <is>
          <t>Contact Management</t>
        </is>
      </c>
      <c r="H122" t="inlineStr">
        <is>
          <t>Performance Issue</t>
        </is>
      </c>
      <c r="I122" t="inlineStr">
        <is>
          <t>Sharing this from our team. The contact list filtering times out on our largest accounts. It affects our lead handoff process every cycle. Happy to join a feedback call.</t>
        </is>
      </c>
      <c r="J122" t="inlineStr">
        <is>
          <t>Neutral</t>
        </is>
      </c>
      <c r="K122" t="inlineStr">
        <is>
          <t>Low</t>
        </is>
      </c>
      <c r="L122" t="inlineStr">
        <is>
          <t>Workflow Slowdown</t>
        </is>
      </c>
    </row>
    <row r="123">
      <c r="A123" t="inlineStr">
        <is>
          <t>FB-00122</t>
        </is>
      </c>
      <c r="B123" t="inlineStr">
        <is>
          <t>CUST-0411</t>
        </is>
      </c>
      <c r="C123" t="inlineStr">
        <is>
          <t>2025-11-03</t>
        </is>
      </c>
      <c r="D123" t="inlineStr">
        <is>
          <t>Support Ticket</t>
        </is>
      </c>
      <c r="E123" t="inlineStr">
        <is>
          <t>Starter</t>
        </is>
      </c>
      <c r="F123" t="inlineStr">
        <is>
          <t>SMB</t>
        </is>
      </c>
      <c r="G123" t="inlineStr">
        <is>
          <t>Lead Management</t>
        </is>
      </c>
      <c r="H123" t="inlineStr">
        <is>
          <t>Bug</t>
        </is>
      </c>
      <c r="I123" t="inlineStr">
        <is>
          <t>This has been a recurring problem for us. Web form submissions keep creating duplicated leads, and reps end up calling the same prospect twice. So far 118 people on our side have reported it.</t>
        </is>
      </c>
      <c r="J123" t="inlineStr">
        <is>
          <t>Negative</t>
        </is>
      </c>
      <c r="K123" t="inlineStr">
        <is>
          <t>Medium</t>
        </is>
      </c>
      <c r="L123" t="inlineStr">
        <is>
          <t>Blocks Key Task</t>
        </is>
      </c>
    </row>
    <row r="124">
      <c r="A124" t="inlineStr">
        <is>
          <t>FB-00123</t>
        </is>
      </c>
      <c r="B124" t="inlineStr">
        <is>
          <t>CUST-0251</t>
        </is>
      </c>
      <c r="C124" t="inlineStr">
        <is>
          <t>2025-11-03</t>
        </is>
      </c>
      <c r="D124" t="inlineStr">
        <is>
          <t>Feature Request</t>
        </is>
      </c>
      <c r="E124" t="inlineStr">
        <is>
          <t>Professional</t>
        </is>
      </c>
      <c r="F124" t="inlineStr">
        <is>
          <t>Mid-Market</t>
        </is>
      </c>
      <c r="G124" t="inlineStr">
        <is>
          <t>Workflow Automation</t>
        </is>
      </c>
      <c r="H124" t="inlineStr">
        <is>
          <t>Feature Request</t>
        </is>
      </c>
      <c r="I124" t="inlineStr">
        <is>
          <t>Overall we like the product. We'd adopt automation faster with workflow templates we could customize. Our finance analyst flagged it while onboarding 43 new users.</t>
        </is>
      </c>
      <c r="J124" t="inlineStr">
        <is>
          <t>Positive</t>
        </is>
      </c>
      <c r="K124" t="inlineStr">
        <is>
          <t>Low</t>
        </is>
      </c>
      <c r="L124" t="inlineStr">
        <is>
          <t>Workflow Slowdown</t>
        </is>
      </c>
    </row>
    <row r="125">
      <c r="A125" t="inlineStr">
        <is>
          <t>FB-00124</t>
        </is>
      </c>
      <c r="B125" t="inlineStr">
        <is>
          <t>CUST-0057</t>
        </is>
      </c>
      <c r="C125" t="inlineStr">
        <is>
          <t>2025-11-03</t>
        </is>
      </c>
      <c r="D125" t="inlineStr">
        <is>
          <t>Customer Survey</t>
        </is>
      </c>
      <c r="E125" t="inlineStr">
        <is>
          <t>Professional</t>
        </is>
      </c>
      <c r="F125" t="inlineStr">
        <is>
          <t>SMB</t>
        </is>
      </c>
      <c r="G125" t="inlineStr">
        <is>
          <t>Workflow Automation</t>
        </is>
      </c>
      <c r="H125" t="inlineStr">
        <is>
          <t>Usability Issue</t>
        </is>
      </c>
      <c r="I125" t="inlineStr">
        <is>
          <t>Escalating on behalf of our ops lead. Our new admins struggle with the workflow builder; there is no guidance or validation. Support suggested logging it here.</t>
        </is>
      </c>
      <c r="J125" t="inlineStr">
        <is>
          <t>Negative</t>
        </is>
      </c>
      <c r="K125" t="inlineStr">
        <is>
          <t>Low</t>
        </is>
      </c>
      <c r="L125" t="inlineStr">
        <is>
          <t>Workflow Slowdown</t>
        </is>
      </c>
    </row>
    <row r="126">
      <c r="A126" t="inlineStr">
        <is>
          <t>FB-00125</t>
        </is>
      </c>
      <c r="B126" t="inlineStr">
        <is>
          <t>CUST-0091</t>
        </is>
      </c>
      <c r="C126" t="inlineStr">
        <is>
          <t>2025-11-04</t>
        </is>
      </c>
      <c r="D126" t="inlineStr">
        <is>
          <t>In-App Feedback</t>
        </is>
      </c>
      <c r="E126" t="inlineStr">
        <is>
          <t>Professional</t>
        </is>
      </c>
      <c r="F126" t="inlineStr">
        <is>
          <t>SMB</t>
        </is>
      </c>
      <c r="G126" t="inlineStr">
        <is>
          <t>Lead Management</t>
        </is>
      </c>
      <c r="H126" t="inlineStr">
        <is>
          <t>Feature Request</t>
        </is>
      </c>
      <c r="I126" t="inlineStr">
        <is>
          <t>Feedback from our monthly review. Please add automated lead scoring based on engagement, company size and recent activity. Let us know if you need examples.</t>
        </is>
      </c>
      <c r="J126" t="inlineStr">
        <is>
          <t>Neutral</t>
        </is>
      </c>
      <c r="K126" t="inlineStr">
        <is>
          <t>Low</t>
        </is>
      </c>
      <c r="L126" t="inlineStr">
        <is>
          <t>Minor Inconvenience</t>
        </is>
      </c>
    </row>
    <row r="127">
      <c r="A127" t="inlineStr">
        <is>
          <t>FB-00126</t>
        </is>
      </c>
      <c r="B127" t="inlineStr">
        <is>
          <t>CUST-0128</t>
        </is>
      </c>
      <c r="C127" t="inlineStr">
        <is>
          <t>2025-11-04</t>
        </is>
      </c>
      <c r="D127" t="inlineStr">
        <is>
          <t>Support Ticket</t>
        </is>
      </c>
      <c r="E127" t="inlineStr">
        <is>
          <t>Professional</t>
        </is>
      </c>
      <c r="F127" t="inlineStr">
        <is>
          <t>SMB</t>
        </is>
      </c>
      <c r="G127" t="inlineStr">
        <is>
          <t>User Interface</t>
        </is>
      </c>
      <c r="H127" t="inlineStr">
        <is>
          <t>Feature Request</t>
        </is>
      </c>
      <c r="I127" t="inlineStr">
        <is>
          <t>Quick note from our admin. Admins ask for bulk actions on lists every time we reorganize territories.</t>
        </is>
      </c>
      <c r="J127" t="inlineStr">
        <is>
          <t>Neutral</t>
        </is>
      </c>
      <c r="K127" t="inlineStr">
        <is>
          <t>Medium</t>
        </is>
      </c>
      <c r="L127" t="inlineStr">
        <is>
          <t>Blocks Key Task</t>
        </is>
      </c>
    </row>
    <row r="128">
      <c r="A128" t="inlineStr">
        <is>
          <t>FB-00127</t>
        </is>
      </c>
      <c r="B128" t="inlineStr">
        <is>
          <t>CUST-0220</t>
        </is>
      </c>
      <c r="C128" t="inlineStr">
        <is>
          <t>2025-11-04</t>
        </is>
      </c>
      <c r="D128" t="inlineStr">
        <is>
          <t>Feature Request</t>
        </is>
      </c>
      <c r="E128" t="inlineStr">
        <is>
          <t>Professional</t>
        </is>
      </c>
      <c r="F128" t="inlineStr">
        <is>
          <t>Mid-Market</t>
        </is>
      </c>
      <c r="G128" t="inlineStr">
        <is>
          <t>Reporting</t>
        </is>
      </c>
      <c r="H128" t="inlineStr">
        <is>
          <t>Feature Request</t>
        </is>
      </c>
      <c r="I128" t="inlineStr">
        <is>
          <t>Escalating on behalf of our ops lead. Please add report scheduling; today an analyst rebuilds the same report every week. Our finance analyst flagged it while onboarding 25 new users.</t>
        </is>
      </c>
      <c r="J128" t="inlineStr">
        <is>
          <t>Negative</t>
        </is>
      </c>
      <c r="K128" t="inlineStr">
        <is>
          <t>Medium</t>
        </is>
      </c>
      <c r="L128" t="inlineStr">
        <is>
          <t>Workflow Slowdown</t>
        </is>
      </c>
    </row>
    <row r="129">
      <c r="A129" t="inlineStr">
        <is>
          <t>FB-00128</t>
        </is>
      </c>
      <c r="B129" t="inlineStr">
        <is>
          <t>CUST-0051</t>
        </is>
      </c>
      <c r="C129" t="inlineStr">
        <is>
          <t>2025-11-04</t>
        </is>
      </c>
      <c r="D129" t="inlineStr">
        <is>
          <t>In-App Feedback</t>
        </is>
      </c>
      <c r="E129" t="inlineStr">
        <is>
          <t>Enterprise</t>
        </is>
      </c>
      <c r="F129" t="inlineStr">
        <is>
          <t>Enterprise</t>
        </is>
      </c>
      <c r="G129" t="inlineStr">
        <is>
          <t>Reporting</t>
        </is>
      </c>
      <c r="H129" t="inlineStr">
        <is>
          <t>Feature Request</t>
        </is>
      </c>
      <c r="I129" t="inlineStr">
        <is>
          <t>Quick note from our admin. Requesting quota tracking that updates as deal stages change. Our finance analyst flagged it while onboarding 88 new users. Happy to join a feedback call.</t>
        </is>
      </c>
      <c r="J129" t="inlineStr">
        <is>
          <t>Neutral</t>
        </is>
      </c>
      <c r="K129" t="inlineStr">
        <is>
          <t>High</t>
        </is>
      </c>
      <c r="L129" t="inlineStr">
        <is>
          <t>Revenue/Operations Risk</t>
        </is>
      </c>
    </row>
    <row r="130">
      <c r="A130" t="inlineStr">
        <is>
          <t>FB-00129</t>
        </is>
      </c>
      <c r="B130" t="inlineStr">
        <is>
          <t>CUST-0046</t>
        </is>
      </c>
      <c r="C130" t="inlineStr">
        <is>
          <t>2025-11-05</t>
        </is>
      </c>
      <c r="D130" t="inlineStr">
        <is>
          <t>Feature Request</t>
        </is>
      </c>
      <c r="E130" t="inlineStr">
        <is>
          <t>Professional</t>
        </is>
      </c>
      <c r="F130" t="inlineStr">
        <is>
          <t>Mid-Market</t>
        </is>
      </c>
      <c r="G130" t="inlineStr">
        <is>
          <t>Contact Management</t>
        </is>
      </c>
      <c r="H130" t="inlineStr">
        <is>
          <t>Feature Request</t>
        </is>
      </c>
      <c r="I130" t="inlineStr">
        <is>
          <t>Great support experience recently. Is there any plan for contact de-duplication tooling? Merging one record at a time is not realistic. Our sales manager flagged it while onboarding 21 new users. Keep up the good work.</t>
        </is>
      </c>
      <c r="J130" t="inlineStr">
        <is>
          <t>Positive</t>
        </is>
      </c>
      <c r="K130" t="inlineStr">
        <is>
          <t>Low</t>
        </is>
      </c>
      <c r="L130" t="inlineStr">
        <is>
          <t>Workflow Slowdown</t>
        </is>
      </c>
    </row>
    <row r="131">
      <c r="A131" t="inlineStr">
        <is>
          <t>FB-00130</t>
        </is>
      </c>
      <c r="B131" t="inlineStr">
        <is>
          <t>CUST-0356</t>
        </is>
      </c>
      <c r="C131" t="inlineStr">
        <is>
          <t>2025-11-05</t>
        </is>
      </c>
      <c r="D131" t="inlineStr">
        <is>
          <t>Customer Survey</t>
        </is>
      </c>
      <c r="E131" t="inlineStr">
        <is>
          <t>Professional</t>
        </is>
      </c>
      <c r="F131" t="inlineStr">
        <is>
          <t>Mid-Market</t>
        </is>
      </c>
      <c r="G131" t="inlineStr">
        <is>
          <t>Workflow Automation</t>
        </is>
      </c>
      <c r="H131" t="inlineStr">
        <is>
          <t>Feature Request</t>
        </is>
      </c>
      <c r="I131" t="inlineStr">
        <is>
          <t>A library of workflow templates would cut our setup time. Our customer success lead flagged it while onboarding 42 new users. Let us know if you need examples.</t>
        </is>
      </c>
      <c r="J131" t="inlineStr">
        <is>
          <t>Neutral</t>
        </is>
      </c>
      <c r="K131" t="inlineStr">
        <is>
          <t>Medium</t>
        </is>
      </c>
      <c r="L131" t="inlineStr">
        <is>
          <t>Workflow Slowdown</t>
        </is>
      </c>
    </row>
    <row r="132">
      <c r="A132" t="inlineStr">
        <is>
          <t>FB-00131</t>
        </is>
      </c>
      <c r="B132" t="inlineStr">
        <is>
          <t>CUST-0349</t>
        </is>
      </c>
      <c r="C132" t="inlineStr">
        <is>
          <t>2025-11-05</t>
        </is>
      </c>
      <c r="D132" t="inlineStr">
        <is>
          <t>Support Ticket</t>
        </is>
      </c>
      <c r="E132" t="inlineStr">
        <is>
          <t>Professional</t>
        </is>
      </c>
      <c r="F132" t="inlineStr">
        <is>
          <t>Mid-Market</t>
        </is>
      </c>
      <c r="G132" t="inlineStr">
        <is>
          <t>Lead Management</t>
        </is>
      </c>
      <c r="H132" t="inlineStr">
        <is>
          <t>Bug</t>
        </is>
      </c>
      <c r="I132" t="inlineStr">
        <is>
          <t>Frustrated with this one. After every list import we find duplicate lead records that have to be cleaned up by hand. It happens about 24 times a week for our team of 88. Is there a workaround?</t>
        </is>
      </c>
      <c r="J132" t="inlineStr">
        <is>
          <t>Negative</t>
        </is>
      </c>
      <c r="K132" t="inlineStr">
        <is>
          <t>Medium</t>
        </is>
      </c>
      <c r="L132" t="inlineStr">
        <is>
          <t>Blocks Key Task</t>
        </is>
      </c>
    </row>
    <row r="133">
      <c r="A133" t="inlineStr">
        <is>
          <t>FB-00132</t>
        </is>
      </c>
      <c r="B133" t="inlineStr">
        <is>
          <t>CUST-0216</t>
        </is>
      </c>
      <c r="C133" t="inlineStr">
        <is>
          <t>2025-11-05</t>
        </is>
      </c>
      <c r="D133" t="inlineStr">
        <is>
          <t>Feature Request</t>
        </is>
      </c>
      <c r="E133" t="inlineStr">
        <is>
          <t>Starter</t>
        </is>
      </c>
      <c r="F133" t="inlineStr">
        <is>
          <t>Mid-Market</t>
        </is>
      </c>
      <c r="G133" t="inlineStr">
        <is>
          <t>User Interface</t>
        </is>
      </c>
      <c r="H133" t="inlineStr">
        <is>
          <t>Feature Request</t>
        </is>
      </c>
      <c r="I133" t="inlineStr">
        <is>
          <t>Quick note from our admin. Please prioritize offline mobile access; the mobile web view is hard to use. So far 34 people on our side have reported it. Let us know if you need examples.</t>
        </is>
      </c>
      <c r="J133" t="inlineStr">
        <is>
          <t>Neutral</t>
        </is>
      </c>
      <c r="K133" t="inlineStr">
        <is>
          <t>Low</t>
        </is>
      </c>
      <c r="L133" t="inlineStr">
        <is>
          <t>Minor Inconvenience</t>
        </is>
      </c>
    </row>
    <row r="134">
      <c r="A134" t="inlineStr">
        <is>
          <t>FB-00133</t>
        </is>
      </c>
      <c r="B134" t="inlineStr">
        <is>
          <t>CUST-0258</t>
        </is>
      </c>
      <c r="C134" t="inlineStr">
        <is>
          <t>2025-11-05</t>
        </is>
      </c>
      <c r="D134" t="inlineStr">
        <is>
          <t>Customer Survey</t>
        </is>
      </c>
      <c r="E134" t="inlineStr">
        <is>
          <t>Professional</t>
        </is>
      </c>
      <c r="F134" t="inlineStr">
        <is>
          <t>Mid-Market</t>
        </is>
      </c>
      <c r="G134" t="inlineStr">
        <is>
          <t>Workflow Automation</t>
        </is>
      </c>
      <c r="H134" t="inlineStr">
        <is>
          <t>Usability Issue</t>
        </is>
      </c>
      <c r="I134" t="inlineStr">
        <is>
          <t>Our new admins struggle with the automation canvas; there is no guidance or validation. Please look into it soon.</t>
        </is>
      </c>
      <c r="J134" t="inlineStr">
        <is>
          <t>Negative</t>
        </is>
      </c>
      <c r="K134" t="inlineStr">
        <is>
          <t>Low</t>
        </is>
      </c>
      <c r="L134" t="inlineStr">
        <is>
          <t>Minor Inconvenience</t>
        </is>
      </c>
    </row>
    <row r="135">
      <c r="A135" t="inlineStr">
        <is>
          <t>FB-00134</t>
        </is>
      </c>
      <c r="B135" t="inlineStr">
        <is>
          <t>CUST-0306</t>
        </is>
      </c>
      <c r="C135" t="inlineStr">
        <is>
          <t>2025-11-06</t>
        </is>
      </c>
      <c r="D135" t="inlineStr">
        <is>
          <t>In-App Feedback</t>
        </is>
      </c>
      <c r="E135" t="inlineStr">
        <is>
          <t>Professional</t>
        </is>
      </c>
      <c r="F135" t="inlineStr">
        <is>
          <t>SMB</t>
        </is>
      </c>
      <c r="G135" t="inlineStr">
        <is>
          <t>Contact Management</t>
        </is>
      </c>
      <c r="H135" t="inlineStr">
        <is>
          <t>Bug</t>
        </is>
      </c>
      <c r="I135" t="inlineStr">
        <is>
          <t>Our team keeps running into this. Our import field mapping scrambles phone and email columns even after we map them correctly.</t>
        </is>
      </c>
      <c r="J135" t="inlineStr">
        <is>
          <t>Negative</t>
        </is>
      </c>
      <c r="K135" t="inlineStr">
        <is>
          <t>High</t>
        </is>
      </c>
      <c r="L135" t="inlineStr">
        <is>
          <t>Blocks Key Task</t>
        </is>
      </c>
    </row>
    <row r="136">
      <c r="A136" t="inlineStr">
        <is>
          <t>FB-00135</t>
        </is>
      </c>
      <c r="B136" t="inlineStr">
        <is>
          <t>CUST-0258</t>
        </is>
      </c>
      <c r="C136" t="inlineStr">
        <is>
          <t>2025-11-07</t>
        </is>
      </c>
      <c r="D136" t="inlineStr">
        <is>
          <t>Customer Survey</t>
        </is>
      </c>
      <c r="E136" t="inlineStr">
        <is>
          <t>Professional</t>
        </is>
      </c>
      <c r="F136" t="inlineStr">
        <is>
          <t>Mid-Market</t>
        </is>
      </c>
      <c r="G136" t="inlineStr">
        <is>
          <t>Lead Management</t>
        </is>
      </c>
      <c r="H136" t="inlineStr">
        <is>
          <t>Feature Request</t>
        </is>
      </c>
      <c r="I136" t="inlineStr">
        <is>
          <t>Please add automated lead scoring based on engagement, company size and recent activity. Our finance analyst flagged it while onboarding 15 new users. Let us know if you need examples.</t>
        </is>
      </c>
      <c r="J136" t="inlineStr">
        <is>
          <t>Neutral</t>
        </is>
      </c>
      <c r="K136" t="inlineStr">
        <is>
          <t>Low</t>
        </is>
      </c>
      <c r="L136" t="inlineStr">
        <is>
          <t>Minor Inconvenience</t>
        </is>
      </c>
    </row>
    <row r="137">
      <c r="A137" t="inlineStr">
        <is>
          <t>FB-00136</t>
        </is>
      </c>
      <c r="B137" t="inlineStr">
        <is>
          <t>CUST-0202</t>
        </is>
      </c>
      <c r="C137" t="inlineStr">
        <is>
          <t>2025-11-07</t>
        </is>
      </c>
      <c r="D137" t="inlineStr">
        <is>
          <t>Feature Request</t>
        </is>
      </c>
      <c r="E137" t="inlineStr">
        <is>
          <t>Enterprise</t>
        </is>
      </c>
      <c r="F137" t="inlineStr">
        <is>
          <t>Enterprise</t>
        </is>
      </c>
      <c r="G137" t="inlineStr">
        <is>
          <t>Contact Management</t>
        </is>
      </c>
      <c r="H137" t="inlineStr">
        <is>
          <t>Feature Request</t>
        </is>
      </c>
      <c r="I137" t="inlineStr">
        <is>
          <t>Noting this during onboarding. A bulk contact merge that keeps activity history would save our ops team hours.</t>
        </is>
      </c>
      <c r="J137" t="inlineStr">
        <is>
          <t>Neutral</t>
        </is>
      </c>
      <c r="K137" t="inlineStr">
        <is>
          <t>Medium</t>
        </is>
      </c>
      <c r="L137" t="inlineStr">
        <is>
          <t>Minor Inconvenience</t>
        </is>
      </c>
    </row>
    <row r="138">
      <c r="A138" t="inlineStr">
        <is>
          <t>FB-00137</t>
        </is>
      </c>
      <c r="B138" t="inlineStr">
        <is>
          <t>CUST-0409</t>
        </is>
      </c>
      <c r="C138" t="inlineStr">
        <is>
          <t>2025-11-07</t>
        </is>
      </c>
      <c r="D138" t="inlineStr">
        <is>
          <t>Customer Survey</t>
        </is>
      </c>
      <c r="E138" t="inlineStr">
        <is>
          <t>Starter</t>
        </is>
      </c>
      <c r="F138" t="inlineStr">
        <is>
          <t>SMB</t>
        </is>
      </c>
      <c r="G138" t="inlineStr">
        <is>
          <t>Lead Management</t>
        </is>
      </c>
      <c r="H138" t="inlineStr">
        <is>
          <t>Usability Issue</t>
        </is>
      </c>
      <c r="I138" t="inlineStr">
        <is>
          <t>Setting up lead routing rules takes too many steps and the options don't cover territories. It affects our onboarding process every cycle. Happy to join a feedback call.</t>
        </is>
      </c>
      <c r="J138" t="inlineStr">
        <is>
          <t>Neutral</t>
        </is>
      </c>
      <c r="K138" t="inlineStr">
        <is>
          <t>Medium</t>
        </is>
      </c>
      <c r="L138" t="inlineStr">
        <is>
          <t>Workflow Slowdown</t>
        </is>
      </c>
    </row>
    <row r="139">
      <c r="A139" t="inlineStr">
        <is>
          <t>FB-00138</t>
        </is>
      </c>
      <c r="B139" t="inlineStr">
        <is>
          <t>CUST-0009</t>
        </is>
      </c>
      <c r="C139" t="inlineStr">
        <is>
          <t>2025-11-08</t>
        </is>
      </c>
      <c r="D139" t="inlineStr">
        <is>
          <t>Support Ticket</t>
        </is>
      </c>
      <c r="E139" t="inlineStr">
        <is>
          <t>Professional</t>
        </is>
      </c>
      <c r="F139" t="inlineStr">
        <is>
          <t>Mid-Market</t>
        </is>
      </c>
      <c r="G139" t="inlineStr">
        <is>
          <t>User Interface</t>
        </is>
      </c>
      <c r="H139" t="inlineStr">
        <is>
          <t>Performance Issue</t>
        </is>
      </c>
      <c r="I139" t="inlineStr">
        <is>
          <t>Raising this again after our last business review. Since the redesign there is more slow page transitions on older laptops. Support suggested logging it here.</t>
        </is>
      </c>
      <c r="J139" t="inlineStr">
        <is>
          <t>Negative</t>
        </is>
      </c>
      <c r="K139" t="inlineStr">
        <is>
          <t>High</t>
        </is>
      </c>
      <c r="L139" t="inlineStr">
        <is>
          <t>Blocks Key Task</t>
        </is>
      </c>
    </row>
    <row r="140">
      <c r="A140" t="inlineStr">
        <is>
          <t>FB-00139</t>
        </is>
      </c>
      <c r="B140" t="inlineStr">
        <is>
          <t>CUST-0011</t>
        </is>
      </c>
      <c r="C140" t="inlineStr">
        <is>
          <t>2025-11-08</t>
        </is>
      </c>
      <c r="D140" t="inlineStr">
        <is>
          <t>In-App Feedback</t>
        </is>
      </c>
      <c r="E140" t="inlineStr">
        <is>
          <t>Starter</t>
        </is>
      </c>
      <c r="F140" t="inlineStr">
        <is>
          <t>SMB</t>
        </is>
      </c>
      <c r="G140" t="inlineStr">
        <is>
          <t>Workflow Automation</t>
        </is>
      </c>
      <c r="H140" t="inlineStr">
        <is>
          <t>Usability Issue</t>
        </is>
      </c>
      <c r="I140" t="inlineStr">
        <is>
          <t>Feedback from our monthly review. The automation canvas is hard to follow once a flow has more than a handful of steps. Let us know if you need examples.</t>
        </is>
      </c>
      <c r="J140" t="inlineStr">
        <is>
          <t>Neutral</t>
        </is>
      </c>
      <c r="K140" t="inlineStr">
        <is>
          <t>Medium</t>
        </is>
      </c>
      <c r="L140" t="inlineStr">
        <is>
          <t>Revenue/Operations Risk</t>
        </is>
      </c>
    </row>
    <row r="141">
      <c r="A141" t="inlineStr">
        <is>
          <t>FB-00140</t>
        </is>
      </c>
      <c r="B141" t="inlineStr">
        <is>
          <t>CUST-0231</t>
        </is>
      </c>
      <c r="C141" t="inlineStr">
        <is>
          <t>2025-11-08</t>
        </is>
      </c>
      <c r="D141" t="inlineStr">
        <is>
          <t>Feature Request</t>
        </is>
      </c>
      <c r="E141" t="inlineStr">
        <is>
          <t>Enterprise</t>
        </is>
      </c>
      <c r="F141" t="inlineStr">
        <is>
          <t>Enterprise</t>
        </is>
      </c>
      <c r="G141" t="inlineStr">
        <is>
          <t>Workflow Automation</t>
        </is>
      </c>
      <c r="H141" t="inlineStr">
        <is>
          <t>Feature Request</t>
        </is>
      </c>
      <c r="I141" t="inlineStr">
        <is>
          <t>Please provide automation recipes for common processes like onboarding and renewals. It affects our weekly pipeline review process every cycle. Thanks to the team.</t>
        </is>
      </c>
      <c r="J141" t="inlineStr">
        <is>
          <t>Positive</t>
        </is>
      </c>
      <c r="K141" t="inlineStr">
        <is>
          <t>Low</t>
        </is>
      </c>
      <c r="L141" t="inlineStr">
        <is>
          <t>Minor Inconvenience</t>
        </is>
      </c>
    </row>
    <row r="142">
      <c r="A142" t="inlineStr">
        <is>
          <t>FB-00141</t>
        </is>
      </c>
      <c r="B142" t="inlineStr">
        <is>
          <t>CUST-0420</t>
        </is>
      </c>
      <c r="C142" t="inlineStr">
        <is>
          <t>09-Nov-2025</t>
        </is>
      </c>
      <c r="D142" t="inlineStr">
        <is>
          <t>Feature Request</t>
        </is>
      </c>
      <c r="E142" t="inlineStr">
        <is>
          <t>Enterprise</t>
        </is>
      </c>
      <c r="F142" t="inlineStr">
        <is>
          <t>Enterprise</t>
        </is>
      </c>
      <c r="G142" t="inlineStr">
        <is>
          <t>Contact Management</t>
        </is>
      </c>
      <c r="H142" t="inlineStr">
        <is>
          <t>Feature Request</t>
        </is>
      </c>
      <c r="I142" t="inlineStr">
        <is>
          <t>Feedback from our monthly review. We need a tool to merge duplicate contacts because our database has years of overlapping records. Our admin flagged it while onboarding 15 new users.</t>
        </is>
      </c>
      <c r="J142" t="inlineStr">
        <is>
          <t>Neutral</t>
        </is>
      </c>
      <c r="K142" t="inlineStr">
        <is>
          <t>High</t>
        </is>
      </c>
      <c r="L142" t="inlineStr">
        <is>
          <t>Workflow Slowdown</t>
        </is>
      </c>
    </row>
    <row r="143">
      <c r="A143" t="inlineStr">
        <is>
          <t>FB-00142</t>
        </is>
      </c>
      <c r="B143" t="inlineStr">
        <is>
          <t>CUST-0188</t>
        </is>
      </c>
      <c r="C143" t="inlineStr">
        <is>
          <t>2025-11-09</t>
        </is>
      </c>
      <c r="D143" t="inlineStr">
        <is>
          <t>Feature Request</t>
        </is>
      </c>
      <c r="E143" t="inlineStr">
        <is>
          <t>Enterprise</t>
        </is>
      </c>
      <c r="F143" t="inlineStr">
        <is>
          <t>Mid-Market</t>
        </is>
      </c>
      <c r="G143" t="inlineStr">
        <is>
          <t>Reporting</t>
        </is>
      </c>
      <c r="H143" t="inlineStr">
        <is>
          <t>Feature Request</t>
        </is>
      </c>
      <c r="I143" t="inlineStr">
        <is>
          <t>Requesting report scheduling so leadership gets numbers without logging in. We estimate we lose roughly 43 hours a month on this.</t>
        </is>
      </c>
      <c r="J143" t="inlineStr">
        <is>
          <t>Neutral</t>
        </is>
      </c>
      <c r="K143" t="inlineStr">
        <is>
          <t xml:space="preserve">Medium </t>
        </is>
      </c>
      <c r="L143" t="inlineStr">
        <is>
          <t>Workflow Slowdown</t>
        </is>
      </c>
    </row>
    <row r="144">
      <c r="A144" t="inlineStr">
        <is>
          <t>FB-00143</t>
        </is>
      </c>
      <c r="B144" t="inlineStr">
        <is>
          <t>CUST-0293</t>
        </is>
      </c>
      <c r="C144" t="inlineStr">
        <is>
          <t>2025-11-10</t>
        </is>
      </c>
      <c r="D144" t="inlineStr">
        <is>
          <t>In-App Feedback</t>
        </is>
      </c>
      <c r="E144" t="inlineStr">
        <is>
          <t>Enterprise</t>
        </is>
      </c>
      <c r="F144" t="inlineStr">
        <is>
          <t>Enterprise</t>
        </is>
      </c>
      <c r="G144" t="inlineStr">
        <is>
          <t>Reporting</t>
        </is>
      </c>
      <c r="H144" t="inlineStr">
        <is>
          <t>Performance Issue</t>
        </is>
      </c>
      <c r="I144" t="inlineStr">
        <is>
          <t>Execs gave up on the report load time and ask for screenshots instead. So far 21 people on our side have reported it. Please look into it soon.</t>
        </is>
      </c>
      <c r="J144" t="inlineStr">
        <is>
          <t>Negative</t>
        </is>
      </c>
      <c r="K144" t="inlineStr">
        <is>
          <t>Critical</t>
        </is>
      </c>
      <c r="L144" t="inlineStr">
        <is>
          <t>Revenue/Operations Risk</t>
        </is>
      </c>
    </row>
    <row r="145">
      <c r="A145" t="inlineStr">
        <is>
          <t>FB-00144</t>
        </is>
      </c>
      <c r="B145" t="inlineStr">
        <is>
          <t>CUST-0229</t>
        </is>
      </c>
      <c r="C145" t="inlineStr">
        <is>
          <t>2025-11-10</t>
        </is>
      </c>
      <c r="D145" t="inlineStr">
        <is>
          <t>Customer Survey</t>
        </is>
      </c>
      <c r="E145" t="inlineStr">
        <is>
          <t>Starter</t>
        </is>
      </c>
      <c r="F145" t="inlineStr">
        <is>
          <t>Mid-Market</t>
        </is>
      </c>
      <c r="G145" t="inlineStr">
        <is>
          <t>Lead Management</t>
        </is>
      </c>
      <c r="H145" t="inlineStr">
        <is>
          <t>Usability Issue</t>
        </is>
      </c>
      <c r="I145" t="inlineStr">
        <is>
          <t>Our team keeps running into this. We can't combine region and deal size in the lead routing rules. It happens about 5 times a week for our team of 26. We need a fix before renewal.</t>
        </is>
      </c>
      <c r="J145" t="inlineStr">
        <is>
          <t>Negative</t>
        </is>
      </c>
      <c r="K145" t="inlineStr">
        <is>
          <t>Low</t>
        </is>
      </c>
      <c r="L145" t="inlineStr">
        <is>
          <t>Minor Inconvenience</t>
        </is>
      </c>
    </row>
    <row r="146">
      <c r="A146" t="inlineStr">
        <is>
          <t>FB-00145</t>
        </is>
      </c>
      <c r="B146" t="inlineStr">
        <is>
          <t>CUST-0269</t>
        </is>
      </c>
      <c r="C146" t="inlineStr">
        <is>
          <t>2025-11-10</t>
        </is>
      </c>
      <c r="D146" t="inlineStr">
        <is>
          <t>Feature Request</t>
        </is>
      </c>
      <c r="E146" t="inlineStr">
        <is>
          <t>Professional</t>
        </is>
      </c>
      <c r="F146" t="inlineStr">
        <is>
          <t>SMB</t>
        </is>
      </c>
      <c r="G146" t="inlineStr">
        <is>
          <t>User Interface</t>
        </is>
      </c>
      <c r="H146" t="inlineStr">
        <is>
          <t>Usability Issue</t>
        </is>
      </c>
      <c r="I146" t="inlineStr">
        <is>
          <t>Too many clicks to reach common screens because of the settings navigation. We estimate we lose roughly 13 hours a month on this. Happy to join a feedback call.</t>
        </is>
      </c>
      <c r="J146" t="inlineStr">
        <is>
          <t>Neutral</t>
        </is>
      </c>
      <c r="K146" t="inlineStr">
        <is>
          <t>Critical</t>
        </is>
      </c>
      <c r="L146" t="inlineStr">
        <is>
          <t>Blocks Key Task</t>
        </is>
      </c>
    </row>
    <row r="147">
      <c r="A147" t="inlineStr">
        <is>
          <t>FB-00146</t>
        </is>
      </c>
      <c r="B147" t="inlineStr">
        <is>
          <t>CUST-0069</t>
        </is>
      </c>
      <c r="C147" t="inlineStr">
        <is>
          <t>2025-11-11</t>
        </is>
      </c>
      <c r="D147" t="inlineStr">
        <is>
          <t>Support Ticket</t>
        </is>
      </c>
      <c r="E147" t="inlineStr">
        <is>
          <t>Starter</t>
        </is>
      </c>
      <c r="F147" t="inlineStr">
        <is>
          <t>Mid-Market</t>
        </is>
      </c>
      <c r="G147" t="inlineStr">
        <is>
          <t>Workflow Automation</t>
        </is>
      </c>
      <c r="H147" t="inlineStr">
        <is>
          <t>Bug</t>
        </is>
      </c>
      <c r="I147" t="inlineStr">
        <is>
          <t>Since the last release we've had workflow failures and tasks are being created twice. We estimate we lose roughly 41 hours a month on this. Please look into it soon.</t>
        </is>
      </c>
      <c r="J147" t="inlineStr">
        <is>
          <t>Negative</t>
        </is>
      </c>
      <c r="K147" t="inlineStr">
        <is>
          <t>Medium</t>
        </is>
      </c>
      <c r="L147" t="inlineStr">
        <is>
          <t>Workflow Slowdown</t>
        </is>
      </c>
    </row>
    <row r="148">
      <c r="A148" t="inlineStr">
        <is>
          <t>FB-00147</t>
        </is>
      </c>
      <c r="B148" t="inlineStr">
        <is>
          <t>CUST-0411</t>
        </is>
      </c>
      <c r="C148" t="inlineStr">
        <is>
          <t>2025-11-11</t>
        </is>
      </c>
      <c r="D148" t="inlineStr">
        <is>
          <t>Customer Survey</t>
        </is>
      </c>
      <c r="E148" t="inlineStr">
        <is>
          <t>Starter</t>
        </is>
      </c>
      <c r="F148" t="inlineStr">
        <is>
          <t>SMB</t>
        </is>
      </c>
      <c r="G148" t="inlineStr">
        <is>
          <t>Lead Management</t>
        </is>
      </c>
      <c r="H148" t="inlineStr">
        <is>
          <t>Performance Issue</t>
        </is>
      </c>
      <c r="I148" t="inlineStr">
        <is>
          <t>Escalating on behalf of our ops lead. Complaint about pipeline board loading: the board freezes while cards render. We estimate we lose roughly 33 hours a month on this. We need a fix before renewal.</t>
        </is>
      </c>
      <c r="J148" t="inlineStr">
        <is>
          <t>Negative</t>
        </is>
      </c>
      <c r="K148" t="inlineStr">
        <is>
          <t>Low</t>
        </is>
      </c>
      <c r="L148" t="inlineStr">
        <is>
          <t>Minor Inconvenience</t>
        </is>
      </c>
    </row>
    <row r="149">
      <c r="A149" t="inlineStr">
        <is>
          <t>FB-00148</t>
        </is>
      </c>
      <c r="B149" t="inlineStr">
        <is>
          <t>CUST-0315</t>
        </is>
      </c>
      <c r="C149" t="inlineStr">
        <is>
          <t>2025-11-11</t>
        </is>
      </c>
      <c r="D149" t="inlineStr">
        <is>
          <t>Feature Request</t>
        </is>
      </c>
      <c r="E149" t="inlineStr">
        <is>
          <t>Professional</t>
        </is>
      </c>
      <c r="F149" t="inlineStr">
        <is>
          <t>SMB</t>
        </is>
      </c>
      <c r="G149" t="inlineStr">
        <is>
          <t>Workflow Automation</t>
        </is>
      </c>
      <c r="H149" t="inlineStr">
        <is>
          <t>Feature Request</t>
        </is>
      </c>
      <c r="I149" t="inlineStr">
        <is>
          <t>Sharing this from our team. We'd adopt automation faster with automation recipes we could customize. Our finance analyst flagged it while onboarding 70 new users. Happy to join a feedback call.</t>
        </is>
      </c>
      <c r="J149" t="inlineStr">
        <is>
          <t>Neutral</t>
        </is>
      </c>
      <c r="K149" t="inlineStr">
        <is>
          <t>Low</t>
        </is>
      </c>
      <c r="L149" t="inlineStr">
        <is>
          <t>Minor Inconvenience</t>
        </is>
      </c>
    </row>
    <row r="150">
      <c r="A150" t="inlineStr">
        <is>
          <t>FB-00149</t>
        </is>
      </c>
      <c r="B150" t="inlineStr">
        <is>
          <t>CUST-0117</t>
        </is>
      </c>
      <c r="C150" t="inlineStr">
        <is>
          <t>2025-11-11</t>
        </is>
      </c>
      <c r="D150" t="inlineStr">
        <is>
          <t>In-App Feedback</t>
        </is>
      </c>
      <c r="E150" t="inlineStr">
        <is>
          <t>Professional</t>
        </is>
      </c>
      <c r="F150" t="inlineStr">
        <is>
          <t>Mid-Market</t>
        </is>
      </c>
      <c r="G150" t="inlineStr">
        <is>
          <t>Workflow Automation</t>
        </is>
      </c>
      <c r="H150" t="inlineStr">
        <is>
          <t>Feature Request</t>
        </is>
      </c>
      <c r="I150" t="inlineStr">
        <is>
          <t>We'd adopt automation faster with automation recipes we could customize. It happens about 15 times a week for our team of 104. Happy to join a feedback call.</t>
        </is>
      </c>
      <c r="J150" t="inlineStr">
        <is>
          <t>Neutral</t>
        </is>
      </c>
      <c r="K150" t="inlineStr">
        <is>
          <t>Critical</t>
        </is>
      </c>
      <c r="L150" t="inlineStr">
        <is>
          <t>Revenue/Operations Risk</t>
        </is>
      </c>
    </row>
    <row r="151">
      <c r="A151" t="inlineStr">
        <is>
          <t>FB-00150</t>
        </is>
      </c>
      <c r="B151" t="inlineStr">
        <is>
          <t>CUST-0109</t>
        </is>
      </c>
      <c r="C151" t="inlineStr">
        <is>
          <t>2025-11-11</t>
        </is>
      </c>
      <c r="D151" t="inlineStr">
        <is>
          <t>Feature Request</t>
        </is>
      </c>
      <c r="E151" t="inlineStr">
        <is>
          <t>Enterprise</t>
        </is>
      </c>
      <c r="F151" t="inlineStr">
        <is>
          <t>Enterprise</t>
        </is>
      </c>
      <c r="G151" t="inlineStr">
        <is>
          <t>Workflow Automation</t>
        </is>
      </c>
      <c r="H151" t="inlineStr">
        <is>
          <t>Feature Request</t>
        </is>
      </c>
      <c r="I151" t="inlineStr">
        <is>
          <t>Feedback from our monthly review. Competitors ship automation recipes; we are rebuilding the same flows from scratch. We estimate we lose roughly 9 hours a month on this. Let us know if you need examples.</t>
        </is>
      </c>
      <c r="J151" t="inlineStr">
        <is>
          <t>Neutral</t>
        </is>
      </c>
      <c r="K151" t="inlineStr">
        <is>
          <t>Low</t>
        </is>
      </c>
      <c r="L151" t="inlineStr">
        <is>
          <t>Minor Inconvenience</t>
        </is>
      </c>
    </row>
    <row r="152">
      <c r="A152" t="inlineStr">
        <is>
          <t>FB-00151</t>
        </is>
      </c>
      <c r="B152" t="inlineStr">
        <is>
          <t>CUST-0217</t>
        </is>
      </c>
      <c r="C152" t="inlineStr">
        <is>
          <t>2025-11-13</t>
        </is>
      </c>
      <c r="D152" t="inlineStr">
        <is>
          <t>Support Ticket</t>
        </is>
      </c>
      <c r="E152" t="inlineStr">
        <is>
          <t>Starter</t>
        </is>
      </c>
      <c r="F152" t="inlineStr">
        <is>
          <t>Mid-Market</t>
        </is>
      </c>
      <c r="G152" t="inlineStr">
        <is>
          <t>Lead Management</t>
        </is>
      </c>
      <c r="H152" t="inlineStr">
        <is>
          <t>Bug</t>
        </is>
      </c>
      <c r="I152" t="inlineStr">
        <is>
          <t>Not what we expected for the price. We are seeing lead de-duplication failures when a lead arrives from both the website and a trade-show list. We estimate we lose roughly 38 hours a month on this.</t>
        </is>
      </c>
      <c r="J152" t="inlineStr">
        <is>
          <t>Negative</t>
        </is>
      </c>
      <c r="K152" t="inlineStr">
        <is>
          <t>high</t>
        </is>
      </c>
      <c r="L152" t="inlineStr">
        <is>
          <t>Blocks Key Task</t>
        </is>
      </c>
    </row>
    <row r="153">
      <c r="A153" t="inlineStr">
        <is>
          <t>FB-00152</t>
        </is>
      </c>
      <c r="B153" t="inlineStr">
        <is>
          <t>CUST-0234</t>
        </is>
      </c>
      <c r="C153" t="inlineStr">
        <is>
          <t>2025-11-13</t>
        </is>
      </c>
      <c r="D153" t="inlineStr">
        <is>
          <t>Support Ticket</t>
        </is>
      </c>
      <c r="E153" t="inlineStr">
        <is>
          <t>Enterprise</t>
        </is>
      </c>
      <c r="F153" t="inlineStr">
        <is>
          <t>SMB</t>
        </is>
      </c>
      <c r="G153" t="inlineStr">
        <is>
          <t>Reporting</t>
        </is>
      </c>
      <c r="H153" t="inlineStr">
        <is>
          <t>Performance Issue</t>
        </is>
      </c>
      <c r="I153" t="inlineStr">
        <is>
          <t>Not what we expected for the price. Execs gave up on the dashboard refresh and ask for screenshots instead. It affects our onboarding process every cycle. Is there a workaround?</t>
        </is>
      </c>
      <c r="J153" t="inlineStr">
        <is>
          <t>Negative</t>
        </is>
      </c>
      <c r="K153" t="inlineStr">
        <is>
          <t>Medium</t>
        </is>
      </c>
      <c r="L153" t="inlineStr">
        <is>
          <t>Workflow Slowdown</t>
        </is>
      </c>
    </row>
    <row r="154">
      <c r="A154" t="inlineStr">
        <is>
          <t>FB-00153</t>
        </is>
      </c>
      <c r="B154" t="inlineStr">
        <is>
          <t>CUST-0196</t>
        </is>
      </c>
      <c r="C154" t="inlineStr">
        <is>
          <t>2025-11-14</t>
        </is>
      </c>
      <c r="D154" t="inlineStr">
        <is>
          <t>Customer Survey</t>
        </is>
      </c>
      <c r="E154" t="inlineStr">
        <is>
          <t>Enterprise</t>
        </is>
      </c>
      <c r="F154" t="inlineStr">
        <is>
          <t>Enterprise</t>
        </is>
      </c>
      <c r="G154" t="inlineStr">
        <is>
          <t>Reporting</t>
        </is>
      </c>
      <c r="H154" t="inlineStr">
        <is>
          <t>Feature Request</t>
        </is>
      </c>
      <c r="I154" t="inlineStr">
        <is>
          <t>Requesting forecast rollups that updates as deal stages change. Let us know if you need examples.</t>
        </is>
      </c>
      <c r="J154" t="inlineStr">
        <is>
          <t>Neutral</t>
        </is>
      </c>
      <c r="K154" t="inlineStr">
        <is>
          <t>Low</t>
        </is>
      </c>
      <c r="L154" t="inlineStr">
        <is>
          <t>Minor Inconvenience</t>
        </is>
      </c>
    </row>
    <row r="155">
      <c r="A155" t="inlineStr">
        <is>
          <t>FB-00154</t>
        </is>
      </c>
      <c r="B155" t="inlineStr">
        <is>
          <t>CUST-0075</t>
        </is>
      </c>
      <c r="C155" t="inlineStr">
        <is>
          <t>2025-11-14</t>
        </is>
      </c>
      <c r="D155" t="inlineStr">
        <is>
          <t>In-App Feedback</t>
        </is>
      </c>
      <c r="E155" t="inlineStr">
        <is>
          <t>Professional</t>
        </is>
      </c>
      <c r="F155" t="inlineStr">
        <is>
          <t>Enterprise</t>
        </is>
      </c>
      <c r="G155" t="inlineStr">
        <is>
          <t>Reporting</t>
        </is>
      </c>
      <c r="H155" t="inlineStr">
        <is>
          <t>Performance Issue</t>
        </is>
      </c>
      <c r="I155" t="inlineStr">
        <is>
          <t>FYI for the product team. Execs gave up on the dashboard refresh and ask for screenshots instead. It affects our month-end reporting process every cycle.</t>
        </is>
      </c>
      <c r="J155" t="inlineStr">
        <is>
          <t>Neutral</t>
        </is>
      </c>
      <c r="K155" t="inlineStr">
        <is>
          <t>Medium</t>
        </is>
      </c>
      <c r="L155" t="inlineStr">
        <is>
          <t>Minor Inconvenience</t>
        </is>
      </c>
    </row>
    <row r="156">
      <c r="A156" t="inlineStr">
        <is>
          <t>FB-00155</t>
        </is>
      </c>
      <c r="B156" t="inlineStr">
        <is>
          <t>CUST-0315</t>
        </is>
      </c>
      <c r="C156" t="inlineStr">
        <is>
          <t>2025-11-14</t>
        </is>
      </c>
      <c r="D156" t="inlineStr">
        <is>
          <t>Support Ticket</t>
        </is>
      </c>
      <c r="E156" t="inlineStr">
        <is>
          <t>professional</t>
        </is>
      </c>
      <c r="F156" t="inlineStr">
        <is>
          <t>SMB</t>
        </is>
      </c>
      <c r="G156" t="inlineStr">
        <is>
          <t>Reporting</t>
        </is>
      </c>
      <c r="H156" t="inlineStr">
        <is>
          <t>Performance Issue</t>
        </is>
      </c>
      <c r="I156" t="inlineStr">
        <is>
          <t>Our report load time spins for a minute before showing any chart. Our marketing ops owner flagged it while onboarding 78 new users. Is there a workaround?</t>
        </is>
      </c>
      <c r="J156" t="inlineStr">
        <is>
          <t>Negative</t>
        </is>
      </c>
      <c r="K156" t="inlineStr">
        <is>
          <t>Low</t>
        </is>
      </c>
      <c r="L156" t="inlineStr">
        <is>
          <t>Minor Inconvenience</t>
        </is>
      </c>
    </row>
    <row r="157">
      <c r="A157" t="inlineStr">
        <is>
          <t>FB-00156</t>
        </is>
      </c>
      <c r="B157" t="inlineStr">
        <is>
          <t>CUST-0003</t>
        </is>
      </c>
      <c r="C157" t="inlineStr">
        <is>
          <t>2025-11-14</t>
        </is>
      </c>
      <c r="D157" t="inlineStr">
        <is>
          <t>In-App Feedback</t>
        </is>
      </c>
      <c r="E157" t="inlineStr">
        <is>
          <t>Starter</t>
        </is>
      </c>
      <c r="F157" t="inlineStr">
        <is>
          <t>Mid-Market</t>
        </is>
      </c>
      <c r="G157" t="inlineStr">
        <is>
          <t>Reporting</t>
        </is>
      </c>
      <c r="H157" t="inlineStr">
        <is>
          <t>Performance Issue</t>
        </is>
      </c>
      <c r="I157" t="inlineStr">
        <is>
          <t>Report load time got noticeably worse over the last few months. So far 64 people on our side have reported it. Is there a workaround?</t>
        </is>
      </c>
      <c r="J157" t="inlineStr">
        <is>
          <t>Negative</t>
        </is>
      </c>
      <c r="K157" t="inlineStr">
        <is>
          <t>Medium</t>
        </is>
      </c>
      <c r="L157" t="inlineStr">
        <is>
          <t>Minor Inconvenience</t>
        </is>
      </c>
    </row>
    <row r="158">
      <c r="A158" t="inlineStr">
        <is>
          <t>FB-00157</t>
        </is>
      </c>
      <c r="B158" t="inlineStr">
        <is>
          <t>CUST-0307</t>
        </is>
      </c>
      <c r="C158" t="inlineStr">
        <is>
          <t>2025-11-15</t>
        </is>
      </c>
      <c r="D158" t="inlineStr">
        <is>
          <t>Feature Request</t>
        </is>
      </c>
      <c r="E158" t="inlineStr">
        <is>
          <t>Starter</t>
        </is>
      </c>
      <c r="F158" t="inlineStr">
        <is>
          <t>SMB</t>
        </is>
      </c>
      <c r="G158" t="inlineStr">
        <is>
          <t>Lead Management</t>
        </is>
      </c>
      <c r="H158" t="inlineStr">
        <is>
          <t>Feature Request</t>
        </is>
      </c>
      <c r="I158" t="inlineStr">
        <is>
          <t>We need automated lead scoring so reps can focus on the prospects most likely to close. So far 60 people on our side have reported it. Let us know if you need examples.</t>
        </is>
      </c>
      <c r="J158" t="inlineStr">
        <is>
          <t>Neutral</t>
        </is>
      </c>
      <c r="K158" t="inlineStr">
        <is>
          <t>Low</t>
        </is>
      </c>
      <c r="L158" t="inlineStr">
        <is>
          <t>Workflow Slowdown</t>
        </is>
      </c>
    </row>
    <row r="159">
      <c r="A159" t="inlineStr">
        <is>
          <t>FB-00158</t>
        </is>
      </c>
      <c r="B159" t="inlineStr">
        <is>
          <t>CUST-0111</t>
        </is>
      </c>
      <c r="C159" t="inlineStr">
        <is>
          <t>2025-11-15</t>
        </is>
      </c>
      <c r="D159" t="inlineStr">
        <is>
          <t>Support Ticket</t>
        </is>
      </c>
      <c r="E159" t="inlineStr">
        <is>
          <t>Professional</t>
        </is>
      </c>
      <c r="F159" t="inlineStr">
        <is>
          <t>Enterprise</t>
        </is>
      </c>
      <c r="G159" t="inlineStr">
        <is>
          <t>Contact Management</t>
        </is>
      </c>
      <c r="H159" t="inlineStr">
        <is>
          <t>Feature Request</t>
        </is>
      </c>
      <c r="I159" t="inlineStr">
        <is>
          <t>Feedback from our monthly review. Is there any plan for a tool to merge duplicate contacts? Merging one record at a time is not realistic. We estimate we lose roughly 11 hours a month on this.</t>
        </is>
      </c>
      <c r="J159" t="inlineStr">
        <is>
          <t>Neutral</t>
        </is>
      </c>
      <c r="K159" t="inlineStr">
        <is>
          <t>Low</t>
        </is>
      </c>
      <c r="L159" t="inlineStr">
        <is>
          <t>Minor Inconvenience</t>
        </is>
      </c>
    </row>
    <row r="160">
      <c r="A160" t="inlineStr">
        <is>
          <t>FB-00159</t>
        </is>
      </c>
      <c r="B160" t="inlineStr">
        <is>
          <t>CUST-0055</t>
        </is>
      </c>
      <c r="C160" t="inlineStr">
        <is>
          <t>2025-11-15</t>
        </is>
      </c>
      <c r="D160" t="inlineStr">
        <is>
          <t>Feature Request</t>
        </is>
      </c>
      <c r="E160" t="inlineStr">
        <is>
          <t>Professional</t>
        </is>
      </c>
      <c r="F160" t="inlineStr">
        <is>
          <t>Mid-Market</t>
        </is>
      </c>
      <c r="G160" t="inlineStr">
        <is>
          <t>Workflow Automation</t>
        </is>
      </c>
      <c r="H160" t="inlineStr">
        <is>
          <t>Feature Request</t>
        </is>
      </c>
      <c r="I160" t="inlineStr">
        <is>
          <t>Sharing this from our team. Competitors ship prebuilt automations; we are rebuilding the same flows from scratch. So far 119 people on our side have reported it. Let us know if you need examples.</t>
        </is>
      </c>
      <c r="J160" t="inlineStr">
        <is>
          <t>Neutral</t>
        </is>
      </c>
      <c r="K160" t="inlineStr">
        <is>
          <t>Low</t>
        </is>
      </c>
      <c r="L160" t="inlineStr">
        <is>
          <t>Minor Inconvenience</t>
        </is>
      </c>
    </row>
    <row r="161">
      <c r="A161" t="inlineStr">
        <is>
          <t>FB-00160</t>
        </is>
      </c>
      <c r="B161" t="inlineStr">
        <is>
          <t>CUST-0349</t>
        </is>
      </c>
      <c r="C161" t="inlineStr">
        <is>
          <t>2025-11-15</t>
        </is>
      </c>
      <c r="D161" t="inlineStr">
        <is>
          <t>Feature Request</t>
        </is>
      </c>
      <c r="E161" t="inlineStr">
        <is>
          <t>Professional</t>
        </is>
      </c>
      <c r="F161" t="inlineStr">
        <is>
          <t>Mid-Market</t>
        </is>
      </c>
      <c r="G161" t="inlineStr">
        <is>
          <t>Workflow Automation</t>
        </is>
      </c>
      <c r="H161" t="inlineStr">
        <is>
          <t>Feature Request</t>
        </is>
      </c>
      <c r="I161" t="inlineStr">
        <is>
          <t>Happy with most of the product. Requesting approval steps; today approvals happen over chat. So far 7 people on our side have reported it. Thanks to the team.</t>
        </is>
      </c>
      <c r="J161" t="inlineStr">
        <is>
          <t>Positive</t>
        </is>
      </c>
      <c r="K161" t="inlineStr">
        <is>
          <t>Medium</t>
        </is>
      </c>
      <c r="L161" t="inlineStr">
        <is>
          <t>Blocks Key Task</t>
        </is>
      </c>
    </row>
    <row r="162">
      <c r="A162" t="inlineStr">
        <is>
          <t>FB-00161</t>
        </is>
      </c>
      <c r="B162" t="inlineStr">
        <is>
          <t>CUST-0098</t>
        </is>
      </c>
      <c r="C162" t="inlineStr">
        <is>
          <t>2025-11-16</t>
        </is>
      </c>
      <c r="D162" t="inlineStr">
        <is>
          <t>Feature Request</t>
        </is>
      </c>
      <c r="E162" t="inlineStr">
        <is>
          <t>Professional</t>
        </is>
      </c>
      <c r="F162" t="inlineStr">
        <is>
          <t>Enterprise</t>
        </is>
      </c>
      <c r="G162" t="inlineStr">
        <is>
          <t>Integrations</t>
        </is>
      </c>
      <c r="H162" t="inlineStr">
        <is>
          <t>Feature Request</t>
        </is>
      </c>
      <c r="I162" t="inlineStr">
        <is>
          <t>We would pay for a native accounting integration instead of maintaining Zapier chains. We estimate we lose roughly 49 hours a month on this. Let us know if you need examples.</t>
        </is>
      </c>
      <c r="J162" t="inlineStr">
        <is>
          <t>Neutral</t>
        </is>
      </c>
      <c r="K162" t="inlineStr">
        <is>
          <t>Medium</t>
        </is>
      </c>
      <c r="L162" t="inlineStr">
        <is>
          <t>Minor Inconvenience</t>
        </is>
      </c>
    </row>
    <row r="163">
      <c r="A163" t="inlineStr">
        <is>
          <t>FB-00162</t>
        </is>
      </c>
      <c r="B163" t="inlineStr">
        <is>
          <t>CUST-0307</t>
        </is>
      </c>
      <c r="C163" t="inlineStr">
        <is>
          <t>2025-11-16</t>
        </is>
      </c>
      <c r="D163" t="inlineStr">
        <is>
          <t>Customer Survey</t>
        </is>
      </c>
      <c r="E163" t="inlineStr">
        <is>
          <t>Starter</t>
        </is>
      </c>
      <c r="F163" t="inlineStr">
        <is>
          <t>SMB</t>
        </is>
      </c>
      <c r="G163" t="inlineStr">
        <is>
          <t>Lead Management</t>
        </is>
      </c>
      <c r="H163" t="inlineStr">
        <is>
          <t>Performance Issue</t>
        </is>
      </c>
      <c r="I163" t="inlineStr">
        <is>
          <t>This has been a recurring problem for us. The lead view load times gets very slow once we pass a few thousand open leads. We need a fix before renewal.</t>
        </is>
      </c>
      <c r="J163" t="inlineStr">
        <is>
          <t>Negative</t>
        </is>
      </c>
      <c r="K163" t="inlineStr">
        <is>
          <t>High</t>
        </is>
      </c>
      <c r="L163" t="inlineStr">
        <is>
          <t>Blocks Key Task</t>
        </is>
      </c>
    </row>
    <row r="164">
      <c r="A164" t="inlineStr">
        <is>
          <t>FB-00163</t>
        </is>
      </c>
      <c r="B164" t="inlineStr">
        <is>
          <t>CUST-0065</t>
        </is>
      </c>
      <c r="C164" t="inlineStr">
        <is>
          <t>2025-11-16</t>
        </is>
      </c>
      <c r="D164" t="inlineStr">
        <is>
          <t>Customer Survey</t>
        </is>
      </c>
      <c r="E164" t="inlineStr">
        <is>
          <t>Professional</t>
        </is>
      </c>
      <c r="F164" t="inlineStr">
        <is>
          <t>Mid-Market</t>
        </is>
      </c>
      <c r="G164" t="inlineStr">
        <is>
          <t>User Interface</t>
        </is>
      </c>
      <c r="H164" t="inlineStr">
        <is>
          <t>Feature Request</t>
        </is>
      </c>
      <c r="I164" t="inlineStr">
        <is>
          <t>Please prioritize mobile call logging; the mobile web view is hard to use. It happens about 32 times a week for our team of 16.</t>
        </is>
      </c>
      <c r="J164" t="inlineStr">
        <is>
          <t>Positive</t>
        </is>
      </c>
      <c r="K164" t="inlineStr">
        <is>
          <t>Low</t>
        </is>
      </c>
      <c r="L164" t="inlineStr">
        <is>
          <t>Minor Inconvenience</t>
        </is>
      </c>
    </row>
    <row r="165">
      <c r="A165" t="inlineStr">
        <is>
          <t>FB-00164</t>
        </is>
      </c>
      <c r="B165" t="inlineStr">
        <is>
          <t>CUST-0306</t>
        </is>
      </c>
      <c r="C165" t="inlineStr">
        <is>
          <t>2025-11-17</t>
        </is>
      </c>
      <c r="D165" t="inlineStr">
        <is>
          <t>Feature Request</t>
        </is>
      </c>
      <c r="E165" t="inlineStr">
        <is>
          <t>Professional</t>
        </is>
      </c>
      <c r="F165" t="inlineStr">
        <is>
          <t>SMB</t>
        </is>
      </c>
      <c r="G165" t="inlineStr">
        <is>
          <t>User Interface</t>
        </is>
      </c>
      <c r="H165" t="inlineStr">
        <is>
          <t>Feature Request</t>
        </is>
      </c>
      <c r="I165" t="inlineStr">
        <is>
          <t>Recent updates have been a nice improvement. Please add multi-select actions; changing records one at a time wastes hours. Happy to beta test.</t>
        </is>
      </c>
      <c r="J165" t="inlineStr">
        <is>
          <t>Positive</t>
        </is>
      </c>
      <c r="K165" t="inlineStr">
        <is>
          <t>Low</t>
        </is>
      </c>
      <c r="L165" t="inlineStr">
        <is>
          <t>Minor Inconvenience</t>
        </is>
      </c>
    </row>
    <row r="166">
      <c r="A166" t="inlineStr">
        <is>
          <t>FB-00165</t>
        </is>
      </c>
      <c r="B166" t="inlineStr">
        <is>
          <t>CUST-0015</t>
        </is>
      </c>
      <c r="C166" t="inlineStr">
        <is>
          <t>2025-11-17</t>
        </is>
      </c>
      <c r="D166" t="inlineStr">
        <is>
          <t>Support Ticket</t>
        </is>
      </c>
      <c r="E166" t="inlineStr">
        <is>
          <t>Professional</t>
        </is>
      </c>
      <c r="F166" t="inlineStr">
        <is>
          <t>Mid-Market</t>
        </is>
      </c>
      <c r="G166" t="inlineStr">
        <is>
          <t>Integrations</t>
        </is>
      </c>
      <c r="H166" t="inlineStr">
        <is>
          <t>Integration Issue</t>
        </is>
      </c>
      <c r="I166" t="inlineStr">
        <is>
          <t>Frustrated with this one. We keep hitting API rate limits during nightly syncs with our data warehouse. We estimate we lose roughly 44 hours a month on this.</t>
        </is>
      </c>
      <c r="J166" t="inlineStr">
        <is>
          <t>Negative</t>
        </is>
      </c>
      <c r="K166" t="inlineStr">
        <is>
          <t>Medium</t>
        </is>
      </c>
      <c r="L166" t="inlineStr">
        <is>
          <t>Workflow Slowdown</t>
        </is>
      </c>
    </row>
    <row r="167">
      <c r="A167" t="inlineStr">
        <is>
          <t>FB-00166</t>
        </is>
      </c>
      <c r="B167" t="inlineStr">
        <is>
          <t>CUST-0381</t>
        </is>
      </c>
      <c r="C167" t="inlineStr">
        <is>
          <t>2025-11-17</t>
        </is>
      </c>
      <c r="D167" t="inlineStr">
        <is>
          <t>Customer Survey</t>
        </is>
      </c>
      <c r="E167" t="inlineStr">
        <is>
          <t>Professional</t>
        </is>
      </c>
      <c r="F167" t="inlineStr">
        <is>
          <t>Mid-Market</t>
        </is>
      </c>
      <c r="G167" t="inlineStr">
        <is>
          <t>Lead Management</t>
        </is>
      </c>
      <c r="H167" t="inlineStr">
        <is>
          <t>Usability Issue</t>
        </is>
      </c>
      <c r="I167" t="inlineStr">
        <is>
          <t>FYI for the product team. It is hard to understand how lead assignment settings decide who owns a lead. Happy to join a feedback call.</t>
        </is>
      </c>
      <c r="J167" t="inlineStr">
        <is>
          <t>Neutral</t>
        </is>
      </c>
      <c r="K167" t="inlineStr">
        <is>
          <t>High</t>
        </is>
      </c>
      <c r="L167" t="inlineStr">
        <is>
          <t>Workflow Slowdown</t>
        </is>
      </c>
    </row>
    <row r="168">
      <c r="A168" t="inlineStr">
        <is>
          <t>FB-00167</t>
        </is>
      </c>
      <c r="B168" t="inlineStr">
        <is>
          <t>CUST-0220</t>
        </is>
      </c>
      <c r="C168" t="inlineStr">
        <is>
          <t>2025-11-18</t>
        </is>
      </c>
      <c r="D168" t="inlineStr">
        <is>
          <t>Feature Request</t>
        </is>
      </c>
      <c r="E168" t="inlineStr">
        <is>
          <t>Professional</t>
        </is>
      </c>
      <c r="F168" t="inlineStr">
        <is>
          <t>Mid-Market</t>
        </is>
      </c>
      <c r="G168" t="inlineStr">
        <is>
          <t>User Interface</t>
        </is>
      </c>
      <c r="H168" t="inlineStr">
        <is>
          <t>Feature Request</t>
        </is>
      </c>
      <c r="I168" t="inlineStr">
        <is>
          <t>FYI for the product team. Please prioritize offline mobile access; the mobile web view is hard to use. We estimate we lose roughly 39 hours a month on this.</t>
        </is>
      </c>
      <c r="J168" t="inlineStr">
        <is>
          <t>Neutral</t>
        </is>
      </c>
      <c r="K168" t="inlineStr">
        <is>
          <t>Low</t>
        </is>
      </c>
      <c r="L168" t="inlineStr">
        <is>
          <t>Workflow Slowdown</t>
        </is>
      </c>
    </row>
    <row r="169">
      <c r="A169" t="inlineStr">
        <is>
          <t>FB-00168</t>
        </is>
      </c>
      <c r="B169" t="inlineStr">
        <is>
          <t>CUST-0210</t>
        </is>
      </c>
      <c r="C169" t="inlineStr">
        <is>
          <t>2025-11-18</t>
        </is>
      </c>
      <c r="D169" t="inlineStr">
        <is>
          <t>Feature Request</t>
        </is>
      </c>
      <c r="E169" t="inlineStr">
        <is>
          <t>Professional</t>
        </is>
      </c>
      <c r="F169" t="inlineStr">
        <is>
          <t>Mid-Market</t>
        </is>
      </c>
      <c r="G169" t="inlineStr">
        <is>
          <t>Workflow Automation</t>
        </is>
      </c>
      <c r="H169" t="inlineStr">
        <is>
          <t>Feature Request</t>
        </is>
      </c>
      <c r="I169" t="inlineStr">
        <is>
          <t>Please provide prebuilt automations for common processes like onboarding and renewals. It happens about 9 times a week for our team of 108. Happy to join a feedback call.</t>
        </is>
      </c>
      <c r="J169" t="inlineStr">
        <is>
          <t>Neutral</t>
        </is>
      </c>
      <c r="K169" t="inlineStr">
        <is>
          <t>Low</t>
        </is>
      </c>
      <c r="L169" t="inlineStr">
        <is>
          <t>Minor Inconvenience</t>
        </is>
      </c>
    </row>
    <row r="170">
      <c r="A170" t="inlineStr">
        <is>
          <t>FB-00169</t>
        </is>
      </c>
      <c r="B170" t="inlineStr">
        <is>
          <t>CUST-0197</t>
        </is>
      </c>
      <c r="C170" t="inlineStr">
        <is>
          <t>2025-11-18</t>
        </is>
      </c>
      <c r="D170" t="inlineStr">
        <is>
          <t>in-app feedback</t>
        </is>
      </c>
      <c r="E170" t="inlineStr">
        <is>
          <t>Professional</t>
        </is>
      </c>
      <c r="F170" t="inlineStr">
        <is>
          <t>Mid-Market</t>
        </is>
      </c>
      <c r="G170" t="inlineStr">
        <is>
          <t>User Interface</t>
        </is>
      </c>
      <c r="H170" t="inlineStr">
        <is>
          <t>Usability Issue</t>
        </is>
      </c>
      <c r="I170" t="inlineStr">
        <is>
          <t>FYI for the product team. The navigation menu is cluttered and I can never find the setting I need. Let us know if you need examples.</t>
        </is>
      </c>
      <c r="J170" t="inlineStr">
        <is>
          <t>Neutral</t>
        </is>
      </c>
      <c r="K170" t="inlineStr">
        <is>
          <t>High</t>
        </is>
      </c>
      <c r="L170" t="inlineStr">
        <is>
          <t>Blocks Key Task</t>
        </is>
      </c>
    </row>
    <row r="171">
      <c r="A171" t="inlineStr">
        <is>
          <t>FB-00170</t>
        </is>
      </c>
      <c r="B171" t="inlineStr">
        <is>
          <t>CUST-0175</t>
        </is>
      </c>
      <c r="C171" t="inlineStr">
        <is>
          <t>2025-11-18</t>
        </is>
      </c>
      <c r="D171" t="inlineStr">
        <is>
          <t>Support Ticket</t>
        </is>
      </c>
      <c r="E171" t="inlineStr">
        <is>
          <t>Professional</t>
        </is>
      </c>
      <c r="F171" t="inlineStr">
        <is>
          <t>Mid-Market</t>
        </is>
      </c>
      <c r="G171" t="inlineStr">
        <is>
          <t>Workflow Automation</t>
        </is>
      </c>
      <c r="H171" t="inlineStr">
        <is>
          <t>Bug</t>
        </is>
      </c>
      <c r="I171" t="inlineStr">
        <is>
          <t>We are hitting workflow runs failing silently: emails don't send and nobody gets notified. It happens about 7 times a week for our team of 114. We need a fix before renewal.</t>
        </is>
      </c>
      <c r="J171" t="inlineStr">
        <is>
          <t>Negative</t>
        </is>
      </c>
      <c r="K171" t="inlineStr">
        <is>
          <t>High</t>
        </is>
      </c>
      <c r="L171" t="inlineStr">
        <is>
          <t>Blocks Key Task</t>
        </is>
      </c>
    </row>
    <row r="172">
      <c r="A172" t="inlineStr">
        <is>
          <t>FB-00171</t>
        </is>
      </c>
      <c r="B172" t="inlineStr">
        <is>
          <t>CUST-0393</t>
        </is>
      </c>
      <c r="C172" t="inlineStr">
        <is>
          <t>2025-11-18</t>
        </is>
      </c>
      <c r="D172" t="inlineStr">
        <is>
          <t>Customer Survey</t>
        </is>
      </c>
      <c r="E172" t="inlineStr">
        <is>
          <t>Enterprise</t>
        </is>
      </c>
      <c r="F172" t="inlineStr">
        <is>
          <t>Enterprise</t>
        </is>
      </c>
      <c r="G172" t="inlineStr">
        <is>
          <t>Workflow Automation</t>
        </is>
      </c>
      <c r="H172" t="inlineStr">
        <is>
          <t>Usability Issue</t>
        </is>
      </c>
      <c r="I172" t="inlineStr">
        <is>
          <t>Our team keeps running into this. The automation canvas is hard to follow once a flow has more than a handful of steps. It affects our weekly pipeline review process every cycle. Please look into it soon.</t>
        </is>
      </c>
      <c r="J172" t="inlineStr">
        <is>
          <t>Negative</t>
        </is>
      </c>
      <c r="K172" t="inlineStr">
        <is>
          <t>Low</t>
        </is>
      </c>
      <c r="L172" t="inlineStr">
        <is>
          <t>Minor Inconvenience</t>
        </is>
      </c>
    </row>
    <row r="173">
      <c r="A173" t="inlineStr">
        <is>
          <t>FB-00172</t>
        </is>
      </c>
      <c r="B173" t="inlineStr">
        <is>
          <t>CUST-0221</t>
        </is>
      </c>
      <c r="C173" t="inlineStr">
        <is>
          <t>2025-11-19</t>
        </is>
      </c>
      <c r="D173" t="inlineStr">
        <is>
          <t>Customer Survey</t>
        </is>
      </c>
      <c r="E173" t="inlineStr">
        <is>
          <t>Professional</t>
        </is>
      </c>
      <c r="F173" t="inlineStr">
        <is>
          <t>SMB</t>
        </is>
      </c>
      <c r="G173" t="inlineStr">
        <is>
          <t>Reporting</t>
        </is>
      </c>
      <c r="H173" t="inlineStr">
        <is>
          <t>Feature Request</t>
        </is>
      </c>
      <c r="I173" t="inlineStr">
        <is>
          <t>We need a custom report builder so non-technical managers can create their own views. It happens about 38 times a week for our team of 119.</t>
        </is>
      </c>
      <c r="J173" t="inlineStr">
        <is>
          <t>Positive</t>
        </is>
      </c>
      <c r="K173" t="inlineStr">
        <is>
          <t>Low</t>
        </is>
      </c>
      <c r="L173" t="inlineStr">
        <is>
          <t>Minor Inconvenience</t>
        </is>
      </c>
    </row>
    <row r="174">
      <c r="A174" t="inlineStr">
        <is>
          <t>FB-00173</t>
        </is>
      </c>
      <c r="B174" t="inlineStr">
        <is>
          <t>CUST-0420</t>
        </is>
      </c>
      <c r="C174" t="inlineStr">
        <is>
          <t>2025-11-19</t>
        </is>
      </c>
      <c r="D174" t="inlineStr">
        <is>
          <t>Support Ticket</t>
        </is>
      </c>
      <c r="E174" t="inlineStr">
        <is>
          <t>Enterprise</t>
        </is>
      </c>
      <c r="F174" t="inlineStr">
        <is>
          <t>Enterprise</t>
        </is>
      </c>
      <c r="G174" t="inlineStr">
        <is>
          <t>Integrations</t>
        </is>
      </c>
      <c r="H174" t="inlineStr">
        <is>
          <t>Integration Issue</t>
        </is>
      </c>
      <c r="I174" t="inlineStr">
        <is>
          <t>The Gmail sync duplicates meetings and misses replies. Our admin flagged it while onboarding 41 new users.</t>
        </is>
      </c>
      <c r="J174" t="inlineStr">
        <is>
          <t>Neutral</t>
        </is>
      </c>
      <c r="K174" t="inlineStr">
        <is>
          <t>Medium</t>
        </is>
      </c>
      <c r="L174" t="inlineStr">
        <is>
          <t>Minor Inconvenience</t>
        </is>
      </c>
    </row>
    <row r="175">
      <c r="A175" t="inlineStr">
        <is>
          <t>FB-00174</t>
        </is>
      </c>
      <c r="B175" t="inlineStr">
        <is>
          <t>CUST-0284</t>
        </is>
      </c>
      <c r="C175" t="inlineStr">
        <is>
          <t>2025-11-19</t>
        </is>
      </c>
      <c r="D175" t="inlineStr">
        <is>
          <t>Support Ticket</t>
        </is>
      </c>
      <c r="E175" t="inlineStr">
        <is>
          <t>Enterprise</t>
        </is>
      </c>
      <c r="F175" t="inlineStr">
        <is>
          <t>Enterprise</t>
        </is>
      </c>
      <c r="G175" t="inlineStr">
        <is>
          <t>Workflow Automation</t>
        </is>
      </c>
      <c r="H175" t="inlineStr">
        <is>
          <t>Bug</t>
        </is>
      </c>
      <c r="I175" t="inlineStr">
        <is>
          <t>We are hitting workflow failures: emails don't send and nobody gets notified.</t>
        </is>
      </c>
      <c r="J175" t="inlineStr">
        <is>
          <t>Negative</t>
        </is>
      </c>
      <c r="K175" t="inlineStr">
        <is>
          <t>Low</t>
        </is>
      </c>
      <c r="L175" t="inlineStr">
        <is>
          <t>Workflow Slowdown</t>
        </is>
      </c>
    </row>
    <row r="176">
      <c r="A176" t="inlineStr">
        <is>
          <t>FB-00175</t>
        </is>
      </c>
      <c r="B176" t="inlineStr">
        <is>
          <t>CUST-0060</t>
        </is>
      </c>
      <c r="C176" t="inlineStr">
        <is>
          <t>2025-11-19</t>
        </is>
      </c>
      <c r="D176" t="inlineStr">
        <is>
          <t>Customer Survey</t>
        </is>
      </c>
      <c r="E176" t="inlineStr">
        <is>
          <t>Starter</t>
        </is>
      </c>
      <c r="F176" t="inlineStr">
        <is>
          <t>SMB</t>
        </is>
      </c>
      <c r="G176" t="inlineStr">
        <is>
          <t>Lead Management</t>
        </is>
      </c>
      <c r="H176" t="inlineStr">
        <is>
          <t>Performance Issue</t>
        </is>
      </c>
      <c r="I176" t="inlineStr">
        <is>
          <t>Raising this again after our last business review. Reps have stopped using the board because of lead list loading.</t>
        </is>
      </c>
      <c r="J176" t="inlineStr">
        <is>
          <t>Negative</t>
        </is>
      </c>
      <c r="K176" t="inlineStr">
        <is>
          <t>Medium</t>
        </is>
      </c>
      <c r="L176" t="inlineStr">
        <is>
          <t>Blocks Key Task</t>
        </is>
      </c>
    </row>
    <row r="177">
      <c r="A177" t="inlineStr">
        <is>
          <t>FB-00176</t>
        </is>
      </c>
      <c r="B177" t="inlineStr">
        <is>
          <t>CUST-0267</t>
        </is>
      </c>
      <c r="C177" t="inlineStr">
        <is>
          <t>2025-11-20</t>
        </is>
      </c>
      <c r="D177" t="inlineStr">
        <is>
          <t>Support Ticket</t>
        </is>
      </c>
      <c r="E177" t="inlineStr">
        <is>
          <t>Professional</t>
        </is>
      </c>
      <c r="F177" t="inlineStr">
        <is>
          <t>Mid-Market</t>
        </is>
      </c>
      <c r="G177" t="inlineStr">
        <is>
          <t>Integrations</t>
        </is>
      </c>
      <c r="H177" t="inlineStr">
        <is>
          <t>Integration Issue</t>
        </is>
      </c>
      <c r="I177" t="inlineStr">
        <is>
          <t>Hard to debug: webhook delivery fail with vague error codes. Please look into it soon.</t>
        </is>
      </c>
      <c r="J177" t="inlineStr">
        <is>
          <t>Negative</t>
        </is>
      </c>
      <c r="K177" t="inlineStr">
        <is>
          <t>Medium</t>
        </is>
      </c>
      <c r="L177" t="inlineStr">
        <is>
          <t>Workflow Slowdown</t>
        </is>
      </c>
    </row>
    <row r="178">
      <c r="A178" t="inlineStr">
        <is>
          <t>FB-00177</t>
        </is>
      </c>
      <c r="B178" t="inlineStr">
        <is>
          <t>CUST-0091</t>
        </is>
      </c>
      <c r="C178" t="inlineStr">
        <is>
          <t>2025-11-20</t>
        </is>
      </c>
      <c r="D178" t="inlineStr">
        <is>
          <t>Customer Survey</t>
        </is>
      </c>
      <c r="E178" t="inlineStr">
        <is>
          <t>Professional</t>
        </is>
      </c>
      <c r="F178" t="inlineStr">
        <is>
          <t>SMB</t>
        </is>
      </c>
      <c r="G178" t="inlineStr">
        <is>
          <t>Reporting</t>
        </is>
      </c>
      <c r="H178" t="inlineStr">
        <is>
          <t>Feature Request</t>
        </is>
      </c>
      <c r="I178" t="inlineStr">
        <is>
          <t>Feedback from our monthly review. Please add a custom report builder; today an analyst rebuilds the same report every week. So far 74 people on our side have reported it.</t>
        </is>
      </c>
      <c r="J178" t="inlineStr">
        <is>
          <t>Neutral</t>
        </is>
      </c>
      <c r="K178" t="inlineStr">
        <is>
          <t>Low</t>
        </is>
      </c>
      <c r="L178" t="inlineStr">
        <is>
          <t>Minor Inconvenience</t>
        </is>
      </c>
    </row>
    <row r="179">
      <c r="A179" t="inlineStr">
        <is>
          <t>FB-00178</t>
        </is>
      </c>
      <c r="B179" t="inlineStr">
        <is>
          <t>CUST-0065</t>
        </is>
      </c>
      <c r="C179" t="inlineStr">
        <is>
          <t>2025-11-21</t>
        </is>
      </c>
      <c r="D179" t="inlineStr">
        <is>
          <t>In-App Feedback</t>
        </is>
      </c>
      <c r="E179" t="inlineStr">
        <is>
          <t>Professional</t>
        </is>
      </c>
      <c r="F179" t="inlineStr">
        <is>
          <t>Mid-Market</t>
        </is>
      </c>
      <c r="G179" t="inlineStr">
        <is>
          <t>Lead Management</t>
        </is>
      </c>
      <c r="H179" t="inlineStr">
        <is>
          <t>Bug</t>
        </is>
      </c>
      <c r="I179" t="inlineStr">
        <is>
          <t>Escalating on behalf of our ops lead. Web form submissions keep creating lead de-duplication failures, and reps end up calling the same prospect twice. Is there a workaround?</t>
        </is>
      </c>
      <c r="J179" t="inlineStr">
        <is>
          <t>Negative</t>
        </is>
      </c>
      <c r="K179" t="inlineStr">
        <is>
          <t>Medium</t>
        </is>
      </c>
    </row>
    <row r="180">
      <c r="A180" t="inlineStr">
        <is>
          <t>FB-00179</t>
        </is>
      </c>
      <c r="B180" t="inlineStr">
        <is>
          <t>CUST-0188</t>
        </is>
      </c>
      <c r="C180" t="inlineStr">
        <is>
          <t>2025-11-21</t>
        </is>
      </c>
      <c r="D180" t="inlineStr">
        <is>
          <t>Support Ticket</t>
        </is>
      </c>
      <c r="E180" t="inlineStr">
        <is>
          <t>Enterprise</t>
        </is>
      </c>
      <c r="F180" t="inlineStr">
        <is>
          <t>Mid-Market</t>
        </is>
      </c>
      <c r="G180" t="inlineStr">
        <is>
          <t>Workflow Automation</t>
        </is>
      </c>
      <c r="H180" t="inlineStr">
        <is>
          <t>Bug</t>
        </is>
      </c>
      <c r="I180" t="inlineStr">
        <is>
          <t>Raising this again after our last business review. We found workflow failures only because a customer complained. Our marketing ops owner flagged it while onboarding 98 new users. We need a fix before renewal.</t>
        </is>
      </c>
      <c r="J180" t="inlineStr">
        <is>
          <t>Negative</t>
        </is>
      </c>
      <c r="K180" t="inlineStr">
        <is>
          <t>High</t>
        </is>
      </c>
      <c r="L180" t="inlineStr">
        <is>
          <t>Workflow Slowdown</t>
        </is>
      </c>
    </row>
    <row r="181">
      <c r="A181" t="inlineStr">
        <is>
          <t>FB-00180</t>
        </is>
      </c>
      <c r="B181" t="inlineStr">
        <is>
          <t>CUST-0403</t>
        </is>
      </c>
      <c r="C181" t="inlineStr">
        <is>
          <t>2025-11-22</t>
        </is>
      </c>
      <c r="D181" t="inlineStr">
        <is>
          <t>In-App Feedback</t>
        </is>
      </c>
      <c r="E181" t="inlineStr">
        <is>
          <t>Starter</t>
        </is>
      </c>
      <c r="F181" t="inlineStr">
        <is>
          <t>SMB</t>
        </is>
      </c>
      <c r="G181" t="inlineStr">
        <is>
          <t>User Interface</t>
        </is>
      </c>
      <c r="H181" t="inlineStr">
        <is>
          <t>Performance Issue</t>
        </is>
      </c>
      <c r="I181" t="inlineStr">
        <is>
          <t>Since the redesign there is more slow page transitions on older laptops. It affects our lead handoff process every cycle.</t>
        </is>
      </c>
      <c r="J181" t="inlineStr">
        <is>
          <t>Negative</t>
        </is>
      </c>
      <c r="K181" t="inlineStr">
        <is>
          <t>Critical</t>
        </is>
      </c>
      <c r="L181" t="inlineStr">
        <is>
          <t>Revenue/Operations Risk</t>
        </is>
      </c>
    </row>
    <row r="182">
      <c r="A182" t="inlineStr">
        <is>
          <t>FB-00181</t>
        </is>
      </c>
      <c r="B182" t="inlineStr">
        <is>
          <t>CUST-0003</t>
        </is>
      </c>
      <c r="C182" t="inlineStr">
        <is>
          <t>2025-11-22</t>
        </is>
      </c>
      <c r="D182" t="inlineStr">
        <is>
          <t>Support Ticket</t>
        </is>
      </c>
      <c r="E182" t="inlineStr">
        <is>
          <t>Starter</t>
        </is>
      </c>
      <c r="F182" t="inlineStr">
        <is>
          <t>Mid-Market</t>
        </is>
      </c>
      <c r="G182" t="inlineStr">
        <is>
          <t>Reporting</t>
        </is>
      </c>
      <c r="H182" t="inlineStr">
        <is>
          <t>Bug</t>
        </is>
      </c>
      <c r="I182" t="inlineStr">
        <is>
          <t>Finance can't rely on the CSV export of reports; totals don't match the screen. It happens about 38 times a week for our team of 74.</t>
        </is>
      </c>
      <c r="J182" t="inlineStr">
        <is>
          <t>Neutral</t>
        </is>
      </c>
      <c r="K182" t="inlineStr">
        <is>
          <t>High</t>
        </is>
      </c>
      <c r="L182" t="inlineStr">
        <is>
          <t>Blocks Key Task</t>
        </is>
      </c>
    </row>
    <row r="183">
      <c r="A183" t="inlineStr">
        <is>
          <t>FB-00182</t>
        </is>
      </c>
      <c r="B183" t="inlineStr">
        <is>
          <t>CUST-0251</t>
        </is>
      </c>
      <c r="C183" t="inlineStr">
        <is>
          <t>2025-11-22</t>
        </is>
      </c>
      <c r="D183" t="inlineStr">
        <is>
          <t>Support Ticket</t>
        </is>
      </c>
      <c r="E183" t="inlineStr">
        <is>
          <t>Professional</t>
        </is>
      </c>
      <c r="F183" t="inlineStr">
        <is>
          <t>mid-market</t>
        </is>
      </c>
      <c r="G183" t="inlineStr">
        <is>
          <t>Lead Management</t>
        </is>
      </c>
      <c r="H183" t="inlineStr">
        <is>
          <t>Bug</t>
        </is>
      </c>
      <c r="I183" t="inlineStr">
        <is>
          <t>This has been a recurring problem for us. We are seeing duplicated leads when a lead arrives from both the website and a trade-show list. It affects our lead handoff process every cycle. Please look into it soon.</t>
        </is>
      </c>
      <c r="J183" t="inlineStr">
        <is>
          <t>Negative</t>
        </is>
      </c>
      <c r="K183" t="inlineStr">
        <is>
          <t>Medium</t>
        </is>
      </c>
      <c r="L183" t="inlineStr">
        <is>
          <t>Workflow Slowdown</t>
        </is>
      </c>
    </row>
    <row r="184">
      <c r="A184" t="inlineStr">
        <is>
          <t>FB-00183</t>
        </is>
      </c>
      <c r="B184" t="inlineStr">
        <is>
          <t>CUST-0187</t>
        </is>
      </c>
      <c r="C184" t="inlineStr">
        <is>
          <t>2025-11-22</t>
        </is>
      </c>
      <c r="D184" t="inlineStr">
        <is>
          <t>In-App Feedback</t>
        </is>
      </c>
      <c r="E184" t="inlineStr">
        <is>
          <t>Enterprise</t>
        </is>
      </c>
      <c r="F184" t="inlineStr">
        <is>
          <t>Mid-Market</t>
        </is>
      </c>
      <c r="G184" t="inlineStr">
        <is>
          <t>User Interface</t>
        </is>
      </c>
      <c r="H184" t="inlineStr">
        <is>
          <t>Performance Issue</t>
        </is>
      </c>
      <c r="I184" t="inlineStr">
        <is>
          <t>Noting this during onboarding. We notice slow page transitions whenever more than a few tabs are open. So far 102 people on our side have reported it.</t>
        </is>
      </c>
      <c r="J184" t="inlineStr">
        <is>
          <t>Neutral</t>
        </is>
      </c>
      <c r="K184" t="inlineStr">
        <is>
          <t>Medium</t>
        </is>
      </c>
      <c r="L184" t="inlineStr">
        <is>
          <t>Minor Inconvenience</t>
        </is>
      </c>
    </row>
    <row r="185">
      <c r="A185" t="inlineStr">
        <is>
          <t>FB-00184</t>
        </is>
      </c>
      <c r="B185" t="inlineStr">
        <is>
          <t>CUST-0201</t>
        </is>
      </c>
      <c r="C185" t="inlineStr">
        <is>
          <t>2025-11-22</t>
        </is>
      </c>
      <c r="D185" t="inlineStr">
        <is>
          <t>Support Ticket</t>
        </is>
      </c>
      <c r="E185" t="inlineStr">
        <is>
          <t>Starter</t>
        </is>
      </c>
      <c r="F185" t="inlineStr">
        <is>
          <t>SMB</t>
        </is>
      </c>
      <c r="G185" t="inlineStr">
        <is>
          <t>User Interface</t>
        </is>
      </c>
      <c r="H185" t="inlineStr">
        <is>
          <t>Feature Request</t>
        </is>
      </c>
      <c r="I185" t="inlineStr">
        <is>
          <t>Quick note from our admin. Requesting offline mobile access so reps can log activity right after a meeting. Happy to join a feedback call.</t>
        </is>
      </c>
      <c r="J185" t="inlineStr">
        <is>
          <t>Neutral</t>
        </is>
      </c>
      <c r="K185" t="inlineStr">
        <is>
          <t>Medium</t>
        </is>
      </c>
      <c r="L185" t="inlineStr">
        <is>
          <t>Workflow Slowdown</t>
        </is>
      </c>
    </row>
    <row r="186">
      <c r="A186" t="inlineStr">
        <is>
          <t>FB-00185</t>
        </is>
      </c>
      <c r="B186" t="inlineStr">
        <is>
          <t>CUST-0069</t>
        </is>
      </c>
      <c r="C186" t="inlineStr">
        <is>
          <t>2025-11-23</t>
        </is>
      </c>
      <c r="D186" t="inlineStr">
        <is>
          <t>In-App Feedback</t>
        </is>
      </c>
      <c r="E186" t="inlineStr">
        <is>
          <t>Starter</t>
        </is>
      </c>
      <c r="F186" t="inlineStr">
        <is>
          <t>Mid-Market</t>
        </is>
      </c>
      <c r="G186" t="inlineStr">
        <is>
          <t>User Interface</t>
        </is>
      </c>
      <c r="H186" t="inlineStr">
        <is>
          <t>Usability Issue</t>
        </is>
      </c>
      <c r="I186" t="inlineStr">
        <is>
          <t>This has been a recurring problem for us. Too many clicks to reach common screens because of the navigation menu. We estimate we lose roughly 46 hours a month on this.</t>
        </is>
      </c>
      <c r="J186" t="inlineStr">
        <is>
          <t>Negative</t>
        </is>
      </c>
      <c r="K186" t="inlineStr">
        <is>
          <t>Medium</t>
        </is>
      </c>
      <c r="L186" t="inlineStr">
        <is>
          <t>Minor Inconvenience</t>
        </is>
      </c>
    </row>
    <row r="187">
      <c r="A187" t="inlineStr">
        <is>
          <t>FB-00186</t>
        </is>
      </c>
      <c r="B187" t="inlineStr">
        <is>
          <t>CUST-0318</t>
        </is>
      </c>
      <c r="C187" t="inlineStr">
        <is>
          <t>2025-11-23</t>
        </is>
      </c>
      <c r="D187" t="inlineStr">
        <is>
          <t>Support Ticket</t>
        </is>
      </c>
      <c r="E187" t="inlineStr">
        <is>
          <t>Starter</t>
        </is>
      </c>
      <c r="F187" t="inlineStr">
        <is>
          <t>SMB</t>
        </is>
      </c>
      <c r="G187" t="inlineStr">
        <is>
          <t>Reporting</t>
        </is>
      </c>
      <c r="H187" t="inlineStr">
        <is>
          <t>Performance Issue</t>
        </is>
      </c>
      <c r="I187" t="inlineStr">
        <is>
          <t>The report load time is painfully slow with a full year of data.</t>
        </is>
      </c>
      <c r="J187" t="inlineStr">
        <is>
          <t>Positive</t>
        </is>
      </c>
      <c r="K187" t="inlineStr">
        <is>
          <t>Low</t>
        </is>
      </c>
      <c r="L187" t="inlineStr">
        <is>
          <t>Minor Inconvenience</t>
        </is>
      </c>
    </row>
    <row r="188">
      <c r="A188" t="inlineStr">
        <is>
          <t>FB-00187</t>
        </is>
      </c>
      <c r="B188" t="inlineStr">
        <is>
          <t>CUST-0286</t>
        </is>
      </c>
      <c r="C188" t="inlineStr">
        <is>
          <t>2025-11-23</t>
        </is>
      </c>
      <c r="D188" t="inlineStr">
        <is>
          <t>Support Ticket</t>
        </is>
      </c>
      <c r="E188" t="inlineStr">
        <is>
          <t>Enterprise</t>
        </is>
      </c>
      <c r="F188" t="inlineStr">
        <is>
          <t>Enterprise</t>
        </is>
      </c>
      <c r="G188" t="inlineStr">
        <is>
          <t>Integrations</t>
        </is>
      </c>
      <c r="H188" t="inlineStr">
        <is>
          <t>Integration Issue</t>
        </is>
      </c>
      <c r="I188" t="inlineStr">
        <is>
          <t>We keep hitting API timeouts during nightly syncs with our data warehouse. It affects our onboarding process every cycle.</t>
        </is>
      </c>
      <c r="J188" t="inlineStr">
        <is>
          <t>Negative</t>
        </is>
      </c>
      <c r="K188" t="inlineStr">
        <is>
          <t>High</t>
        </is>
      </c>
      <c r="L188" t="inlineStr">
        <is>
          <t>Workflow Slowdown</t>
        </is>
      </c>
    </row>
    <row r="189">
      <c r="A189" t="inlineStr">
        <is>
          <t>FB-00188</t>
        </is>
      </c>
      <c r="B189" t="inlineStr">
        <is>
          <t>CUST-0342</t>
        </is>
      </c>
      <c r="C189" t="inlineStr">
        <is>
          <t>2025-11-24</t>
        </is>
      </c>
      <c r="D189" t="inlineStr">
        <is>
          <t>Support Ticket</t>
        </is>
      </c>
      <c r="E189" t="inlineStr">
        <is>
          <t>Enterprise</t>
        </is>
      </c>
      <c r="F189" t="inlineStr">
        <is>
          <t>Enterprise</t>
        </is>
      </c>
      <c r="G189" t="inlineStr">
        <is>
          <t>Integrations</t>
        </is>
      </c>
      <c r="H189" t="inlineStr">
        <is>
          <t>Integration Issue</t>
        </is>
      </c>
      <c r="I189" t="inlineStr">
        <is>
          <t>Our team keeps running into this. Hard to debug: webhook delivery fail with vague error codes. So far 57 people on our side have reported it.</t>
        </is>
      </c>
      <c r="J189" t="inlineStr">
        <is>
          <t>Negative</t>
        </is>
      </c>
      <c r="K189" t="inlineStr">
        <is>
          <t>Critical</t>
        </is>
      </c>
      <c r="L189" t="inlineStr">
        <is>
          <t>Blocks Key Task</t>
        </is>
      </c>
    </row>
    <row r="190">
      <c r="A190" t="inlineStr">
        <is>
          <t>FB-00189</t>
        </is>
      </c>
      <c r="B190" t="inlineStr">
        <is>
          <t>CUST-0239</t>
        </is>
      </c>
      <c r="C190" t="inlineStr">
        <is>
          <t>2025-11-25</t>
        </is>
      </c>
      <c r="D190" t="inlineStr">
        <is>
          <t>Feature Request</t>
        </is>
      </c>
      <c r="E190" t="inlineStr">
        <is>
          <t>Professional</t>
        </is>
      </c>
      <c r="F190" t="inlineStr">
        <is>
          <t>MID-MARKET</t>
        </is>
      </c>
      <c r="G190" t="inlineStr">
        <is>
          <t>Reporting</t>
        </is>
      </c>
      <c r="H190" t="inlineStr">
        <is>
          <t>Feature Request</t>
        </is>
      </c>
      <c r="I190" t="inlineStr">
        <is>
          <t>Overall we like the product. We need report scheduling so non-technical managers can create their own views. It happens about 27 times a week for our team of 74. Keep up the good work.</t>
        </is>
      </c>
      <c r="J190" t="inlineStr">
        <is>
          <t>Positive</t>
        </is>
      </c>
      <c r="K190" t="inlineStr">
        <is>
          <t>Medium</t>
        </is>
      </c>
      <c r="L190" t="inlineStr">
        <is>
          <t>Minor Inconvenience</t>
        </is>
      </c>
    </row>
    <row r="191">
      <c r="A191" t="inlineStr">
        <is>
          <t>FB-00190</t>
        </is>
      </c>
      <c r="B191" t="inlineStr">
        <is>
          <t>CUST-0277</t>
        </is>
      </c>
      <c r="C191" t="inlineStr">
        <is>
          <t>2025-11-25</t>
        </is>
      </c>
      <c r="D191" t="inlineStr">
        <is>
          <t>Support Ticket</t>
        </is>
      </c>
      <c r="E191" t="inlineStr">
        <is>
          <t>Professional</t>
        </is>
      </c>
      <c r="F191" t="inlineStr">
        <is>
          <t>Mid-Market</t>
        </is>
      </c>
      <c r="G191" t="inlineStr">
        <is>
          <t>Integrations</t>
        </is>
      </c>
      <c r="H191" t="inlineStr">
        <is>
          <t>Feature Request</t>
        </is>
      </c>
      <c r="I191" t="inlineStr">
        <is>
          <t>Sharing this from our team. Lack of a marketing automation connector is a gap versus other CRMs we evaluated. It affects our onboarding process every cycle. Let us know if you need examples.</t>
        </is>
      </c>
      <c r="J191" t="inlineStr">
        <is>
          <t>Neutral</t>
        </is>
      </c>
      <c r="K191" t="inlineStr">
        <is>
          <t>High</t>
        </is>
      </c>
      <c r="L191" t="inlineStr">
        <is>
          <t>Workflow Slowdown</t>
        </is>
      </c>
    </row>
    <row r="192">
      <c r="A192" t="inlineStr">
        <is>
          <t>FB-00191</t>
        </is>
      </c>
      <c r="B192" t="inlineStr">
        <is>
          <t>CUST-0171</t>
        </is>
      </c>
      <c r="C192" t="inlineStr">
        <is>
          <t>2025-11-25</t>
        </is>
      </c>
      <c r="D192" t="inlineStr">
        <is>
          <t>Customer Survey</t>
        </is>
      </c>
      <c r="E192" t="inlineStr">
        <is>
          <t>Professional</t>
        </is>
      </c>
      <c r="F192" t="inlineStr">
        <is>
          <t>Mid-Market</t>
        </is>
      </c>
      <c r="G192" t="inlineStr">
        <is>
          <t>Lead Management</t>
        </is>
      </c>
      <c r="H192" t="inlineStr">
        <is>
          <t>Feature Request</t>
        </is>
      </c>
      <c r="I192" t="inlineStr">
        <is>
          <t>Feedback from our monthly review. Please add automated lead scoring based on engagement, company size and recent activity.</t>
        </is>
      </c>
      <c r="J192" t="inlineStr">
        <is>
          <t>Neutral</t>
        </is>
      </c>
      <c r="K192" t="inlineStr">
        <is>
          <t>Medium</t>
        </is>
      </c>
      <c r="L192" t="inlineStr">
        <is>
          <t>Blocks Key Task</t>
        </is>
      </c>
    </row>
    <row r="193">
      <c r="A193" t="inlineStr">
        <is>
          <t>FB-00192</t>
        </is>
      </c>
      <c r="B193" t="inlineStr">
        <is>
          <t>CUST-0054</t>
        </is>
      </c>
      <c r="C193" t="inlineStr">
        <is>
          <t>2025-11-26</t>
        </is>
      </c>
      <c r="D193" t="inlineStr">
        <is>
          <t>Support Ticket</t>
        </is>
      </c>
      <c r="E193" t="inlineStr">
        <is>
          <t>Enterprise</t>
        </is>
      </c>
      <c r="F193" t="inlineStr">
        <is>
          <t>Enterprise</t>
        </is>
      </c>
      <c r="G193" t="inlineStr">
        <is>
          <t>Reporting</t>
        </is>
      </c>
      <c r="H193" t="inlineStr">
        <is>
          <t>Feature Request</t>
        </is>
      </c>
      <c r="I193" t="inlineStr">
        <is>
          <t>Noting this during onboarding. We need a custom report builder so non-technical managers can create their own views. It affects our quarterly planning process every cycle. Let us know if you need examples.</t>
        </is>
      </c>
      <c r="J193" t="inlineStr">
        <is>
          <t>Neutral</t>
        </is>
      </c>
      <c r="K193" t="inlineStr">
        <is>
          <t>Low</t>
        </is>
      </c>
      <c r="L193" t="inlineStr">
        <is>
          <t>Minor Inconvenience</t>
        </is>
      </c>
    </row>
    <row r="194">
      <c r="A194" t="inlineStr">
        <is>
          <t>FB-00193</t>
        </is>
      </c>
      <c r="B194" t="inlineStr">
        <is>
          <t>CUST-0378</t>
        </is>
      </c>
      <c r="C194" t="inlineStr">
        <is>
          <t>2025-11-26</t>
        </is>
      </c>
      <c r="D194" t="inlineStr">
        <is>
          <t>Customer Survey</t>
        </is>
      </c>
      <c r="E194" t="inlineStr">
        <is>
          <t>Starter</t>
        </is>
      </c>
      <c r="F194" t="inlineStr">
        <is>
          <t>SMB</t>
        </is>
      </c>
      <c r="G194" t="inlineStr">
        <is>
          <t xml:space="preserve"> Contact Management</t>
        </is>
      </c>
      <c r="H194" t="inlineStr">
        <is>
          <t>Feature Request</t>
        </is>
      </c>
      <c r="I194" t="inlineStr">
        <is>
          <t>Noting this during onboarding. Is there any plan for contact de-duplication tooling? Merging one record at a time is not realistic. So far 35 people on our side have reported it.</t>
        </is>
      </c>
      <c r="J194" t="inlineStr">
        <is>
          <t>Neutral</t>
        </is>
      </c>
      <c r="K194" t="inlineStr">
        <is>
          <t>High</t>
        </is>
      </c>
      <c r="L194" t="inlineStr">
        <is>
          <t>Revenue/Operations Risk</t>
        </is>
      </c>
    </row>
    <row r="195">
      <c r="A195" t="inlineStr">
        <is>
          <t>FB-00194</t>
        </is>
      </c>
      <c r="B195" t="inlineStr">
        <is>
          <t>CUST-0234</t>
        </is>
      </c>
      <c r="C195" t="inlineStr">
        <is>
          <t>2025-11-26</t>
        </is>
      </c>
      <c r="D195" t="inlineStr">
        <is>
          <t>Feature Request</t>
        </is>
      </c>
      <c r="E195" t="inlineStr">
        <is>
          <t>Enterprise</t>
        </is>
      </c>
      <c r="F195" t="inlineStr">
        <is>
          <t>SMB</t>
        </is>
      </c>
      <c r="G195" t="inlineStr">
        <is>
          <t>Lead Management</t>
        </is>
      </c>
      <c r="H195" t="inlineStr">
        <is>
          <t>Feature Request</t>
        </is>
      </c>
      <c r="I195" t="inlineStr">
        <is>
          <t>Great support experience recently. We need automated lead scoring so reps can focus on the prospects most likely to close. We estimate we lose roughly 6 hours a month on this.</t>
        </is>
      </c>
      <c r="J195" t="inlineStr">
        <is>
          <t>Positive</t>
        </is>
      </c>
      <c r="K195" t="inlineStr">
        <is>
          <t>Low</t>
        </is>
      </c>
      <c r="L195" t="inlineStr">
        <is>
          <t>Minor Inconvenience</t>
        </is>
      </c>
    </row>
    <row r="196">
      <c r="A196" t="inlineStr">
        <is>
          <t>FB-00195</t>
        </is>
      </c>
      <c r="B196" t="inlineStr">
        <is>
          <t>CUST-0206</t>
        </is>
      </c>
      <c r="C196" t="inlineStr">
        <is>
          <t>26-Nov-2025</t>
        </is>
      </c>
      <c r="D196" t="inlineStr">
        <is>
          <t>Customer Survey</t>
        </is>
      </c>
      <c r="E196" t="inlineStr">
        <is>
          <t>Professional</t>
        </is>
      </c>
      <c r="F196" t="inlineStr">
        <is>
          <t>MID-MARKET</t>
        </is>
      </c>
      <c r="G196" t="inlineStr">
        <is>
          <t>Workflow Automation</t>
        </is>
      </c>
      <c r="H196" t="inlineStr">
        <is>
          <t>Usability Issue</t>
        </is>
      </c>
      <c r="I196" t="inlineStr">
        <is>
          <t>Raising this again after our last business review. Our new admins struggle with the automation canvas; there is no guidance or validation. So far 93 people on our side have reported it.</t>
        </is>
      </c>
      <c r="J196" t="inlineStr">
        <is>
          <t>Negative</t>
        </is>
      </c>
      <c r="K196" t="inlineStr">
        <is>
          <t>High</t>
        </is>
      </c>
      <c r="L196" t="inlineStr">
        <is>
          <t>Blocks Key Task</t>
        </is>
      </c>
    </row>
    <row r="197">
      <c r="A197" t="inlineStr">
        <is>
          <t>FB-00196</t>
        </is>
      </c>
      <c r="B197" t="inlineStr">
        <is>
          <t>CUST-0080</t>
        </is>
      </c>
      <c r="C197" t="inlineStr">
        <is>
          <t>2025-11-26</t>
        </is>
      </c>
      <c r="D197" t="inlineStr">
        <is>
          <t>Customer Survey</t>
        </is>
      </c>
      <c r="E197" t="inlineStr">
        <is>
          <t>Professional</t>
        </is>
      </c>
      <c r="F197" t="inlineStr">
        <is>
          <t>Mid-Market</t>
        </is>
      </c>
      <c r="G197" t="inlineStr">
        <is>
          <t>Integrations</t>
        </is>
      </c>
      <c r="H197" t="inlineStr">
        <is>
          <t>Integration Issue</t>
        </is>
      </c>
      <c r="I197" t="inlineStr">
        <is>
          <t>This has been a recurring problem for us. Webhook delivery is unreliable and there is no retry or log we can inspect. It affects our quarterly planning process every cycle. Is there a workaround?</t>
        </is>
      </c>
      <c r="J197" t="inlineStr">
        <is>
          <t>Negative</t>
        </is>
      </c>
      <c r="K197" t="inlineStr">
        <is>
          <t>Low</t>
        </is>
      </c>
      <c r="L197" t="inlineStr">
        <is>
          <t>Workflow Slowdown</t>
        </is>
      </c>
    </row>
    <row r="198">
      <c r="A198" t="inlineStr">
        <is>
          <t>FB-00197</t>
        </is>
      </c>
      <c r="B198" t="inlineStr">
        <is>
          <t>CUST-0286</t>
        </is>
      </c>
      <c r="C198" t="inlineStr">
        <is>
          <t>2025-11-27</t>
        </is>
      </c>
      <c r="D198" t="inlineStr">
        <is>
          <t>Customer Survey</t>
        </is>
      </c>
      <c r="E198" t="inlineStr">
        <is>
          <t>Enterprise</t>
        </is>
      </c>
      <c r="F198" t="inlineStr">
        <is>
          <t>Enterprise</t>
        </is>
      </c>
      <c r="G198" t="inlineStr">
        <is>
          <t>Contact Management</t>
        </is>
      </c>
      <c r="H198" t="inlineStr">
        <is>
          <t>Feature Request</t>
        </is>
      </c>
      <c r="I198" t="inlineStr">
        <is>
          <t>Sharing this from our team. We need an account hierarchy view to reflect parent companies and subsidiaries.</t>
        </is>
      </c>
      <c r="J198" t="inlineStr">
        <is>
          <t>Neutral</t>
        </is>
      </c>
      <c r="K198" t="inlineStr">
        <is>
          <t>Low</t>
        </is>
      </c>
      <c r="L198" t="inlineStr">
        <is>
          <t>Minor Inconvenience</t>
        </is>
      </c>
    </row>
    <row r="199">
      <c r="A199" t="inlineStr">
        <is>
          <t>FB-00198</t>
        </is>
      </c>
      <c r="B199" t="inlineStr">
        <is>
          <t>CUST-0324</t>
        </is>
      </c>
      <c r="C199" t="inlineStr">
        <is>
          <t>2025-11-27</t>
        </is>
      </c>
      <c r="D199" t="inlineStr">
        <is>
          <t>In-App Feedback</t>
        </is>
      </c>
      <c r="E199" t="inlineStr">
        <is>
          <t>Starter</t>
        </is>
      </c>
      <c r="F199" t="inlineStr">
        <is>
          <t>SMB</t>
        </is>
      </c>
      <c r="G199" t="inlineStr">
        <is>
          <t>Workflow Automation</t>
        </is>
      </c>
      <c r="H199" t="inlineStr">
        <is>
          <t>Usability Issue</t>
        </is>
      </c>
      <c r="I199" t="inlineStr">
        <is>
          <t>Frustrated with this one. The automation canvas is hard to follow once a flow has more than a handful of steps. It happens about 23 times a week for our team of 25.</t>
        </is>
      </c>
      <c r="J199" t="inlineStr">
        <is>
          <t>Negative</t>
        </is>
      </c>
      <c r="K199" t="inlineStr">
        <is>
          <t>High</t>
        </is>
      </c>
      <c r="L199" t="inlineStr">
        <is>
          <t>Blocks Key Task</t>
        </is>
      </c>
    </row>
    <row r="200">
      <c r="A200" t="inlineStr">
        <is>
          <t>FB-00199</t>
        </is>
      </c>
      <c r="B200" t="inlineStr">
        <is>
          <t>CUST-0286</t>
        </is>
      </c>
      <c r="C200" t="inlineStr">
        <is>
          <t>2025-11-27</t>
        </is>
      </c>
      <c r="D200" t="inlineStr">
        <is>
          <t>Feature Request</t>
        </is>
      </c>
      <c r="E200" t="inlineStr">
        <is>
          <t>Enterprise</t>
        </is>
      </c>
      <c r="F200" t="inlineStr">
        <is>
          <t>Enterprise</t>
        </is>
      </c>
      <c r="G200" t="inlineStr">
        <is>
          <t>Workflow Automation</t>
        </is>
      </c>
      <c r="H200" t="inlineStr">
        <is>
          <t>Feature Request</t>
        </is>
      </c>
      <c r="I200" t="inlineStr">
        <is>
          <t>Sharing this from our team. Competitors ship automation recipes; we are rebuilding the same flows from scratch. Let us know if you need examples.</t>
        </is>
      </c>
      <c r="J200" t="inlineStr">
        <is>
          <t>Neutral</t>
        </is>
      </c>
      <c r="K200" t="inlineStr">
        <is>
          <t>Medium</t>
        </is>
      </c>
      <c r="L200" t="inlineStr">
        <is>
          <t>Workflow Slowdown</t>
        </is>
      </c>
    </row>
    <row r="201">
      <c r="A201" t="inlineStr">
        <is>
          <t>FB-00200</t>
        </is>
      </c>
      <c r="B201" t="inlineStr">
        <is>
          <t>CUST-0059</t>
        </is>
      </c>
      <c r="C201" t="inlineStr">
        <is>
          <t>27-Nov-2025</t>
        </is>
      </c>
      <c r="D201" t="inlineStr">
        <is>
          <t>In-App Feedback</t>
        </is>
      </c>
      <c r="E201" t="inlineStr">
        <is>
          <t>Starter</t>
        </is>
      </c>
      <c r="F201" t="inlineStr">
        <is>
          <t>SMB</t>
        </is>
      </c>
      <c r="G201" t="inlineStr">
        <is>
          <t>Workflow Automation</t>
        </is>
      </c>
      <c r="H201" t="inlineStr">
        <is>
          <t>Bug</t>
        </is>
      </c>
      <c r="I201" t="inlineStr">
        <is>
          <t>Not what we expected for the price. Several workflow failures left deals stuck in the wrong stage. It happens about 34 times a week for our team of 30. Please look into it soon.</t>
        </is>
      </c>
      <c r="J201" t="inlineStr">
        <is>
          <t>Negative</t>
        </is>
      </c>
      <c r="K201" t="inlineStr">
        <is>
          <t>Medium</t>
        </is>
      </c>
      <c r="L201" t="inlineStr">
        <is>
          <t>Blocks Key Task</t>
        </is>
      </c>
    </row>
    <row r="202">
      <c r="A202" t="inlineStr">
        <is>
          <t>FB-00201</t>
        </is>
      </c>
      <c r="B202" t="inlineStr">
        <is>
          <t>CUST-0205</t>
        </is>
      </c>
      <c r="C202" t="inlineStr">
        <is>
          <t>2025-11-28</t>
        </is>
      </c>
      <c r="D202" t="inlineStr">
        <is>
          <t>Feature Request</t>
        </is>
      </c>
      <c r="E202" t="inlineStr">
        <is>
          <t>Enterprise</t>
        </is>
      </c>
      <c r="F202" t="inlineStr">
        <is>
          <t>Enterprise</t>
        </is>
      </c>
      <c r="G202" t="inlineStr">
        <is>
          <t>Integrations</t>
        </is>
      </c>
      <c r="H202" t="inlineStr">
        <is>
          <t>Feature Request</t>
        </is>
      </c>
      <c r="I202" t="inlineStr">
        <is>
          <t>Sharing this from our team. Please add SCIM provisioning; managing users by hand does not scale. It affects our renewal process every cycle.</t>
        </is>
      </c>
      <c r="J202" t="inlineStr">
        <is>
          <t>Neutral</t>
        </is>
      </c>
      <c r="K202" t="inlineStr">
        <is>
          <t>Medium</t>
        </is>
      </c>
      <c r="L202" t="inlineStr">
        <is>
          <t>Blocks Key Task</t>
        </is>
      </c>
    </row>
    <row r="203">
      <c r="A203" t="inlineStr">
        <is>
          <t>FB-00202</t>
        </is>
      </c>
      <c r="B203" t="inlineStr">
        <is>
          <t>CUST-0338</t>
        </is>
      </c>
      <c r="C203" t="inlineStr">
        <is>
          <t>2025-11-29</t>
        </is>
      </c>
      <c r="D203" t="inlineStr">
        <is>
          <t>In-App Feedback</t>
        </is>
      </c>
      <c r="E203" t="inlineStr">
        <is>
          <t>Professional</t>
        </is>
      </c>
      <c r="F203" t="inlineStr">
        <is>
          <t>Mid-Market</t>
        </is>
      </c>
      <c r="G203" t="inlineStr">
        <is>
          <t>Workflow Automation</t>
        </is>
      </c>
      <c r="H203" t="inlineStr">
        <is>
          <t>Feature Request</t>
        </is>
      </c>
      <c r="I203" t="inlineStr">
        <is>
          <t>Noting this during onboarding. We'd adopt automation faster with automation recipes we could customize. It affects our weekly pipeline review process every cycle.</t>
        </is>
      </c>
      <c r="J203" t="inlineStr">
        <is>
          <t>Neutral</t>
        </is>
      </c>
      <c r="K203" t="inlineStr">
        <is>
          <t>Medium</t>
        </is>
      </c>
      <c r="L203" t="inlineStr">
        <is>
          <t>Workflow Slowdown</t>
        </is>
      </c>
    </row>
    <row r="204">
      <c r="A204" t="inlineStr">
        <is>
          <t>FB-00203</t>
        </is>
      </c>
      <c r="B204" t="inlineStr">
        <is>
          <t>CUST-0231</t>
        </is>
      </c>
      <c r="C204" t="inlineStr">
        <is>
          <t>2025-11-30</t>
        </is>
      </c>
      <c r="D204" t="inlineStr">
        <is>
          <t>Customer Survey</t>
        </is>
      </c>
      <c r="E204" t="inlineStr">
        <is>
          <t>Enterprise</t>
        </is>
      </c>
      <c r="F204" t="inlineStr">
        <is>
          <t>Enterprise</t>
        </is>
      </c>
      <c r="G204" t="inlineStr">
        <is>
          <t>Contact Management</t>
        </is>
      </c>
      <c r="H204" t="inlineStr">
        <is>
          <t>Feature Request</t>
        </is>
      </c>
      <c r="I204" t="inlineStr">
        <is>
          <t>Is there any plan for a bulk contact merge? Merging one record at a time is not realistic. It happens about 4 times a week for our team of 97. Thanks to the team.</t>
        </is>
      </c>
      <c r="J204" t="inlineStr">
        <is>
          <t>Positive</t>
        </is>
      </c>
      <c r="K204" t="inlineStr">
        <is>
          <t>Low</t>
        </is>
      </c>
      <c r="L204" t="inlineStr">
        <is>
          <t>Workflow Slowdown</t>
        </is>
      </c>
    </row>
    <row r="205">
      <c r="A205" t="inlineStr">
        <is>
          <t>FB-00204</t>
        </is>
      </c>
      <c r="B205" t="inlineStr">
        <is>
          <t>CUST-0342</t>
        </is>
      </c>
      <c r="C205" t="inlineStr">
        <is>
          <t>2025-11-30</t>
        </is>
      </c>
      <c r="D205" t="inlineStr">
        <is>
          <t>In-App Feedback</t>
        </is>
      </c>
      <c r="E205" t="inlineStr">
        <is>
          <t>Enterprise</t>
        </is>
      </c>
      <c r="F205" t="inlineStr">
        <is>
          <t>Enterprise</t>
        </is>
      </c>
      <c r="G205" t="inlineStr">
        <is>
          <t>User Interface</t>
        </is>
      </c>
      <c r="H205" t="inlineStr">
        <is>
          <t>Feature Request</t>
        </is>
      </c>
      <c r="I205" t="inlineStr">
        <is>
          <t>Our field reps need offline mobile access to update deals between visits. We estimate we lose roughly 54 hours a month on this.</t>
        </is>
      </c>
      <c r="J205" t="inlineStr">
        <is>
          <t>Neutral</t>
        </is>
      </c>
      <c r="K205" t="inlineStr">
        <is>
          <t>Medium</t>
        </is>
      </c>
      <c r="L205" t="inlineStr">
        <is>
          <t>Workflow Slowdown</t>
        </is>
      </c>
    </row>
    <row r="206">
      <c r="A206" t="inlineStr">
        <is>
          <t>FB-00205</t>
        </is>
      </c>
      <c r="B206" t="inlineStr">
        <is>
          <t>CUST-0413</t>
        </is>
      </c>
      <c r="C206" t="inlineStr">
        <is>
          <t>2025-11-30</t>
        </is>
      </c>
      <c r="D206" t="inlineStr">
        <is>
          <t>Customer Survey</t>
        </is>
      </c>
      <c r="E206" t="inlineStr">
        <is>
          <t>Professional</t>
        </is>
      </c>
      <c r="F206" t="inlineStr">
        <is>
          <t>SMB</t>
        </is>
      </c>
      <c r="G206" t="inlineStr">
        <is>
          <t>Lead Management</t>
        </is>
      </c>
      <c r="H206" t="inlineStr">
        <is>
          <t>Usability Issue</t>
        </is>
      </c>
      <c r="I206" t="inlineStr">
        <is>
          <t>Our team keeps running into this. Setting up round-robin lead assignment takes too many steps and the options don't cover territories. Our admin flagged it while onboarding 73 new users. Please look into it soon.</t>
        </is>
      </c>
      <c r="J206" t="inlineStr">
        <is>
          <t>Negative</t>
        </is>
      </c>
      <c r="K206" t="inlineStr">
        <is>
          <t>Medium</t>
        </is>
      </c>
      <c r="L206" t="inlineStr">
        <is>
          <t>Blocks Key Task</t>
        </is>
      </c>
    </row>
    <row r="207">
      <c r="A207" t="inlineStr">
        <is>
          <t>FB-00206</t>
        </is>
      </c>
      <c r="B207" t="inlineStr">
        <is>
          <t>CUST-0411</t>
        </is>
      </c>
      <c r="C207" t="inlineStr">
        <is>
          <t>2025-12-01</t>
        </is>
      </c>
      <c r="D207" t="inlineStr">
        <is>
          <t>Feature Request</t>
        </is>
      </c>
      <c r="E207" t="inlineStr">
        <is>
          <t>Starter</t>
        </is>
      </c>
      <c r="F207" t="inlineStr">
        <is>
          <t>SMB</t>
        </is>
      </c>
      <c r="G207" t="inlineStr">
        <is>
          <t>Integrations</t>
        </is>
      </c>
      <c r="H207" t="inlineStr">
        <is>
          <t>Feature Request</t>
        </is>
      </c>
      <c r="I207" t="inlineStr">
        <is>
          <t>Requesting a marketing automation connector to remove manual re-entry. Our customer success lead flagged it while onboarding 38 new users. Let us know if you need examples.</t>
        </is>
      </c>
      <c r="J207" t="inlineStr">
        <is>
          <t>Neutral</t>
        </is>
      </c>
      <c r="K207" t="inlineStr">
        <is>
          <t>Low</t>
        </is>
      </c>
      <c r="L207" t="inlineStr">
        <is>
          <t>Blocks Key Task</t>
        </is>
      </c>
    </row>
    <row r="208">
      <c r="A208" t="inlineStr">
        <is>
          <t>FB-00207</t>
        </is>
      </c>
      <c r="B208" t="inlineStr">
        <is>
          <t>CUST-0010</t>
        </is>
      </c>
      <c r="C208" t="inlineStr">
        <is>
          <t>2025-12-02</t>
        </is>
      </c>
      <c r="D208" t="inlineStr">
        <is>
          <t>Support Ticket</t>
        </is>
      </c>
      <c r="E208" t="inlineStr">
        <is>
          <t>Professional</t>
        </is>
      </c>
      <c r="F208" t="inlineStr">
        <is>
          <t>SMB</t>
        </is>
      </c>
      <c r="G208" t="inlineStr">
        <is>
          <t>Lead Management</t>
        </is>
      </c>
      <c r="H208" t="inlineStr">
        <is>
          <t>Feature Request</t>
        </is>
      </c>
      <c r="I208" t="inlineStr">
        <is>
          <t>Not what we expected for the price. Right now reps rank leads by gut feel; lead scoring rules would fix that. We estimate we lose roughly 35 hours a month on this. Is there a workaround?</t>
        </is>
      </c>
      <c r="J208" t="inlineStr">
        <is>
          <t>Negative</t>
        </is>
      </c>
      <c r="K208" t="inlineStr">
        <is>
          <t>Low</t>
        </is>
      </c>
      <c r="L208" t="inlineStr">
        <is>
          <t>Blocks Key Task</t>
        </is>
      </c>
    </row>
    <row r="209">
      <c r="A209" t="inlineStr">
        <is>
          <t>FB-00208</t>
        </is>
      </c>
      <c r="B209" t="inlineStr">
        <is>
          <t>CUST-0036</t>
        </is>
      </c>
      <c r="C209" t="inlineStr">
        <is>
          <t>2025-12-02</t>
        </is>
      </c>
      <c r="D209" t="inlineStr">
        <is>
          <t>Support Ticket</t>
        </is>
      </c>
      <c r="E209" t="inlineStr">
        <is>
          <t>Starter</t>
        </is>
      </c>
      <c r="F209" t="inlineStr">
        <is>
          <t>SMB</t>
        </is>
      </c>
      <c r="G209" t="inlineStr">
        <is>
          <t>Integrations</t>
        </is>
      </c>
      <c r="H209" t="inlineStr">
        <is>
          <t>Integration Issue</t>
        </is>
      </c>
      <c r="I209" t="inlineStr">
        <is>
          <t>Our email sync keeps disconnecting and activities are missing from the contact timeline. So far 51 people on our side have reported it.</t>
        </is>
      </c>
      <c r="J209" t="inlineStr">
        <is>
          <t>Positive</t>
        </is>
      </c>
      <c r="K209" t="inlineStr">
        <is>
          <t>Medium</t>
        </is>
      </c>
      <c r="L209" t="inlineStr">
        <is>
          <t>Workflow Slowdown</t>
        </is>
      </c>
    </row>
    <row r="210">
      <c r="A210" t="inlineStr">
        <is>
          <t>FB-00209</t>
        </is>
      </c>
      <c r="B210" t="inlineStr">
        <is>
          <t>CUST-0401</t>
        </is>
      </c>
      <c r="C210" t="inlineStr">
        <is>
          <t>2025-12-02</t>
        </is>
      </c>
      <c r="D210" t="inlineStr">
        <is>
          <t>In-App Feedback</t>
        </is>
      </c>
      <c r="E210" t="inlineStr">
        <is>
          <t>Professional</t>
        </is>
      </c>
      <c r="F210" t="inlineStr">
        <is>
          <t>SMB</t>
        </is>
      </c>
      <c r="G210" t="inlineStr">
        <is>
          <t>Contact Management</t>
        </is>
      </c>
      <c r="H210" t="inlineStr">
        <is>
          <t>Performance Issue</t>
        </is>
      </c>
      <c r="I210" t="inlineStr">
        <is>
          <t>Raising this again after our last business review. Our contact list filtering is slow and often returns stale results right after an update. Our sales manager flagged it while onboarding 16 new users. Support suggested logging it here.</t>
        </is>
      </c>
      <c r="J210" t="inlineStr">
        <is>
          <t>Negative</t>
        </is>
      </c>
      <c r="K210" t="inlineStr">
        <is>
          <t>Low</t>
        </is>
      </c>
      <c r="L210" t="inlineStr">
        <is>
          <t>Minor Inconvenience</t>
        </is>
      </c>
    </row>
    <row r="211">
      <c r="A211" t="inlineStr">
        <is>
          <t>FB-00210</t>
        </is>
      </c>
      <c r="B211" t="inlineStr">
        <is>
          <t>CUST-0133</t>
        </is>
      </c>
      <c r="C211" t="inlineStr">
        <is>
          <t>2025-12-03</t>
        </is>
      </c>
      <c r="D211" t="inlineStr">
        <is>
          <t>Support Ticket</t>
        </is>
      </c>
      <c r="E211" t="inlineStr">
        <is>
          <t>Professional</t>
        </is>
      </c>
      <c r="F211" t="inlineStr">
        <is>
          <t>Mid-Market</t>
        </is>
      </c>
      <c r="G211" t="inlineStr">
        <is>
          <t>Integrations</t>
        </is>
      </c>
      <c r="H211" t="inlineStr">
        <is>
          <t>Integration Issue</t>
        </is>
      </c>
      <c r="I211" t="inlineStr">
        <is>
          <t>Our integration partner flagged webhook delivery as a risk for the project. Let us know if you need examples.</t>
        </is>
      </c>
      <c r="J211" t="inlineStr">
        <is>
          <t>Neutral</t>
        </is>
      </c>
      <c r="K211" t="inlineStr">
        <is>
          <t>Medium</t>
        </is>
      </c>
      <c r="L211" t="inlineStr">
        <is>
          <t>Workflow Slowdown</t>
        </is>
      </c>
    </row>
    <row r="212">
      <c r="A212" t="inlineStr">
        <is>
          <t>FB-00211</t>
        </is>
      </c>
      <c r="B212" t="inlineStr">
        <is>
          <t>CUST-0207</t>
        </is>
      </c>
      <c r="C212" t="inlineStr">
        <is>
          <t>03-Dec-2025</t>
        </is>
      </c>
      <c r="D212" t="inlineStr">
        <is>
          <t>Customer Survey</t>
        </is>
      </c>
      <c r="E212" t="inlineStr">
        <is>
          <t>Professional</t>
        </is>
      </c>
      <c r="F212" t="inlineStr">
        <is>
          <t>Mid-Market</t>
        </is>
      </c>
      <c r="G212" t="inlineStr">
        <is>
          <t>User Interface</t>
        </is>
      </c>
      <c r="H212" t="inlineStr">
        <is>
          <t>Feature Request</t>
        </is>
      </c>
      <c r="I212" t="inlineStr">
        <is>
          <t>Sharing this from our team. Please add bulk actions on lists; changing records one at a time wastes hours.</t>
        </is>
      </c>
      <c r="J212" t="inlineStr">
        <is>
          <t>Neutral</t>
        </is>
      </c>
      <c r="K212" t="inlineStr">
        <is>
          <t>Low</t>
        </is>
      </c>
      <c r="L212" t="inlineStr">
        <is>
          <t>Workflow Slowdown</t>
        </is>
      </c>
    </row>
    <row r="213">
      <c r="A213" t="inlineStr">
        <is>
          <t>FB-00212</t>
        </is>
      </c>
      <c r="B213" t="inlineStr">
        <is>
          <t>CUST-0352</t>
        </is>
      </c>
      <c r="C213" t="inlineStr">
        <is>
          <t>2025-12-03</t>
        </is>
      </c>
      <c r="D213" t="inlineStr">
        <is>
          <t>In-App Feedback</t>
        </is>
      </c>
      <c r="E213" t="inlineStr">
        <is>
          <t>Starter</t>
        </is>
      </c>
      <c r="F213" t="inlineStr">
        <is>
          <t>SMB</t>
        </is>
      </c>
      <c r="G213" t="inlineStr">
        <is>
          <t>User Interface</t>
        </is>
      </c>
      <c r="H213" t="inlineStr">
        <is>
          <t>Usability Issue</t>
        </is>
      </c>
      <c r="I213" t="inlineStr">
        <is>
          <t>The navigation menu is cluttered and I can never find the setting I need. We estimate we lose roughly 22 hours a month on this.</t>
        </is>
      </c>
      <c r="J213" t="inlineStr">
        <is>
          <t>Negative</t>
        </is>
      </c>
      <c r="K213" t="inlineStr">
        <is>
          <t>Low</t>
        </is>
      </c>
      <c r="L213" t="inlineStr">
        <is>
          <t>Workflow Slowdown</t>
        </is>
      </c>
    </row>
    <row r="214">
      <c r="A214" t="inlineStr">
        <is>
          <t>FB-00213</t>
        </is>
      </c>
      <c r="B214" t="inlineStr">
        <is>
          <t>CUST-0416</t>
        </is>
      </c>
      <c r="C214" t="inlineStr">
        <is>
          <t>2025-12-03</t>
        </is>
      </c>
      <c r="D214" t="inlineStr">
        <is>
          <t>In-App Feedback</t>
        </is>
      </c>
      <c r="E214" t="inlineStr">
        <is>
          <t>Professional</t>
        </is>
      </c>
      <c r="F214" t="inlineStr">
        <is>
          <t>Mid-Market</t>
        </is>
      </c>
      <c r="G214" t="inlineStr">
        <is>
          <t>Reporting</t>
        </is>
      </c>
      <c r="H214" t="inlineStr">
        <is>
          <t xml:space="preserve">Performance Issue </t>
        </is>
      </c>
      <c r="I214" t="inlineStr">
        <is>
          <t>Not what we expected for the price. The report load time is painfully slow with a full year of data. Please look into it soon.</t>
        </is>
      </c>
      <c r="J214" t="inlineStr">
        <is>
          <t>Negative</t>
        </is>
      </c>
      <c r="K214" t="inlineStr">
        <is>
          <t>Medium</t>
        </is>
      </c>
      <c r="L214" t="inlineStr">
        <is>
          <t>Workflow Slowdown</t>
        </is>
      </c>
    </row>
    <row r="215">
      <c r="A215" t="inlineStr">
        <is>
          <t>FB-00214</t>
        </is>
      </c>
      <c r="B215" t="inlineStr">
        <is>
          <t>CUST-0011</t>
        </is>
      </c>
      <c r="C215" t="inlineStr">
        <is>
          <t>2025-12-03</t>
        </is>
      </c>
      <c r="D215" t="inlineStr">
        <is>
          <t>In-App Feedback</t>
        </is>
      </c>
      <c r="E215" t="inlineStr">
        <is>
          <t>Starter</t>
        </is>
      </c>
      <c r="F215" t="inlineStr">
        <is>
          <t>SMB</t>
        </is>
      </c>
      <c r="G215" t="inlineStr">
        <is>
          <t>Contact Management</t>
        </is>
      </c>
      <c r="H215" t="inlineStr">
        <is>
          <t>Feature Request</t>
        </is>
      </c>
      <c r="I215" t="inlineStr">
        <is>
          <t>Happy with most of the product. Is there any plan for a tool to merge duplicate contacts? Merging one record at a time is not realistic. Thanks to the team.</t>
        </is>
      </c>
      <c r="J215" t="inlineStr">
        <is>
          <t>Positive</t>
        </is>
      </c>
      <c r="K215" t="inlineStr">
        <is>
          <t>Medium</t>
        </is>
      </c>
      <c r="L215" t="inlineStr">
        <is>
          <t>Workflow Slowdown</t>
        </is>
      </c>
    </row>
    <row r="216">
      <c r="A216" t="inlineStr">
        <is>
          <t>FB-00215</t>
        </is>
      </c>
      <c r="B216" t="inlineStr">
        <is>
          <t>CUST-0352</t>
        </is>
      </c>
      <c r="C216" t="inlineStr">
        <is>
          <t>2025-12-03</t>
        </is>
      </c>
      <c r="D216" t="inlineStr">
        <is>
          <t>Feature Request</t>
        </is>
      </c>
      <c r="E216" t="inlineStr">
        <is>
          <t>Starter</t>
        </is>
      </c>
      <c r="F216" t="inlineStr">
        <is>
          <t>SMB</t>
        </is>
      </c>
      <c r="G216" t="inlineStr">
        <is>
          <t>User Interface</t>
        </is>
      </c>
      <c r="H216" t="inlineStr">
        <is>
          <t>Feature Request</t>
        </is>
      </c>
      <c r="I216" t="inlineStr">
        <is>
          <t>Feedback from our monthly review. Our field reps need offline mobile access to update deals between visits. Let us know if you need examples.</t>
        </is>
      </c>
      <c r="J216" t="inlineStr">
        <is>
          <t>Neutral</t>
        </is>
      </c>
      <c r="K216" t="inlineStr">
        <is>
          <t>Low</t>
        </is>
      </c>
      <c r="L216" t="inlineStr">
        <is>
          <t>Workflow Slowdown</t>
        </is>
      </c>
    </row>
    <row r="217">
      <c r="A217" t="inlineStr">
        <is>
          <t>FB-00216</t>
        </is>
      </c>
      <c r="B217" t="inlineStr">
        <is>
          <t>CUST-0339</t>
        </is>
      </c>
      <c r="C217" t="inlineStr">
        <is>
          <t>2025-12-04</t>
        </is>
      </c>
      <c r="D217" t="inlineStr">
        <is>
          <t>Customer Survey</t>
        </is>
      </c>
      <c r="E217" t="inlineStr">
        <is>
          <t>Professional</t>
        </is>
      </c>
      <c r="F217" t="inlineStr">
        <is>
          <t>Mid-Market</t>
        </is>
      </c>
      <c r="G217" t="inlineStr">
        <is>
          <t>Lead Management</t>
        </is>
      </c>
      <c r="H217" t="inlineStr">
        <is>
          <t>Performance Issue</t>
        </is>
      </c>
      <c r="I217" t="inlineStr">
        <is>
          <t>Noting this during onboarding. The pipeline board loading gets very slow once we pass a few thousand open leads. Let us know if you need examples.</t>
        </is>
      </c>
      <c r="J217" t="inlineStr">
        <is>
          <t>Neutral</t>
        </is>
      </c>
      <c r="K217" t="inlineStr">
        <is>
          <t>High</t>
        </is>
      </c>
      <c r="L217" t="inlineStr">
        <is>
          <t>Blocks Key Task</t>
        </is>
      </c>
    </row>
    <row r="218">
      <c r="A218" t="inlineStr">
        <is>
          <t>FB-00217</t>
        </is>
      </c>
      <c r="B218" t="inlineStr">
        <is>
          <t>CUST-0254</t>
        </is>
      </c>
      <c r="C218" t="inlineStr">
        <is>
          <t>2025-12-04</t>
        </is>
      </c>
      <c r="D218" t="inlineStr">
        <is>
          <t>Customer Survey</t>
        </is>
      </c>
      <c r="E218" t="inlineStr">
        <is>
          <t>Professional</t>
        </is>
      </c>
      <c r="F218" t="inlineStr">
        <is>
          <t>SMB</t>
        </is>
      </c>
      <c r="G218" t="inlineStr">
        <is>
          <t>User Interface</t>
        </is>
      </c>
      <c r="H218" t="inlineStr">
        <is>
          <t>Performance Issue</t>
        </is>
      </c>
      <c r="I218" t="inlineStr">
        <is>
          <t>The slow page transitions gets worse in the afternoon. So far 58 people on our side have reported it.</t>
        </is>
      </c>
      <c r="J218" t="inlineStr">
        <is>
          <t>Neutral</t>
        </is>
      </c>
      <c r="K218" t="inlineStr">
        <is>
          <t>High</t>
        </is>
      </c>
      <c r="L218" t="inlineStr">
        <is>
          <t>Blocks Key Task</t>
        </is>
      </c>
    </row>
    <row r="219">
      <c r="A219" t="inlineStr">
        <is>
          <t>FB-00218</t>
        </is>
      </c>
      <c r="B219" t="inlineStr">
        <is>
          <t>CUST-0035</t>
        </is>
      </c>
      <c r="C219" t="inlineStr">
        <is>
          <t>2025-12-04</t>
        </is>
      </c>
      <c r="D219" t="inlineStr">
        <is>
          <t>Feature Request</t>
        </is>
      </c>
      <c r="E219" t="inlineStr">
        <is>
          <t>Professional</t>
        </is>
      </c>
      <c r="F219" t="inlineStr">
        <is>
          <t>Enterprise</t>
        </is>
      </c>
      <c r="G219" t="inlineStr">
        <is>
          <t>User Interface</t>
        </is>
      </c>
      <c r="H219" t="inlineStr">
        <is>
          <t>Feature Request</t>
        </is>
      </c>
      <c r="I219" t="inlineStr">
        <is>
          <t>Noting this during onboarding. Admins ask for multi-select actions every time we reorganize territories. Our sales manager flagged it while onboarding 99 new users.</t>
        </is>
      </c>
      <c r="J219" t="inlineStr">
        <is>
          <t>Neutral</t>
        </is>
      </c>
      <c r="K219" t="inlineStr">
        <is>
          <t>High</t>
        </is>
      </c>
      <c r="L219" t="inlineStr">
        <is>
          <t>Workflow Slowdown</t>
        </is>
      </c>
    </row>
    <row r="220">
      <c r="A220" t="inlineStr">
        <is>
          <t>FB-00219</t>
        </is>
      </c>
      <c r="B220" t="inlineStr">
        <is>
          <t>CUST-0175</t>
        </is>
      </c>
      <c r="C220" t="inlineStr">
        <is>
          <t>2025-12-04</t>
        </is>
      </c>
      <c r="D220" t="inlineStr">
        <is>
          <t>Feature Request</t>
        </is>
      </c>
      <c r="E220" t="inlineStr">
        <is>
          <t>Professional</t>
        </is>
      </c>
      <c r="F220" t="inlineStr">
        <is>
          <t>Mid-Market</t>
        </is>
      </c>
      <c r="G220" t="inlineStr">
        <is>
          <t>Reporting</t>
        </is>
      </c>
      <c r="H220" t="inlineStr">
        <is>
          <t>Feature Request</t>
        </is>
      </c>
      <c r="I220" t="inlineStr">
        <is>
          <t>Please add a custom report builder; today an analyst rebuilds the same report every week. Happy to join a feedback call.</t>
        </is>
      </c>
      <c r="J220" t="inlineStr">
        <is>
          <t>Neutral</t>
        </is>
      </c>
      <c r="K220" t="inlineStr">
        <is>
          <t>High</t>
        </is>
      </c>
      <c r="L220" t="inlineStr">
        <is>
          <t>Minor Inconvenience</t>
        </is>
      </c>
    </row>
    <row r="221">
      <c r="A221" t="inlineStr">
        <is>
          <t>FB-00220</t>
        </is>
      </c>
      <c r="B221" t="inlineStr">
        <is>
          <t>CUST-0314</t>
        </is>
      </c>
      <c r="C221" t="inlineStr">
        <is>
          <t>2025-12-06</t>
        </is>
      </c>
      <c r="D221" t="inlineStr">
        <is>
          <t>Support Ticket</t>
        </is>
      </c>
      <c r="E221" t="inlineStr">
        <is>
          <t>Enterprise</t>
        </is>
      </c>
      <c r="F221" t="inlineStr">
        <is>
          <t>Mid-Market</t>
        </is>
      </c>
      <c r="G221" t="inlineStr">
        <is>
          <t>Contact Management</t>
        </is>
      </c>
      <c r="H221" t="inlineStr">
        <is>
          <t>Bug</t>
        </is>
      </c>
      <c r="I221" t="inlineStr">
        <is>
          <t>Our spreadsheet import scrambles phone and email columns even after we map them correctly. We estimate we lose roughly 49 hours a month on this. Happy to join a feedback call.</t>
        </is>
      </c>
      <c r="J221" t="inlineStr">
        <is>
          <t>Neutral</t>
        </is>
      </c>
      <c r="K221" t="inlineStr">
        <is>
          <t>Medium</t>
        </is>
      </c>
    </row>
    <row r="222">
      <c r="A222" t="inlineStr">
        <is>
          <t>FB-00221</t>
        </is>
      </c>
      <c r="B222" t="inlineStr">
        <is>
          <t>CUST-0060</t>
        </is>
      </c>
      <c r="C222" t="inlineStr">
        <is>
          <t>2025-12-06</t>
        </is>
      </c>
      <c r="D222" t="inlineStr">
        <is>
          <t>In-App Feedback</t>
        </is>
      </c>
      <c r="E222" t="inlineStr">
        <is>
          <t>Starter</t>
        </is>
      </c>
      <c r="F222" t="inlineStr">
        <is>
          <t>SMB</t>
        </is>
      </c>
      <c r="G222" t="inlineStr">
        <is>
          <t>Reporting</t>
        </is>
      </c>
      <c r="H222" t="inlineStr">
        <is>
          <t>Performance Issue</t>
        </is>
      </c>
      <c r="I222" t="inlineStr">
        <is>
          <t>Happy with most of the product. The dashboard refresh is painfully slow with a full year of data. Thanks to the team.</t>
        </is>
      </c>
      <c r="J222" t="inlineStr">
        <is>
          <t>Positive</t>
        </is>
      </c>
      <c r="K222" t="inlineStr">
        <is>
          <t>Low</t>
        </is>
      </c>
      <c r="L222" t="inlineStr">
        <is>
          <t>Workflow Slowdown</t>
        </is>
      </c>
    </row>
    <row r="223">
      <c r="A223" t="inlineStr">
        <is>
          <t>FB-00222</t>
        </is>
      </c>
      <c r="B223" t="inlineStr">
        <is>
          <t>CUST-0121</t>
        </is>
      </c>
      <c r="C223" t="inlineStr">
        <is>
          <t>2025-12-06</t>
        </is>
      </c>
      <c r="D223" t="inlineStr">
        <is>
          <t>In-App Feedback</t>
        </is>
      </c>
      <c r="E223" t="inlineStr">
        <is>
          <t>Starter</t>
        </is>
      </c>
      <c r="F223" t="inlineStr">
        <is>
          <t>SMB</t>
        </is>
      </c>
      <c r="G223" t="inlineStr">
        <is>
          <t>Reporting</t>
        </is>
      </c>
      <c r="H223" t="inlineStr">
        <is>
          <t>Performance Issue</t>
        </is>
      </c>
      <c r="I223" t="inlineStr">
        <is>
          <t>Not what we expected for the price. Dashboard refresh got noticeably worse over the last few months.</t>
        </is>
      </c>
      <c r="J223" t="inlineStr">
        <is>
          <t>Negative</t>
        </is>
      </c>
      <c r="K223" t="inlineStr">
        <is>
          <t>Medium</t>
        </is>
      </c>
      <c r="L223" t="inlineStr">
        <is>
          <t>Workflow Slowdown</t>
        </is>
      </c>
    </row>
    <row r="224">
      <c r="A224" t="inlineStr">
        <is>
          <t>FB-00223</t>
        </is>
      </c>
      <c r="B224" t="inlineStr">
        <is>
          <t>CUST-0091</t>
        </is>
      </c>
      <c r="C224" t="inlineStr">
        <is>
          <t>2025-12-06</t>
        </is>
      </c>
      <c r="D224" t="inlineStr">
        <is>
          <t>Feature Request</t>
        </is>
      </c>
      <c r="E224" t="inlineStr">
        <is>
          <t>Professional</t>
        </is>
      </c>
      <c r="F224" t="inlineStr">
        <is>
          <t>SMB</t>
        </is>
      </c>
      <c r="G224" t="inlineStr">
        <is>
          <t>Workflow Automation</t>
        </is>
      </c>
      <c r="H224" t="inlineStr">
        <is>
          <t>Feature Request</t>
        </is>
      </c>
      <c r="I224" t="inlineStr">
        <is>
          <t>Recent updates have been a nice improvement. Adding multi-level approvals is a blocker for our finance team. It affects our quarterly planning process every cycle. Thanks to the team.</t>
        </is>
      </c>
      <c r="J224" t="inlineStr">
        <is>
          <t>Positive</t>
        </is>
      </c>
      <c r="K224" t="inlineStr">
        <is>
          <t>Low</t>
        </is>
      </c>
      <c r="L224" t="inlineStr">
        <is>
          <t>Workflow Slowdown</t>
        </is>
      </c>
    </row>
    <row r="225">
      <c r="A225" t="inlineStr">
        <is>
          <t>FB-00224</t>
        </is>
      </c>
      <c r="B225" t="inlineStr">
        <is>
          <t>CUST-0187</t>
        </is>
      </c>
      <c r="C225" t="inlineStr">
        <is>
          <t>2025-12-07</t>
        </is>
      </c>
      <c r="D225" t="inlineStr">
        <is>
          <t>In-App Feedback</t>
        </is>
      </c>
      <c r="E225" t="inlineStr">
        <is>
          <t>Enterprise</t>
        </is>
      </c>
      <c r="F225" t="inlineStr">
        <is>
          <t>Mid-Market</t>
        </is>
      </c>
      <c r="G225" t="inlineStr">
        <is>
          <t>Reporting</t>
        </is>
      </c>
      <c r="H225" t="inlineStr">
        <is>
          <t>Performance Issue</t>
        </is>
      </c>
      <c r="I225" t="inlineStr">
        <is>
          <t>Quick note from our admin. Report load time got noticeably worse over the last few months.</t>
        </is>
      </c>
      <c r="J225" t="inlineStr">
        <is>
          <t>Neutral</t>
        </is>
      </c>
      <c r="K225" t="inlineStr">
        <is>
          <t>High</t>
        </is>
      </c>
      <c r="L225" t="inlineStr">
        <is>
          <t>Blocks Key Task</t>
        </is>
      </c>
    </row>
    <row r="226">
      <c r="A226" t="inlineStr">
        <is>
          <t>FB-00225</t>
        </is>
      </c>
      <c r="B226" t="inlineStr">
        <is>
          <t>CUST-0216</t>
        </is>
      </c>
      <c r="C226" t="inlineStr">
        <is>
          <t>2025-12-07</t>
        </is>
      </c>
      <c r="D226" t="inlineStr">
        <is>
          <t>Support Ticket</t>
        </is>
      </c>
      <c r="E226" t="inlineStr">
        <is>
          <t>Starter</t>
        </is>
      </c>
      <c r="F226" t="inlineStr">
        <is>
          <t>MID-MARKET</t>
        </is>
      </c>
      <c r="G226" t="inlineStr">
        <is>
          <t>Lead Management</t>
        </is>
      </c>
      <c r="H226" t="inlineStr">
        <is>
          <t>Bug</t>
        </is>
      </c>
      <c r="I226" t="inlineStr">
        <is>
          <t>Frustrated with this one. There are duplicated leads across our pipeline views and nobody knows which record is the source of truth. Our marketing ops owner flagged it while onboarding 46 new users. We need a fix before renewal.</t>
        </is>
      </c>
      <c r="J226" t="inlineStr">
        <is>
          <t>Negative</t>
        </is>
      </c>
      <c r="K226" t="inlineStr">
        <is>
          <t>Medium</t>
        </is>
      </c>
      <c r="L226" t="inlineStr">
        <is>
          <t>Minor Inconvenience</t>
        </is>
      </c>
    </row>
    <row r="227">
      <c r="A227" t="inlineStr">
        <is>
          <t>FB-00226</t>
        </is>
      </c>
      <c r="B227" t="inlineStr">
        <is>
          <t>CUST-0102</t>
        </is>
      </c>
      <c r="C227" t="inlineStr">
        <is>
          <t>2025-12-08</t>
        </is>
      </c>
      <c r="D227" t="inlineStr">
        <is>
          <t>Support Ticket</t>
        </is>
      </c>
      <c r="E227" t="inlineStr">
        <is>
          <t>Professional</t>
        </is>
      </c>
      <c r="F227" t="inlineStr">
        <is>
          <t>Mid-Market</t>
        </is>
      </c>
      <c r="G227" t="inlineStr">
        <is>
          <t>Contact Management</t>
        </is>
      </c>
      <c r="H227" t="inlineStr">
        <is>
          <t>Bug</t>
        </is>
      </c>
      <c r="I227" t="inlineStr">
        <is>
          <t>Escalating on behalf of our ops lead. The spreadsheet import fails halfway through with a generic error and no row-level detail. It affects our weekly pipeline review process every cycle. Is there a workaround?</t>
        </is>
      </c>
      <c r="J227" t="inlineStr">
        <is>
          <t>Negative</t>
        </is>
      </c>
      <c r="K227" t="inlineStr">
        <is>
          <t>High</t>
        </is>
      </c>
      <c r="L227" t="inlineStr">
        <is>
          <t>Blocks Key Task</t>
        </is>
      </c>
    </row>
    <row r="228">
      <c r="A228" t="inlineStr">
        <is>
          <t>FB-00227</t>
        </is>
      </c>
      <c r="B228" t="inlineStr">
        <is>
          <t>CUST-0198</t>
        </is>
      </c>
      <c r="C228" t="inlineStr">
        <is>
          <t>2025-12-09</t>
        </is>
      </c>
      <c r="D228" t="inlineStr">
        <is>
          <t>In-App Feedback</t>
        </is>
      </c>
      <c r="E228" t="inlineStr">
        <is>
          <t>Starter</t>
        </is>
      </c>
      <c r="F228" t="inlineStr">
        <is>
          <t>SMB</t>
        </is>
      </c>
      <c r="G228" t="inlineStr">
        <is>
          <t>Reporting</t>
        </is>
      </c>
      <c r="H228" t="inlineStr">
        <is>
          <t>Performance Issue</t>
        </is>
      </c>
      <c r="I228" t="inlineStr">
        <is>
          <t>FYI for the product team. Report load time got noticeably worse over the last few months. So far 66 people on our side have reported it.</t>
        </is>
      </c>
      <c r="J228" t="inlineStr">
        <is>
          <t>Neutral</t>
        </is>
      </c>
      <c r="K228" t="inlineStr">
        <is>
          <t>Low</t>
        </is>
      </c>
      <c r="L228" t="inlineStr">
        <is>
          <t>Minor Inconvenience</t>
        </is>
      </c>
    </row>
    <row r="229">
      <c r="A229" t="inlineStr">
        <is>
          <t>FB-00228</t>
        </is>
      </c>
      <c r="B229" t="inlineStr">
        <is>
          <t>CUST-0153</t>
        </is>
      </c>
      <c r="C229" t="inlineStr">
        <is>
          <t>2025-12-09</t>
        </is>
      </c>
      <c r="D229" t="inlineStr">
        <is>
          <t>Feature Request</t>
        </is>
      </c>
      <c r="E229" t="inlineStr">
        <is>
          <t>Enterprise</t>
        </is>
      </c>
      <c r="F229" t="inlineStr">
        <is>
          <t>Enterprise</t>
        </is>
      </c>
      <c r="G229" t="inlineStr">
        <is>
          <t>Reporting</t>
        </is>
      </c>
      <c r="H229" t="inlineStr">
        <is>
          <t>Feature Request</t>
        </is>
      </c>
      <c r="I229" t="inlineStr">
        <is>
          <t>We need scheduled report emails so non-technical managers can create their own views. It affects our onboarding process every cycle.</t>
        </is>
      </c>
      <c r="J229" t="inlineStr">
        <is>
          <t>Positive</t>
        </is>
      </c>
      <c r="K229" t="inlineStr">
        <is>
          <t>Medium</t>
        </is>
      </c>
      <c r="L229" t="inlineStr">
        <is>
          <t>Minor Inconvenience</t>
        </is>
      </c>
    </row>
    <row r="230">
      <c r="A230" t="inlineStr">
        <is>
          <t>FB-00229</t>
        </is>
      </c>
      <c r="B230" t="inlineStr">
        <is>
          <t>CUST-0092</t>
        </is>
      </c>
      <c r="C230" t="inlineStr">
        <is>
          <t>2025-12-09</t>
        </is>
      </c>
      <c r="D230" t="inlineStr">
        <is>
          <t>Feature Request</t>
        </is>
      </c>
      <c r="E230" t="inlineStr">
        <is>
          <t>Professional</t>
        </is>
      </c>
      <c r="F230" t="inlineStr">
        <is>
          <t>Mid-Market</t>
        </is>
      </c>
      <c r="G230" t="inlineStr">
        <is>
          <t>User Interface</t>
        </is>
      </c>
      <c r="H230" t="inlineStr">
        <is>
          <t>Feature Request</t>
        </is>
      </c>
      <c r="I230" t="inlineStr">
        <is>
          <t>Great support experience recently. Requesting bulk actions on lists across every list view. Thanks to the team.</t>
        </is>
      </c>
      <c r="J230" t="inlineStr">
        <is>
          <t>Positive</t>
        </is>
      </c>
      <c r="K230" t="inlineStr">
        <is>
          <t>Low</t>
        </is>
      </c>
      <c r="L230" t="inlineStr">
        <is>
          <t>Minor Inconvenience</t>
        </is>
      </c>
    </row>
    <row r="231">
      <c r="A231" t="inlineStr">
        <is>
          <t>FB-00230</t>
        </is>
      </c>
      <c r="B231" t="inlineStr">
        <is>
          <t>CUST-0391</t>
        </is>
      </c>
      <c r="C231" t="inlineStr">
        <is>
          <t>2025-12-09</t>
        </is>
      </c>
      <c r="D231" t="inlineStr">
        <is>
          <t>Customer Survey</t>
        </is>
      </c>
      <c r="E231" t="inlineStr">
        <is>
          <t>Enterprise</t>
        </is>
      </c>
      <c r="F231" t="inlineStr">
        <is>
          <t>Mid-Market</t>
        </is>
      </c>
      <c r="G231" t="inlineStr">
        <is>
          <t>User Interface</t>
        </is>
      </c>
      <c r="H231" t="inlineStr">
        <is>
          <t>Feature Request</t>
        </is>
      </c>
      <c r="I231" t="inlineStr">
        <is>
          <t>Quick note from our admin. Admins ask for multi-select actions every time we reorganize territories.</t>
        </is>
      </c>
      <c r="J231" t="inlineStr">
        <is>
          <t>Neutral</t>
        </is>
      </c>
      <c r="K231" t="inlineStr">
        <is>
          <t>Medium</t>
        </is>
      </c>
      <c r="L231" t="inlineStr">
        <is>
          <t>Blocks Key Task</t>
        </is>
      </c>
    </row>
    <row r="232">
      <c r="A232" t="inlineStr">
        <is>
          <t>FB-00231</t>
        </is>
      </c>
      <c r="B232" t="inlineStr">
        <is>
          <t>CUST-0121</t>
        </is>
      </c>
      <c r="C232" t="inlineStr">
        <is>
          <t>2025-12-10</t>
        </is>
      </c>
      <c r="D232" t="inlineStr">
        <is>
          <t>Support Ticket</t>
        </is>
      </c>
      <c r="E232" t="inlineStr">
        <is>
          <t>Starter</t>
        </is>
      </c>
      <c r="F232" t="inlineStr">
        <is>
          <t>SMB</t>
        </is>
      </c>
      <c r="G232" t="inlineStr">
        <is>
          <t>User Interface</t>
        </is>
      </c>
      <c r="H232" t="inlineStr">
        <is>
          <t>Usability Issue</t>
        </is>
      </c>
      <c r="I232" t="inlineStr">
        <is>
          <t>The settings navigation changed and nobody told us where things moved. It affects our weekly pipeline review process every cycle. Is there a workaround?</t>
        </is>
      </c>
      <c r="J232" t="inlineStr">
        <is>
          <t>Negative</t>
        </is>
      </c>
      <c r="K232" t="inlineStr">
        <is>
          <t>Low</t>
        </is>
      </c>
      <c r="L232" t="inlineStr">
        <is>
          <t>Workflow Slowdown</t>
        </is>
      </c>
    </row>
    <row r="233">
      <c r="A233" t="inlineStr">
        <is>
          <t>FB-00232</t>
        </is>
      </c>
      <c r="B233" t="inlineStr">
        <is>
          <t>CUST-0330</t>
        </is>
      </c>
      <c r="C233" t="inlineStr">
        <is>
          <t>2025-12-10</t>
        </is>
      </c>
      <c r="D233" t="inlineStr">
        <is>
          <t>Feature Request</t>
        </is>
      </c>
      <c r="E233" t="inlineStr">
        <is>
          <t>Professional</t>
        </is>
      </c>
      <c r="F233" t="inlineStr">
        <is>
          <t>Mid-Market</t>
        </is>
      </c>
      <c r="G233" t="inlineStr">
        <is>
          <t>Integrations</t>
        </is>
      </c>
      <c r="H233" t="inlineStr">
        <is>
          <t>Feature Request</t>
        </is>
      </c>
      <c r="I233" t="inlineStr">
        <is>
          <t>Quick note from our admin. Requesting a native accounting integration to remove manual re-entry. So far 26 people on our side have reported it.</t>
        </is>
      </c>
      <c r="J233" t="inlineStr">
        <is>
          <t>Neutral</t>
        </is>
      </c>
      <c r="K233" t="inlineStr">
        <is>
          <t>Medium</t>
        </is>
      </c>
      <c r="L233" t="inlineStr">
        <is>
          <t>Workflow Slowdown</t>
        </is>
      </c>
    </row>
    <row r="234">
      <c r="A234" t="inlineStr">
        <is>
          <t>FB-00233</t>
        </is>
      </c>
      <c r="B234" t="inlineStr">
        <is>
          <t>CUST-0237</t>
        </is>
      </c>
      <c r="C234" t="inlineStr">
        <is>
          <t>12-Dec-2025</t>
        </is>
      </c>
      <c r="D234" t="inlineStr">
        <is>
          <t>In-App Feedback</t>
        </is>
      </c>
      <c r="E234" t="inlineStr">
        <is>
          <t>Enterprise</t>
        </is>
      </c>
      <c r="F234" t="inlineStr">
        <is>
          <t>Mid-Market</t>
        </is>
      </c>
      <c r="G234" t="inlineStr">
        <is>
          <t>Reporting</t>
        </is>
      </c>
      <c r="H234" t="inlineStr">
        <is>
          <t>Performance Issue</t>
        </is>
      </c>
      <c r="I234" t="inlineStr">
        <is>
          <t>Frustrated with this one. Dashboard loading got noticeably worse over the last few months. It affects our weekly pipeline review process every cycle.</t>
        </is>
      </c>
      <c r="J234" t="inlineStr">
        <is>
          <t>Negative</t>
        </is>
      </c>
      <c r="K234" t="inlineStr">
        <is>
          <t>High</t>
        </is>
      </c>
      <c r="L234" t="inlineStr">
        <is>
          <t>Blocks Key Task</t>
        </is>
      </c>
    </row>
    <row r="235">
      <c r="A235" t="inlineStr">
        <is>
          <t>FB-00234</t>
        </is>
      </c>
      <c r="B235" t="inlineStr">
        <is>
          <t>CUST-0420</t>
        </is>
      </c>
      <c r="C235" t="inlineStr">
        <is>
          <t>2025-12-12</t>
        </is>
      </c>
      <c r="D235" t="inlineStr">
        <is>
          <t>In-App Feedback</t>
        </is>
      </c>
      <c r="E235" t="inlineStr">
        <is>
          <t>Enterprise</t>
        </is>
      </c>
      <c r="F235" t="inlineStr">
        <is>
          <t>Enterprise</t>
        </is>
      </c>
      <c r="G235" t="inlineStr">
        <is>
          <t>Lead Management</t>
        </is>
      </c>
      <c r="H235" t="inlineStr">
        <is>
          <t>Bug</t>
        </is>
      </c>
      <c r="I235" t="inlineStr">
        <is>
          <t>This has been a recurring problem for us. We are seeing duplicated leads when a lead arrives from both the website and a trade-show list. So far 89 people on our side have reported it.</t>
        </is>
      </c>
      <c r="J235" t="inlineStr">
        <is>
          <t>Negative</t>
        </is>
      </c>
      <c r="K235" t="inlineStr">
        <is>
          <t>Critical</t>
        </is>
      </c>
      <c r="L235" t="inlineStr">
        <is>
          <t>Blocks Key Task</t>
        </is>
      </c>
    </row>
    <row r="236">
      <c r="A236" t="inlineStr">
        <is>
          <t>FB-00235</t>
        </is>
      </c>
      <c r="B236" t="inlineStr">
        <is>
          <t>CUST-0365</t>
        </is>
      </c>
      <c r="C236" t="inlineStr">
        <is>
          <t>2025-12-12</t>
        </is>
      </c>
      <c r="D236" t="inlineStr">
        <is>
          <t>Feature Request</t>
        </is>
      </c>
      <c r="E236" t="inlineStr">
        <is>
          <t>Starter</t>
        </is>
      </c>
      <c r="F236" t="inlineStr">
        <is>
          <t>SMB</t>
        </is>
      </c>
      <c r="G236" t="inlineStr">
        <is>
          <t>Reporting</t>
        </is>
      </c>
      <c r="H236" t="inlineStr">
        <is>
          <t>Feature Request</t>
        </is>
      </c>
      <c r="I236" t="inlineStr">
        <is>
          <t>Quick note from our admin. We need a custom report builder so non-technical managers can create their own views.</t>
        </is>
      </c>
      <c r="J236" t="inlineStr">
        <is>
          <t>Neutral</t>
        </is>
      </c>
      <c r="K236" t="inlineStr">
        <is>
          <t>Medium</t>
        </is>
      </c>
      <c r="L236" t="inlineStr">
        <is>
          <t>Workflow Slowdown</t>
        </is>
      </c>
    </row>
    <row r="237">
      <c r="A237" t="inlineStr">
        <is>
          <t>FB-00236</t>
        </is>
      </c>
      <c r="B237" t="inlineStr">
        <is>
          <t>CUST-0165</t>
        </is>
      </c>
      <c r="C237" t="inlineStr">
        <is>
          <t>2025-12-12</t>
        </is>
      </c>
      <c r="D237" t="inlineStr">
        <is>
          <t>Support Ticket</t>
        </is>
      </c>
      <c r="E237" t="inlineStr">
        <is>
          <t>Enterprise</t>
        </is>
      </c>
      <c r="F237" t="inlineStr">
        <is>
          <t>Mid-Market</t>
        </is>
      </c>
      <c r="G237" t="inlineStr">
        <is>
          <t>Integrations</t>
        </is>
      </c>
      <c r="H237" t="inlineStr">
        <is>
          <t>Integration Issue</t>
        </is>
      </c>
      <c r="I237" t="inlineStr">
        <is>
          <t>Not what we expected for the price. Reps no longer trust email sync, so they log activity by hand. It affects our renewal process every cycle.</t>
        </is>
      </c>
      <c r="J237" t="inlineStr">
        <is>
          <t>Negative</t>
        </is>
      </c>
      <c r="K237" t="inlineStr">
        <is>
          <t>High</t>
        </is>
      </c>
      <c r="L237" t="inlineStr">
        <is>
          <t>Workflow Slowdown</t>
        </is>
      </c>
    </row>
    <row r="238">
      <c r="A238" t="inlineStr">
        <is>
          <t>FB-00237</t>
        </is>
      </c>
      <c r="B238" t="inlineStr">
        <is>
          <t>CUST-0136</t>
        </is>
      </c>
      <c r="C238" t="inlineStr">
        <is>
          <t>2025-12-12</t>
        </is>
      </c>
      <c r="D238" t="inlineStr">
        <is>
          <t>In-App Feedback</t>
        </is>
      </c>
      <c r="E238" t="inlineStr">
        <is>
          <t>Starter</t>
        </is>
      </c>
      <c r="F238" t="inlineStr">
        <is>
          <t>SMB</t>
        </is>
      </c>
      <c r="G238" t="inlineStr">
        <is>
          <t>Integrations</t>
        </is>
      </c>
      <c r="H238" t="inlineStr">
        <is>
          <t>Integration Issue</t>
        </is>
      </c>
      <c r="I238" t="inlineStr">
        <is>
          <t>Escalating on behalf of our ops lead. After the token expires, email sync stops with no warning. We estimate we lose roughly 34 hours a month on this.</t>
        </is>
      </c>
      <c r="J238" t="inlineStr">
        <is>
          <t>Negative</t>
        </is>
      </c>
      <c r="K238" t="inlineStr">
        <is>
          <t>High</t>
        </is>
      </c>
      <c r="L238" t="inlineStr">
        <is>
          <t>Blocks Key Task</t>
        </is>
      </c>
    </row>
    <row r="239">
      <c r="A239" t="inlineStr">
        <is>
          <t>FB-00238</t>
        </is>
      </c>
      <c r="B239" t="inlineStr">
        <is>
          <t>CUST-0357</t>
        </is>
      </c>
      <c r="C239" t="inlineStr">
        <is>
          <t>2025-12-12</t>
        </is>
      </c>
      <c r="D239" t="inlineStr">
        <is>
          <t>In-App Feedback</t>
        </is>
      </c>
      <c r="E239" t="inlineStr">
        <is>
          <t>Starter</t>
        </is>
      </c>
      <c r="F239" t="inlineStr">
        <is>
          <t>SMB</t>
        </is>
      </c>
      <c r="G239" t="inlineStr">
        <is>
          <t>Lead Management</t>
        </is>
      </c>
      <c r="H239" t="inlineStr">
        <is>
          <t>Usability Issue</t>
        </is>
      </c>
      <c r="I239" t="inlineStr">
        <is>
          <t>This has been a recurring problem for us. It is hard to understand how round-robin lead assignment decide who owns a lead. We estimate we lose roughly 15 hours a month on this. We need a fix before renewal.</t>
        </is>
      </c>
      <c r="J239" t="inlineStr">
        <is>
          <t>Negative</t>
        </is>
      </c>
      <c r="K239" t="inlineStr">
        <is>
          <t>High</t>
        </is>
      </c>
      <c r="L239" t="inlineStr">
        <is>
          <t>Blocks Key Task</t>
        </is>
      </c>
    </row>
    <row r="240">
      <c r="A240" t="inlineStr">
        <is>
          <t>FB-00239</t>
        </is>
      </c>
      <c r="B240" t="inlineStr">
        <is>
          <t>CUST-0243</t>
        </is>
      </c>
      <c r="C240" t="inlineStr">
        <is>
          <t>2025-12-12</t>
        </is>
      </c>
      <c r="D240" t="inlineStr">
        <is>
          <t>In-App Feedback</t>
        </is>
      </c>
      <c r="E240" t="inlineStr">
        <is>
          <t>Professional</t>
        </is>
      </c>
      <c r="F240" t="inlineStr">
        <is>
          <t>SMB</t>
        </is>
      </c>
      <c r="G240" t="inlineStr">
        <is>
          <t>Integrations</t>
        </is>
      </c>
      <c r="H240" t="inlineStr">
        <is>
          <t>Integration Issue</t>
        </is>
      </c>
      <c r="I240" t="inlineStr">
        <is>
          <t>FYI for the product team. Our integration partner flagged API timeouts as a risk for the project. Happy to join a feedback call.</t>
        </is>
      </c>
      <c r="J240" t="inlineStr">
        <is>
          <t>Neutral</t>
        </is>
      </c>
      <c r="K240" t="inlineStr">
        <is>
          <t>Low</t>
        </is>
      </c>
      <c r="L240" t="inlineStr">
        <is>
          <t>Workflow Slowdown</t>
        </is>
      </c>
    </row>
    <row r="241">
      <c r="A241" t="inlineStr">
        <is>
          <t>FB-00240</t>
        </is>
      </c>
      <c r="B241" t="inlineStr">
        <is>
          <t>CUST-0361</t>
        </is>
      </c>
      <c r="C241" t="inlineStr">
        <is>
          <t>2025-12-12</t>
        </is>
      </c>
      <c r="D241" t="inlineStr">
        <is>
          <t>In-App Feedback</t>
        </is>
      </c>
      <c r="E241" t="inlineStr">
        <is>
          <t>Professional</t>
        </is>
      </c>
      <c r="F241" t="inlineStr">
        <is>
          <t>Mid-Market</t>
        </is>
      </c>
      <c r="G241" t="inlineStr">
        <is>
          <t>Reporting</t>
        </is>
      </c>
      <c r="H241" t="inlineStr">
        <is>
          <t>Bug</t>
        </is>
      </c>
      <c r="I241" t="inlineStr">
        <is>
          <t>Our team keeps running into this. Finance can't rely on the Excel export; totals don't match the screen. We need a fix before renewal.</t>
        </is>
      </c>
      <c r="J241" t="inlineStr">
        <is>
          <t>Negative</t>
        </is>
      </c>
      <c r="K241" t="inlineStr">
        <is>
          <t>High</t>
        </is>
      </c>
      <c r="L241" t="inlineStr">
        <is>
          <t>Blocks Key Task</t>
        </is>
      </c>
    </row>
    <row r="242">
      <c r="A242" t="inlineStr">
        <is>
          <t>FB-00241</t>
        </is>
      </c>
      <c r="B242" t="inlineStr">
        <is>
          <t>CUST-0371</t>
        </is>
      </c>
      <c r="C242" t="inlineStr">
        <is>
          <t>2025-12-13</t>
        </is>
      </c>
      <c r="D242" t="inlineStr">
        <is>
          <t>Customer Survey</t>
        </is>
      </c>
      <c r="E242" t="inlineStr">
        <is>
          <t>Enterprise</t>
        </is>
      </c>
      <c r="F242" t="inlineStr">
        <is>
          <t>Enterprise</t>
        </is>
      </c>
      <c r="G242" t="inlineStr">
        <is>
          <t>Lead Management</t>
        </is>
      </c>
      <c r="H242" t="inlineStr">
        <is>
          <t>Feature Request</t>
        </is>
      </c>
      <c r="I242" t="inlineStr">
        <is>
          <t>Overall we like the product. Would love to see automated lead scoring that marketing and sales can both tune. Thanks to the team.</t>
        </is>
      </c>
      <c r="J242" t="inlineStr">
        <is>
          <t>Positive</t>
        </is>
      </c>
      <c r="K242" t="inlineStr">
        <is>
          <t>Low</t>
        </is>
      </c>
      <c r="L242" t="inlineStr">
        <is>
          <t>Minor Inconvenience</t>
        </is>
      </c>
    </row>
    <row r="243">
      <c r="A243" t="inlineStr">
        <is>
          <t>FB-00242</t>
        </is>
      </c>
      <c r="B243" t="inlineStr">
        <is>
          <t>CUST-0408</t>
        </is>
      </c>
      <c r="C243" t="inlineStr">
        <is>
          <t>2025-12-13</t>
        </is>
      </c>
      <c r="D243" t="inlineStr">
        <is>
          <t>In-App Feedback</t>
        </is>
      </c>
      <c r="E243" t="inlineStr">
        <is>
          <t>Starter</t>
        </is>
      </c>
      <c r="F243" t="inlineStr">
        <is>
          <t>SMB</t>
        </is>
      </c>
      <c r="G243" t="inlineStr">
        <is>
          <t>Integrations</t>
        </is>
      </c>
      <c r="H243" t="inlineStr">
        <is>
          <t>Integration Issue</t>
        </is>
      </c>
      <c r="I243" t="inlineStr">
        <is>
          <t>Sharing this from our team. Reps no longer trust Outlook calendar sync, so they log activity by hand. Happy to join a feedback call.</t>
        </is>
      </c>
      <c r="J243" t="inlineStr">
        <is>
          <t>Neutral</t>
        </is>
      </c>
      <c r="K243" t="inlineStr">
        <is>
          <t>High</t>
        </is>
      </c>
      <c r="L243" t="inlineStr">
        <is>
          <t>Blocks Key Task</t>
        </is>
      </c>
    </row>
    <row r="244">
      <c r="A244" t="inlineStr">
        <is>
          <t>FB-00243</t>
        </is>
      </c>
      <c r="B244" t="inlineStr">
        <is>
          <t>CUST-0410</t>
        </is>
      </c>
      <c r="C244" t="inlineStr">
        <is>
          <t>2025-12-13</t>
        </is>
      </c>
      <c r="D244" t="inlineStr">
        <is>
          <t>Feature Request</t>
        </is>
      </c>
      <c r="E244" t="inlineStr">
        <is>
          <t>Professional</t>
        </is>
      </c>
      <c r="F244" t="inlineStr">
        <is>
          <t>Enterprise</t>
        </is>
      </c>
      <c r="G244" t="inlineStr">
        <is>
          <t>Lead Management</t>
        </is>
      </c>
      <c r="H244" t="inlineStr">
        <is>
          <t>Feature Request</t>
        </is>
      </c>
      <c r="I244" t="inlineStr">
        <is>
          <t>Please add automated lead scoring based on engagement, company size and recent activity. It affects our onboarding process every cycle. We need a fix before renewal.</t>
        </is>
      </c>
      <c r="J244" t="inlineStr">
        <is>
          <t>Negative</t>
        </is>
      </c>
      <c r="K244" t="inlineStr">
        <is>
          <t>Low</t>
        </is>
      </c>
      <c r="L244" t="inlineStr">
        <is>
          <t>Minor Inconvenience</t>
        </is>
      </c>
    </row>
    <row r="245">
      <c r="A245" t="inlineStr">
        <is>
          <t>FB-00244</t>
        </is>
      </c>
      <c r="B245" t="inlineStr">
        <is>
          <t>CUST-0123</t>
        </is>
      </c>
      <c r="C245" t="inlineStr">
        <is>
          <t>2025-12-14</t>
        </is>
      </c>
      <c r="D245" t="inlineStr">
        <is>
          <t>Customer Survey</t>
        </is>
      </c>
      <c r="E245" t="inlineStr">
        <is>
          <t>Professional</t>
        </is>
      </c>
      <c r="F245" t="inlineStr">
        <is>
          <t>Mid-Market</t>
        </is>
      </c>
      <c r="G245" t="inlineStr">
        <is>
          <t>User Interface</t>
        </is>
      </c>
      <c r="H245" t="inlineStr">
        <is>
          <t>Usability Issue</t>
        </is>
      </c>
      <c r="I245" t="inlineStr">
        <is>
          <t>FYI for the product team. Too many clicks to reach common screens because of the page layout. It happens about 38 times a week for our team of 47.</t>
        </is>
      </c>
      <c r="J245" t="inlineStr">
        <is>
          <t>Neutral</t>
        </is>
      </c>
      <c r="K245" t="inlineStr">
        <is>
          <t>Low</t>
        </is>
      </c>
      <c r="L245" t="inlineStr">
        <is>
          <t>Minor Inconvenience</t>
        </is>
      </c>
    </row>
    <row r="246">
      <c r="A246" t="inlineStr">
        <is>
          <t>FB-00245</t>
        </is>
      </c>
      <c r="B246" t="inlineStr">
        <is>
          <t>CUST-0065</t>
        </is>
      </c>
      <c r="C246" t="inlineStr">
        <is>
          <t>2025-12-15</t>
        </is>
      </c>
      <c r="D246" t="inlineStr">
        <is>
          <t>Customer Survey</t>
        </is>
      </c>
      <c r="E246" t="inlineStr">
        <is>
          <t>Professional</t>
        </is>
      </c>
      <c r="F246" t="inlineStr">
        <is>
          <t>Mid-Market</t>
        </is>
      </c>
      <c r="G246" t="inlineStr">
        <is>
          <t>User Interface</t>
        </is>
      </c>
      <c r="H246" t="inlineStr">
        <is>
          <t>Usability Issue</t>
        </is>
      </c>
      <c r="I246" t="inlineStr">
        <is>
          <t>This has been a recurring problem for us. New hires get lost in the settings navigation; it takes weeks to learn. We estimate we lose roughly 48 hours a month on this.</t>
        </is>
      </c>
      <c r="J246" t="inlineStr">
        <is>
          <t>Negative</t>
        </is>
      </c>
      <c r="K246" t="inlineStr">
        <is>
          <t>Medium</t>
        </is>
      </c>
      <c r="L246" t="inlineStr">
        <is>
          <t>Minor Inconvenience</t>
        </is>
      </c>
    </row>
    <row r="247">
      <c r="A247" t="inlineStr">
        <is>
          <t>FB-00246</t>
        </is>
      </c>
      <c r="B247" t="inlineStr">
        <is>
          <t>CUST-0187</t>
        </is>
      </c>
      <c r="C247" t="inlineStr">
        <is>
          <t>2025-12-15</t>
        </is>
      </c>
      <c r="D247" t="inlineStr">
        <is>
          <t>CUSTOMER SURVEY</t>
        </is>
      </c>
      <c r="E247" t="inlineStr">
        <is>
          <t>Enterprise</t>
        </is>
      </c>
      <c r="F247" t="inlineStr">
        <is>
          <t>Mid-Market</t>
        </is>
      </c>
      <c r="G247" t="inlineStr">
        <is>
          <t>Lead Management</t>
        </is>
      </c>
      <c r="H247" t="inlineStr">
        <is>
          <t>Feature Request</t>
        </is>
      </c>
      <c r="I247" t="inlineStr">
        <is>
          <t>Please add automated lead scoring based on engagement, company size and recent activity. We estimate we lose roughly 31 hours a month on this. Let us know if you need examples.</t>
        </is>
      </c>
      <c r="J247" t="inlineStr">
        <is>
          <t>Neutral</t>
        </is>
      </c>
      <c r="K247" t="inlineStr">
        <is>
          <t>Low</t>
        </is>
      </c>
      <c r="L247" t="inlineStr">
        <is>
          <t>Minor Inconvenience</t>
        </is>
      </c>
    </row>
    <row r="248">
      <c r="A248" t="inlineStr">
        <is>
          <t>FB-00247</t>
        </is>
      </c>
      <c r="B248" t="inlineStr">
        <is>
          <t>CUST-0070</t>
        </is>
      </c>
      <c r="C248" t="inlineStr">
        <is>
          <t>2025-12-15</t>
        </is>
      </c>
      <c r="D248" t="inlineStr">
        <is>
          <t>Customer Survey</t>
        </is>
      </c>
      <c r="E248" t="inlineStr">
        <is>
          <t>Professional</t>
        </is>
      </c>
      <c r="F248" t="inlineStr">
        <is>
          <t>SMB</t>
        </is>
      </c>
      <c r="G248" t="inlineStr">
        <is>
          <t>Integrations</t>
        </is>
      </c>
      <c r="H248" t="inlineStr">
        <is>
          <t>Integration Issue</t>
        </is>
      </c>
      <c r="I248" t="inlineStr">
        <is>
          <t>Great support experience recently. Our email sync keeps disconnecting and activities are missing from the contact timeline. It happens about 33 times a week for our team of 100. Keep up the good work.</t>
        </is>
      </c>
      <c r="J248" t="inlineStr">
        <is>
          <t>Positive</t>
        </is>
      </c>
      <c r="K248" t="inlineStr">
        <is>
          <t>Medium</t>
        </is>
      </c>
      <c r="L248" t="inlineStr">
        <is>
          <t>Workflow Slowdown</t>
        </is>
      </c>
    </row>
    <row r="249">
      <c r="A249" t="inlineStr">
        <is>
          <t>FB-00248</t>
        </is>
      </c>
      <c r="B249" t="inlineStr">
        <is>
          <t>CUST-0176</t>
        </is>
      </c>
      <c r="C249" t="inlineStr">
        <is>
          <t>2025-12-16</t>
        </is>
      </c>
      <c r="D249" t="inlineStr">
        <is>
          <t>Feature Request</t>
        </is>
      </c>
      <c r="E249" t="inlineStr">
        <is>
          <t>Starter</t>
        </is>
      </c>
      <c r="F249" t="inlineStr">
        <is>
          <t>SMB</t>
        </is>
      </c>
      <c r="G249" t="inlineStr">
        <is>
          <t>User Interface</t>
        </is>
      </c>
      <c r="H249" t="inlineStr">
        <is>
          <t>Feature Request</t>
        </is>
      </c>
      <c r="I249" t="inlineStr">
        <is>
          <t>Noting this during onboarding. Our field reps need mobile call logging to update deals between visits. Let us know if you need examples.</t>
        </is>
      </c>
      <c r="J249" t="inlineStr">
        <is>
          <t>Neutral</t>
        </is>
      </c>
      <c r="K249" t="inlineStr">
        <is>
          <t>Medium</t>
        </is>
      </c>
      <c r="L249" t="inlineStr">
        <is>
          <t>Workflow Slowdown</t>
        </is>
      </c>
    </row>
    <row r="250">
      <c r="A250" t="inlineStr">
        <is>
          <t>FB-00249</t>
        </is>
      </c>
      <c r="B250" t="inlineStr">
        <is>
          <t>CUST-0202</t>
        </is>
      </c>
      <c r="C250" t="inlineStr">
        <is>
          <t>2025-12-16</t>
        </is>
      </c>
      <c r="D250" t="inlineStr">
        <is>
          <t>Support Ticket</t>
        </is>
      </c>
      <c r="E250" t="inlineStr">
        <is>
          <t>Enterprise</t>
        </is>
      </c>
      <c r="F250" t="inlineStr">
        <is>
          <t>enterprise</t>
        </is>
      </c>
      <c r="G250" t="inlineStr">
        <is>
          <t>Lead Management</t>
        </is>
      </c>
      <c r="H250" t="inlineStr">
        <is>
          <t>Usability Issue</t>
        </is>
      </c>
      <c r="I250" t="inlineStr">
        <is>
          <t>We can't combine region and deal size in the round-robin lead assignment. Our marketing ops owner flagged it while onboarding 87 new users. Let us know if you need examples.</t>
        </is>
      </c>
      <c r="J250" t="inlineStr">
        <is>
          <t>Neutral</t>
        </is>
      </c>
      <c r="K250" t="inlineStr">
        <is>
          <t>Medium</t>
        </is>
      </c>
      <c r="L250" t="inlineStr">
        <is>
          <t>Minor Inconvenience</t>
        </is>
      </c>
    </row>
    <row r="251">
      <c r="A251" t="inlineStr">
        <is>
          <t>FB-00250</t>
        </is>
      </c>
      <c r="B251" t="inlineStr">
        <is>
          <t>CUST-0401</t>
        </is>
      </c>
      <c r="C251" t="inlineStr">
        <is>
          <t>2025-12-16</t>
        </is>
      </c>
      <c r="D251" t="inlineStr">
        <is>
          <t>Support Ticket</t>
        </is>
      </c>
      <c r="E251" t="inlineStr">
        <is>
          <t>Professional</t>
        </is>
      </c>
      <c r="F251" t="inlineStr">
        <is>
          <t>SMB</t>
        </is>
      </c>
      <c r="G251" t="inlineStr">
        <is>
          <t>Workflow Automation</t>
        </is>
      </c>
      <c r="H251" t="inlineStr">
        <is>
          <t>Bug</t>
        </is>
      </c>
      <c r="I251" t="inlineStr">
        <is>
          <t>Not what we expected for the price. Several workflow runs failing silently left deals stuck in the wrong stage.</t>
        </is>
      </c>
      <c r="J251" t="inlineStr">
        <is>
          <t>Negative</t>
        </is>
      </c>
      <c r="K251" t="inlineStr">
        <is>
          <t>Medium</t>
        </is>
      </c>
      <c r="L251" t="inlineStr">
        <is>
          <t>Workflow Slowdown</t>
        </is>
      </c>
    </row>
    <row r="252">
      <c r="A252" t="inlineStr">
        <is>
          <t>FB-00251</t>
        </is>
      </c>
      <c r="B252" t="inlineStr">
        <is>
          <t>CUST-0015</t>
        </is>
      </c>
      <c r="C252" t="inlineStr">
        <is>
          <t>2025-12-17</t>
        </is>
      </c>
      <c r="D252" t="inlineStr">
        <is>
          <t>Support Ticket</t>
        </is>
      </c>
      <c r="E252" t="inlineStr">
        <is>
          <t>Professional</t>
        </is>
      </c>
      <c r="F252" t="inlineStr">
        <is>
          <t>Mid-Market</t>
        </is>
      </c>
      <c r="G252" t="inlineStr">
        <is>
          <t>Lead Management</t>
        </is>
      </c>
      <c r="H252" t="inlineStr">
        <is>
          <t>Bug</t>
        </is>
      </c>
      <c r="I252" t="inlineStr">
        <is>
          <t>Frustrated with this one. After every list import we find duplicated leads that have to be cleaned up by hand. Support suggested logging it here.</t>
        </is>
      </c>
      <c r="J252" t="inlineStr">
        <is>
          <t>Negative</t>
        </is>
      </c>
      <c r="K252" t="inlineStr">
        <is>
          <t>High</t>
        </is>
      </c>
      <c r="L252" t="inlineStr">
        <is>
          <t>Blocks Key Task</t>
        </is>
      </c>
    </row>
    <row r="253">
      <c r="A253" t="inlineStr">
        <is>
          <t>FB-00252</t>
        </is>
      </c>
      <c r="B253" t="inlineStr">
        <is>
          <t>CUST-0322</t>
        </is>
      </c>
      <c r="C253" t="inlineStr">
        <is>
          <t>2025-12-17</t>
        </is>
      </c>
      <c r="D253" t="inlineStr">
        <is>
          <t>Support Ticket</t>
        </is>
      </c>
      <c r="E253" t="inlineStr">
        <is>
          <t>Starter</t>
        </is>
      </c>
      <c r="F253" t="inlineStr">
        <is>
          <t>SMB</t>
        </is>
      </c>
      <c r="G253" t="inlineStr">
        <is>
          <t>Contact Management</t>
        </is>
      </c>
      <c r="H253" t="inlineStr">
        <is>
          <t>Performance Issue</t>
        </is>
      </c>
      <c r="I253" t="inlineStr">
        <is>
          <t>Feedback from our monthly review. We avoid saved contact filters during calls because it takes too long. Happy to join a feedback call.</t>
        </is>
      </c>
      <c r="J253" t="inlineStr">
        <is>
          <t>Neutral</t>
        </is>
      </c>
      <c r="K253" t="inlineStr">
        <is>
          <t>Medium</t>
        </is>
      </c>
      <c r="L253" t="inlineStr">
        <is>
          <t>Workflow Slowdown</t>
        </is>
      </c>
    </row>
    <row r="254">
      <c r="A254" t="inlineStr">
        <is>
          <t>FB-00253</t>
        </is>
      </c>
      <c r="B254" t="inlineStr">
        <is>
          <t>CUST-0065</t>
        </is>
      </c>
      <c r="C254" t="inlineStr">
        <is>
          <t>2025-12-17</t>
        </is>
      </c>
      <c r="D254" t="inlineStr">
        <is>
          <t>Customer Survey</t>
        </is>
      </c>
      <c r="E254" t="inlineStr">
        <is>
          <t>Professional</t>
        </is>
      </c>
      <c r="F254" t="inlineStr">
        <is>
          <t>Mid-Market</t>
        </is>
      </c>
      <c r="G254" t="inlineStr">
        <is>
          <t>Workflow Automation</t>
        </is>
      </c>
      <c r="H254" t="inlineStr">
        <is>
          <t>Usability Issue</t>
        </is>
      </c>
      <c r="I254" t="inlineStr">
        <is>
          <t>Our new admins struggle with the automation canvas; there is no guidance or validation. It happens about 6 times a week for our team of 25.</t>
        </is>
      </c>
      <c r="J254" t="inlineStr">
        <is>
          <t>Neutral</t>
        </is>
      </c>
      <c r="K254" t="inlineStr">
        <is>
          <t>Medium</t>
        </is>
      </c>
      <c r="L254" t="inlineStr">
        <is>
          <t>Minor Inconvenience</t>
        </is>
      </c>
    </row>
    <row r="255">
      <c r="A255" t="inlineStr">
        <is>
          <t>FB-00254</t>
        </is>
      </c>
      <c r="B255" t="inlineStr">
        <is>
          <t>CUST-0102</t>
        </is>
      </c>
      <c r="C255" t="inlineStr">
        <is>
          <t>2025-12-17</t>
        </is>
      </c>
      <c r="D255" t="inlineStr">
        <is>
          <t>Support Ticket</t>
        </is>
      </c>
      <c r="E255" t="inlineStr">
        <is>
          <t>Professional</t>
        </is>
      </c>
      <c r="F255" t="inlineStr">
        <is>
          <t>Mid-Market</t>
        </is>
      </c>
      <c r="G255" t="inlineStr">
        <is>
          <t>WORKFLOW AUTOMATION</t>
        </is>
      </c>
      <c r="H255" t="inlineStr">
        <is>
          <t>Usability Issue</t>
        </is>
      </c>
      <c r="I255" t="inlineStr">
        <is>
          <t>Escalating on behalf of our ops lead. I can't tell what a branch does in the workflow builder without opening every node. It affects our renewal process every cycle. Please look into it soon.</t>
        </is>
      </c>
      <c r="J255" t="inlineStr">
        <is>
          <t>Negative</t>
        </is>
      </c>
      <c r="K255" t="inlineStr">
        <is>
          <t>Medium</t>
        </is>
      </c>
      <c r="L255" t="inlineStr">
        <is>
          <t>Minor Inconvenience</t>
        </is>
      </c>
    </row>
    <row r="256">
      <c r="A256" t="inlineStr">
        <is>
          <t>FB-00255</t>
        </is>
      </c>
      <c r="B256" t="inlineStr">
        <is>
          <t>CUST-0313</t>
        </is>
      </c>
      <c r="C256" t="inlineStr">
        <is>
          <t>2025-12-18</t>
        </is>
      </c>
      <c r="D256" t="inlineStr">
        <is>
          <t>Feature Request</t>
        </is>
      </c>
      <c r="E256" t="inlineStr">
        <is>
          <t xml:space="preserve"> Starter</t>
        </is>
      </c>
      <c r="F256" t="inlineStr">
        <is>
          <t>SMB</t>
        </is>
      </c>
      <c r="G256" t="inlineStr">
        <is>
          <t>User Interface</t>
        </is>
      </c>
      <c r="H256" t="inlineStr">
        <is>
          <t>Feature Request</t>
        </is>
      </c>
      <c r="I256" t="inlineStr">
        <is>
          <t>Quick note from our admin. Please add multi-select actions; changing records one at a time wastes hours. We estimate we lose roughly 58 hours a month on this.</t>
        </is>
      </c>
      <c r="J256" t="inlineStr">
        <is>
          <t>Neutral</t>
        </is>
      </c>
      <c r="K256" t="inlineStr">
        <is>
          <t>Low</t>
        </is>
      </c>
      <c r="L256" t="inlineStr">
        <is>
          <t>Minor Inconvenience</t>
        </is>
      </c>
    </row>
    <row r="257">
      <c r="A257" t="inlineStr">
        <is>
          <t>FB-00256</t>
        </is>
      </c>
      <c r="B257" t="inlineStr">
        <is>
          <t>CUST-0247</t>
        </is>
      </c>
      <c r="C257" t="inlineStr">
        <is>
          <t>2025-12-18</t>
        </is>
      </c>
      <c r="D257" t="inlineStr">
        <is>
          <t>In-App Feedback</t>
        </is>
      </c>
      <c r="E257" t="inlineStr">
        <is>
          <t>Professional</t>
        </is>
      </c>
      <c r="F257" t="inlineStr">
        <is>
          <t>Mid-Market</t>
        </is>
      </c>
      <c r="G257" t="inlineStr">
        <is>
          <t>Workflow Automation</t>
        </is>
      </c>
      <c r="H257" t="inlineStr">
        <is>
          <t>Bug</t>
        </is>
      </c>
      <c r="I257" t="inlineStr">
        <is>
          <t>We found automation misfires only because a customer complained. Happy to join a feedback call.</t>
        </is>
      </c>
      <c r="J257" t="inlineStr">
        <is>
          <t>Neutral</t>
        </is>
      </c>
      <c r="K257" t="inlineStr">
        <is>
          <t>Low</t>
        </is>
      </c>
      <c r="L257" t="inlineStr">
        <is>
          <t>Minor Inconvenience</t>
        </is>
      </c>
    </row>
    <row r="258">
      <c r="A258" t="inlineStr">
        <is>
          <t>FB-00257</t>
        </is>
      </c>
      <c r="B258" t="inlineStr">
        <is>
          <t>CUST-0262</t>
        </is>
      </c>
      <c r="C258" t="inlineStr">
        <is>
          <t>18-Dec-2025</t>
        </is>
      </c>
      <c r="D258" t="inlineStr">
        <is>
          <t>In-App Feedback</t>
        </is>
      </c>
      <c r="E258" t="inlineStr">
        <is>
          <t>Professional</t>
        </is>
      </c>
      <c r="F258" t="inlineStr">
        <is>
          <t>Mid-Market</t>
        </is>
      </c>
      <c r="G258" t="inlineStr">
        <is>
          <t>Lead Management</t>
        </is>
      </c>
      <c r="H258" t="inlineStr">
        <is>
          <t>Usability Issue</t>
        </is>
      </c>
      <c r="I258" t="inlineStr">
        <is>
          <t>Frustrated with this one. We can't combine region and deal size in the lead routing rules. We estimate we lose roughly 26 hours a month on this. We need a fix before renewal.</t>
        </is>
      </c>
      <c r="J258" t="inlineStr">
        <is>
          <t>Negative</t>
        </is>
      </c>
      <c r="K258" t="inlineStr">
        <is>
          <t>Medium</t>
        </is>
      </c>
      <c r="L258" t="inlineStr">
        <is>
          <t>Workflow Slowdown</t>
        </is>
      </c>
    </row>
    <row r="259">
      <c r="A259" t="inlineStr">
        <is>
          <t>FB-00258</t>
        </is>
      </c>
      <c r="B259" t="inlineStr">
        <is>
          <t>CUST-0139</t>
        </is>
      </c>
      <c r="C259" t="inlineStr">
        <is>
          <t>2025-12-18</t>
        </is>
      </c>
      <c r="D259" t="inlineStr">
        <is>
          <t>Support Ticket</t>
        </is>
      </c>
      <c r="E259" t="inlineStr">
        <is>
          <t>Professional</t>
        </is>
      </c>
      <c r="F259" t="inlineStr">
        <is>
          <t>Mid-Market</t>
        </is>
      </c>
      <c r="G259" t="inlineStr">
        <is>
          <t>Reporting</t>
        </is>
      </c>
      <c r="H259" t="inlineStr">
        <is>
          <t>Performance Issue</t>
        </is>
      </c>
      <c r="I259" t="inlineStr">
        <is>
          <t>Feedback from our monthly review. Our dashboard refresh spins for a minute before showing any chart. Happy to join a feedback call.</t>
        </is>
      </c>
      <c r="J259" t="inlineStr">
        <is>
          <t>Neutral</t>
        </is>
      </c>
      <c r="K259" t="inlineStr">
        <is>
          <t>Critical</t>
        </is>
      </c>
      <c r="L259" t="inlineStr">
        <is>
          <t>Workflow Slowdown</t>
        </is>
      </c>
    </row>
    <row r="260">
      <c r="A260" t="inlineStr">
        <is>
          <t>FB-00259</t>
        </is>
      </c>
      <c r="B260" t="inlineStr">
        <is>
          <t>CUST-0306</t>
        </is>
      </c>
      <c r="C260" t="inlineStr">
        <is>
          <t>2025-12-18</t>
        </is>
      </c>
      <c r="D260" t="inlineStr">
        <is>
          <t>Support Ticket</t>
        </is>
      </c>
      <c r="E260" t="inlineStr">
        <is>
          <t>Professional</t>
        </is>
      </c>
      <c r="F260" t="inlineStr">
        <is>
          <t>SMB</t>
        </is>
      </c>
      <c r="G260" t="inlineStr">
        <is>
          <t>Lead Management</t>
        </is>
      </c>
      <c r="H260" t="inlineStr">
        <is>
          <t>Bug</t>
        </is>
      </c>
      <c r="I260" t="inlineStr">
        <is>
          <t>Web form submissions keep creating lead de-duplication failures, and reps end up calling the same prospect twice. Our sales manager flagged it while onboarding 52 new users. We need a fix before renewal.</t>
        </is>
      </c>
      <c r="J260" t="inlineStr">
        <is>
          <t>Negative</t>
        </is>
      </c>
      <c r="K260" t="inlineStr">
        <is>
          <t>Medium</t>
        </is>
      </c>
      <c r="L260" t="inlineStr">
        <is>
          <t>Revenue/Operations Risk</t>
        </is>
      </c>
    </row>
    <row r="261">
      <c r="A261" t="inlineStr">
        <is>
          <t>FB-00260</t>
        </is>
      </c>
      <c r="B261" t="inlineStr">
        <is>
          <t>CUST-0103</t>
        </is>
      </c>
      <c r="C261" t="inlineStr">
        <is>
          <t>2025-12-18</t>
        </is>
      </c>
      <c r="D261" t="inlineStr">
        <is>
          <t>In-App Feedback</t>
        </is>
      </c>
      <c r="E261" t="inlineStr">
        <is>
          <t>Professional</t>
        </is>
      </c>
      <c r="F261" t="inlineStr">
        <is>
          <t>Mid-Market</t>
        </is>
      </c>
      <c r="G261" t="inlineStr">
        <is>
          <t>Integrations</t>
        </is>
      </c>
      <c r="H261" t="inlineStr">
        <is>
          <t>Integration Issue</t>
        </is>
      </c>
      <c r="I261" t="inlineStr">
        <is>
          <t>Hard to debug: webhook delivery fail with vague error codes. It affects our weekly pipeline review process every cycle. Support suggested logging it here.</t>
        </is>
      </c>
      <c r="J261" t="inlineStr">
        <is>
          <t>Negative</t>
        </is>
      </c>
      <c r="K261" t="inlineStr">
        <is>
          <t>Medium</t>
        </is>
      </c>
      <c r="L261" t="inlineStr">
        <is>
          <t>Workflow Slowdown</t>
        </is>
      </c>
    </row>
    <row r="262">
      <c r="A262" t="inlineStr">
        <is>
          <t>FB-00261</t>
        </is>
      </c>
      <c r="B262" t="inlineStr">
        <is>
          <t>CUST-0322</t>
        </is>
      </c>
      <c r="C262" t="inlineStr">
        <is>
          <t>2025-12-19</t>
        </is>
      </c>
      <c r="D262" t="inlineStr">
        <is>
          <t>Customer Survey</t>
        </is>
      </c>
      <c r="E262" t="inlineStr">
        <is>
          <t>Starter</t>
        </is>
      </c>
      <c r="F262" t="inlineStr">
        <is>
          <t>SMB</t>
        </is>
      </c>
      <c r="G262" t="inlineStr">
        <is>
          <t>Contact Management</t>
        </is>
      </c>
      <c r="H262" t="inlineStr">
        <is>
          <t>Performance Issue</t>
        </is>
      </c>
      <c r="I262" t="inlineStr">
        <is>
          <t>The saved contact filters times out on our largest accounts. Is there a workaround?</t>
        </is>
      </c>
      <c r="J262" t="inlineStr">
        <is>
          <t>Negative</t>
        </is>
      </c>
      <c r="K262" t="inlineStr">
        <is>
          <t>Medium</t>
        </is>
      </c>
      <c r="L262" t="inlineStr">
        <is>
          <t>Workflow Slowdown</t>
        </is>
      </c>
    </row>
    <row r="263">
      <c r="A263" t="inlineStr">
        <is>
          <t>FB-00262</t>
        </is>
      </c>
      <c r="B263" t="inlineStr">
        <is>
          <t>CUST-0072</t>
        </is>
      </c>
      <c r="C263" t="inlineStr">
        <is>
          <t>2025-12-19</t>
        </is>
      </c>
      <c r="D263" t="inlineStr">
        <is>
          <t>Support Ticket</t>
        </is>
      </c>
      <c r="E263" t="inlineStr">
        <is>
          <t>Starter</t>
        </is>
      </c>
      <c r="F263" t="inlineStr">
        <is>
          <t>SMB</t>
        </is>
      </c>
      <c r="G263" t="inlineStr">
        <is>
          <t>Lead Management</t>
        </is>
      </c>
      <c r="H263" t="inlineStr">
        <is>
          <t>Feature Request</t>
        </is>
      </c>
      <c r="I263" t="inlineStr">
        <is>
          <t>Noting this during onboarding. Please add lead scoring rules based on engagement, company size and recent activity. Let us know if you need examples.</t>
        </is>
      </c>
      <c r="J263" t="inlineStr">
        <is>
          <t>Neutral</t>
        </is>
      </c>
      <c r="K263" t="inlineStr">
        <is>
          <t>Low</t>
        </is>
      </c>
      <c r="L263" t="inlineStr">
        <is>
          <t>Minor Inconvenience</t>
        </is>
      </c>
    </row>
    <row r="264">
      <c r="A264" t="inlineStr">
        <is>
          <t>FB-00263</t>
        </is>
      </c>
      <c r="B264" t="inlineStr">
        <is>
          <t>CUST-0258</t>
        </is>
      </c>
      <c r="C264" t="inlineStr">
        <is>
          <t>2025-12-19</t>
        </is>
      </c>
      <c r="D264" t="inlineStr">
        <is>
          <t>Support Ticket</t>
        </is>
      </c>
      <c r="E264" t="inlineStr">
        <is>
          <t>Professional</t>
        </is>
      </c>
      <c r="F264" t="inlineStr">
        <is>
          <t>Mid-Market</t>
        </is>
      </c>
      <c r="G264" t="inlineStr">
        <is>
          <t>Workflow Automation</t>
        </is>
      </c>
      <c r="H264" t="inlineStr">
        <is>
          <t>Bug</t>
        </is>
      </c>
      <c r="I264" t="inlineStr">
        <is>
          <t>Our team keeps running into this. We are hitting workflow runs failing silently: emails don't send and nobody gets notified.</t>
        </is>
      </c>
      <c r="J264" t="inlineStr">
        <is>
          <t>Negative</t>
        </is>
      </c>
      <c r="K264" t="inlineStr">
        <is>
          <t>Medium</t>
        </is>
      </c>
      <c r="L264" t="inlineStr">
        <is>
          <t>Minor Inconvenience</t>
        </is>
      </c>
    </row>
    <row r="265">
      <c r="A265" t="inlineStr">
        <is>
          <t>FB-00264</t>
        </is>
      </c>
      <c r="B265" t="inlineStr">
        <is>
          <t>CUST-0175</t>
        </is>
      </c>
      <c r="C265" t="inlineStr">
        <is>
          <t>2025-12-19</t>
        </is>
      </c>
      <c r="D265" t="inlineStr">
        <is>
          <t>Customer Survey</t>
        </is>
      </c>
      <c r="E265" t="inlineStr">
        <is>
          <t>Professional</t>
        </is>
      </c>
      <c r="F265" t="inlineStr">
        <is>
          <t>Mid-Market</t>
        </is>
      </c>
      <c r="G265" t="inlineStr">
        <is>
          <t>Reporting</t>
        </is>
      </c>
      <c r="H265" t="inlineStr">
        <is>
          <t>Feature Request</t>
        </is>
      </c>
      <c r="I265" t="inlineStr">
        <is>
          <t>We need a custom report builder so non-technical managers can create their own views. We estimate we lose roughly 39 hours a month on this. We need a fix before renewal.</t>
        </is>
      </c>
      <c r="J265" t="inlineStr">
        <is>
          <t>Negative</t>
        </is>
      </c>
      <c r="K265" t="inlineStr">
        <is>
          <t>Medium</t>
        </is>
      </c>
      <c r="L265" t="inlineStr">
        <is>
          <t>Workflow Slowdown</t>
        </is>
      </c>
    </row>
    <row r="266">
      <c r="A266" t="inlineStr">
        <is>
          <t>FB-00265</t>
        </is>
      </c>
      <c r="B266" t="inlineStr">
        <is>
          <t>CUST-0030</t>
        </is>
      </c>
      <c r="C266" t="inlineStr">
        <is>
          <t>2025-12-19</t>
        </is>
      </c>
      <c r="D266" t="inlineStr">
        <is>
          <t>In-App Feedback</t>
        </is>
      </c>
      <c r="E266" t="inlineStr">
        <is>
          <t>Professional</t>
        </is>
      </c>
      <c r="F266" t="inlineStr">
        <is>
          <t>Mid-Market</t>
        </is>
      </c>
      <c r="G266" t="inlineStr">
        <is>
          <t>Integrations</t>
        </is>
      </c>
      <c r="H266" t="inlineStr">
        <is>
          <t>Feature Request</t>
        </is>
      </c>
      <c r="I266" t="inlineStr">
        <is>
          <t>Please build a native Slack integration; our team copies data across systems daily.</t>
        </is>
      </c>
      <c r="J266" t="inlineStr">
        <is>
          <t>Neutral</t>
        </is>
      </c>
      <c r="K266" t="inlineStr">
        <is>
          <t>Low</t>
        </is>
      </c>
      <c r="L266" t="inlineStr">
        <is>
          <t>Minor Inconvenience</t>
        </is>
      </c>
    </row>
    <row r="267">
      <c r="A267" t="inlineStr">
        <is>
          <t>FB-00266</t>
        </is>
      </c>
      <c r="B267" t="inlineStr">
        <is>
          <t>CUST-0112</t>
        </is>
      </c>
      <c r="C267" t="inlineStr">
        <is>
          <t>2025-12-19</t>
        </is>
      </c>
      <c r="D267" t="inlineStr">
        <is>
          <t>Customer Survey</t>
        </is>
      </c>
      <c r="E267" t="inlineStr">
        <is>
          <t>Starter</t>
        </is>
      </c>
      <c r="F267" t="inlineStr">
        <is>
          <t>SMB</t>
        </is>
      </c>
      <c r="G267" t="inlineStr">
        <is>
          <t>Integrations</t>
        </is>
      </c>
      <c r="H267" t="inlineStr">
        <is>
          <t>Feature Request</t>
        </is>
      </c>
      <c r="I267" t="inlineStr">
        <is>
          <t>Overall we like the product. Requesting a native Slack integration to remove manual re-entry. So far 83 people on our side have reported it.</t>
        </is>
      </c>
      <c r="J267" t="inlineStr">
        <is>
          <t>Positive</t>
        </is>
      </c>
      <c r="K267" t="inlineStr">
        <is>
          <t>Low</t>
        </is>
      </c>
      <c r="L267" t="inlineStr">
        <is>
          <t>Minor Inconvenience</t>
        </is>
      </c>
    </row>
    <row r="268">
      <c r="A268" t="inlineStr">
        <is>
          <t>FB-00267</t>
        </is>
      </c>
      <c r="B268" t="inlineStr">
        <is>
          <t>CUST-0409</t>
        </is>
      </c>
      <c r="C268" t="inlineStr">
        <is>
          <t>2025-12-20</t>
        </is>
      </c>
      <c r="D268" t="inlineStr">
        <is>
          <t>Feature Request</t>
        </is>
      </c>
      <c r="E268" t="inlineStr">
        <is>
          <t>Starter</t>
        </is>
      </c>
      <c r="F268" t="inlineStr">
        <is>
          <t>SMB</t>
        </is>
      </c>
      <c r="G268" t="inlineStr">
        <is>
          <t>Workflow Automation</t>
        </is>
      </c>
      <c r="H268" t="inlineStr">
        <is>
          <t>Feature Request</t>
        </is>
      </c>
      <c r="I268" t="inlineStr">
        <is>
          <t>Please provide prebuilt automations for common processes like onboarding and renewals. We estimate we lose roughly 6 hours a month on this.</t>
        </is>
      </c>
      <c r="J268" t="inlineStr">
        <is>
          <t>Neutral</t>
        </is>
      </c>
      <c r="K268" t="inlineStr">
        <is>
          <t>Medium</t>
        </is>
      </c>
      <c r="L268" t="inlineStr">
        <is>
          <t>Blocks Key Task</t>
        </is>
      </c>
    </row>
    <row r="269">
      <c r="A269" t="inlineStr">
        <is>
          <t>FB-00268</t>
        </is>
      </c>
      <c r="B269" t="inlineStr">
        <is>
          <t>CUST-0036</t>
        </is>
      </c>
      <c r="C269" t="inlineStr">
        <is>
          <t>2025-12-20</t>
        </is>
      </c>
      <c r="D269" t="inlineStr">
        <is>
          <t>In-App Feedback</t>
        </is>
      </c>
      <c r="E269" t="inlineStr">
        <is>
          <t>Starter</t>
        </is>
      </c>
      <c r="F269" t="inlineStr">
        <is>
          <t>SMB</t>
        </is>
      </c>
      <c r="G269" t="inlineStr">
        <is>
          <t>Reporting</t>
        </is>
      </c>
      <c r="H269" t="inlineStr">
        <is>
          <t>Bug</t>
        </is>
      </c>
      <c r="I269" t="inlineStr">
        <is>
          <t>Escalating on behalf of our ops lead. The Excel export times out for date ranges longer than a quarter. So far 46 people on our side have reported it. Support suggested logging it here.</t>
        </is>
      </c>
      <c r="J269" t="inlineStr">
        <is>
          <t>Negative</t>
        </is>
      </c>
      <c r="K269" t="inlineStr">
        <is>
          <t>Medium</t>
        </is>
      </c>
      <c r="L269" t="inlineStr">
        <is>
          <t>Workflow Slowdown</t>
        </is>
      </c>
    </row>
    <row r="270">
      <c r="A270" t="inlineStr">
        <is>
          <t>FB-00269</t>
        </is>
      </c>
      <c r="B270" t="inlineStr">
        <is>
          <t>CUST-0314</t>
        </is>
      </c>
      <c r="C270" t="inlineStr">
        <is>
          <t>2025-12-20</t>
        </is>
      </c>
      <c r="D270" t="inlineStr">
        <is>
          <t>Support Ticket</t>
        </is>
      </c>
      <c r="E270" t="inlineStr">
        <is>
          <t>Enterprise</t>
        </is>
      </c>
      <c r="F270" t="inlineStr">
        <is>
          <t>Mid-Market</t>
        </is>
      </c>
      <c r="G270" t="inlineStr">
        <is>
          <t>Workflow Automation</t>
        </is>
      </c>
      <c r="H270" t="inlineStr">
        <is>
          <t>Bug</t>
        </is>
      </c>
      <c r="I270" t="inlineStr">
        <is>
          <t>Our team keeps running into this. We are hitting workflow failures: emails don't send and nobody gets notified. So far 105 people on our side have reported it.</t>
        </is>
      </c>
      <c r="J270" t="inlineStr">
        <is>
          <t>Negative</t>
        </is>
      </c>
      <c r="K270" t="inlineStr">
        <is>
          <t>Low</t>
        </is>
      </c>
      <c r="L270" t="inlineStr">
        <is>
          <t>Workflow Slowdown</t>
        </is>
      </c>
    </row>
    <row r="271">
      <c r="A271" t="inlineStr">
        <is>
          <t>FB-00270</t>
        </is>
      </c>
      <c r="B271" t="inlineStr">
        <is>
          <t>CUST-0202</t>
        </is>
      </c>
      <c r="C271" t="inlineStr">
        <is>
          <t>2025-12-20</t>
        </is>
      </c>
      <c r="D271" t="inlineStr">
        <is>
          <t>In-App Feedback</t>
        </is>
      </c>
      <c r="E271" t="inlineStr">
        <is>
          <t>Enterprise</t>
        </is>
      </c>
      <c r="F271" t="inlineStr">
        <is>
          <t>Enterprise</t>
        </is>
      </c>
      <c r="G271" t="inlineStr">
        <is>
          <t>Lead Management</t>
        </is>
      </c>
      <c r="H271" t="inlineStr">
        <is>
          <t>Performance Issue</t>
        </is>
      </c>
      <c r="I271" t="inlineStr">
        <is>
          <t>Frustrated with this one. Complaint about lead view load times: the board freezes while cards render. Support suggested logging it here.</t>
        </is>
      </c>
      <c r="J271" t="inlineStr">
        <is>
          <t>Negative</t>
        </is>
      </c>
      <c r="K271" t="inlineStr">
        <is>
          <t>High</t>
        </is>
      </c>
      <c r="L271" t="inlineStr">
        <is>
          <t>Blocks Key Task</t>
        </is>
      </c>
    </row>
    <row r="272">
      <c r="A272" t="inlineStr">
        <is>
          <t>FB-00271</t>
        </is>
      </c>
      <c r="B272" t="inlineStr">
        <is>
          <t>CUST-0372</t>
        </is>
      </c>
      <c r="C272" t="inlineStr">
        <is>
          <t>2025-12-20</t>
        </is>
      </c>
      <c r="D272" t="inlineStr">
        <is>
          <t>Feature Request</t>
        </is>
      </c>
      <c r="E272" t="inlineStr">
        <is>
          <t>Starter</t>
        </is>
      </c>
      <c r="F272" t="inlineStr">
        <is>
          <t xml:space="preserve">SMB </t>
        </is>
      </c>
      <c r="G272" t="inlineStr">
        <is>
          <t>Integrations</t>
        </is>
      </c>
      <c r="H272" t="inlineStr">
        <is>
          <t>Feature Request</t>
        </is>
      </c>
      <c r="I272" t="inlineStr">
        <is>
          <t>Sharing this from our team. Requesting a native accounting integration to remove manual re-entry. Our finance analyst flagged it while onboarding 25 new users.</t>
        </is>
      </c>
      <c r="J272" t="inlineStr">
        <is>
          <t>Neutral</t>
        </is>
      </c>
      <c r="K272" t="inlineStr">
        <is>
          <t>Medium</t>
        </is>
      </c>
      <c r="L272" t="inlineStr">
        <is>
          <t>Workflow Slowdown</t>
        </is>
      </c>
    </row>
    <row r="273">
      <c r="A273" t="inlineStr">
        <is>
          <t>FB-00272</t>
        </is>
      </c>
      <c r="B273" t="inlineStr">
        <is>
          <t>CUST-0229</t>
        </is>
      </c>
      <c r="C273" t="inlineStr">
        <is>
          <t>2025-12-20</t>
        </is>
      </c>
      <c r="D273" t="inlineStr">
        <is>
          <t>In-App Feedback</t>
        </is>
      </c>
      <c r="E273" t="inlineStr">
        <is>
          <t>Starter</t>
        </is>
      </c>
      <c r="F273" t="inlineStr">
        <is>
          <t>Mid-Market</t>
        </is>
      </c>
      <c r="G273" t="inlineStr">
        <is>
          <t>Contact Management</t>
        </is>
      </c>
      <c r="H273" t="inlineStr">
        <is>
          <t>Bug</t>
        </is>
      </c>
      <c r="I273" t="inlineStr">
        <is>
          <t>The spreadsheet import rejects files with accented characters in names.</t>
        </is>
      </c>
      <c r="J273" t="inlineStr">
        <is>
          <t>Neutral</t>
        </is>
      </c>
      <c r="K273" t="inlineStr">
        <is>
          <t xml:space="preserve">High </t>
        </is>
      </c>
      <c r="L273" t="inlineStr">
        <is>
          <t>Blocks Key Task</t>
        </is>
      </c>
    </row>
    <row r="274">
      <c r="A274" t="inlineStr">
        <is>
          <t>FB-00273</t>
        </is>
      </c>
      <c r="B274" t="inlineStr">
        <is>
          <t>CUST-0269</t>
        </is>
      </c>
      <c r="C274" t="inlineStr">
        <is>
          <t>2025-12-20</t>
        </is>
      </c>
      <c r="D274" t="inlineStr">
        <is>
          <t>Customer Survey</t>
        </is>
      </c>
      <c r="E274" t="inlineStr">
        <is>
          <t>Professional</t>
        </is>
      </c>
      <c r="F274" t="inlineStr">
        <is>
          <t>SMB</t>
        </is>
      </c>
      <c r="G274" t="inlineStr">
        <is>
          <t>Integrations</t>
        </is>
      </c>
      <c r="H274" t="inlineStr">
        <is>
          <t>Integration Issue</t>
        </is>
      </c>
      <c r="I274" t="inlineStr">
        <is>
          <t>Hard to debug: API timeouts fail with vague error codes. Our admin flagged it while onboarding 87 new users. Support suggested logging it here.</t>
        </is>
      </c>
      <c r="J274" t="inlineStr">
        <is>
          <t>Negative</t>
        </is>
      </c>
      <c r="K274" t="inlineStr">
        <is>
          <t>High</t>
        </is>
      </c>
      <c r="L274" t="inlineStr">
        <is>
          <t>Workflow Slowdown</t>
        </is>
      </c>
    </row>
    <row r="275">
      <c r="A275" t="inlineStr">
        <is>
          <t>FB-00274</t>
        </is>
      </c>
      <c r="B275" t="inlineStr">
        <is>
          <t>CUST-0082</t>
        </is>
      </c>
      <c r="C275" t="inlineStr">
        <is>
          <t>2025-12-20</t>
        </is>
      </c>
      <c r="D275" t="inlineStr">
        <is>
          <t>Support Ticket</t>
        </is>
      </c>
      <c r="E275" t="inlineStr">
        <is>
          <t>STARTER</t>
        </is>
      </c>
      <c r="F275" t="inlineStr">
        <is>
          <t>SMB</t>
        </is>
      </c>
      <c r="G275" t="inlineStr">
        <is>
          <t>Lead Management</t>
        </is>
      </c>
      <c r="H275" t="inlineStr">
        <is>
          <t>Usability Issue</t>
        </is>
      </c>
      <c r="I275" t="inlineStr">
        <is>
          <t>This has been a recurring problem for us. Setting up lead routing rules takes too many steps and the options don't cover territories. It happens about 15 times a week for our team of 6.</t>
        </is>
      </c>
      <c r="J275" t="inlineStr">
        <is>
          <t>Negative</t>
        </is>
      </c>
      <c r="K275" t="inlineStr">
        <is>
          <t>Medium</t>
        </is>
      </c>
      <c r="L275" t="inlineStr">
        <is>
          <t>Workflow Slowdown</t>
        </is>
      </c>
    </row>
    <row r="276">
      <c r="A276" t="inlineStr">
        <is>
          <t>FB-00275</t>
        </is>
      </c>
      <c r="B276" t="inlineStr">
        <is>
          <t>CUST-0311</t>
        </is>
      </c>
      <c r="C276" t="inlineStr">
        <is>
          <t>2025-12-21</t>
        </is>
      </c>
      <c r="D276" t="inlineStr">
        <is>
          <t>Support Ticket</t>
        </is>
      </c>
      <c r="E276" t="inlineStr">
        <is>
          <t>Starter</t>
        </is>
      </c>
      <c r="F276" t="inlineStr">
        <is>
          <t>SMB</t>
        </is>
      </c>
      <c r="G276" t="inlineStr">
        <is>
          <t>Reporting</t>
        </is>
      </c>
      <c r="H276" t="inlineStr">
        <is>
          <t>Bug</t>
        </is>
      </c>
      <c r="I276" t="inlineStr">
        <is>
          <t>Our CSV export of reports drops formatting and shows dates as numbers. So far 3 people on our side have reported it. We need a fix before renewal.</t>
        </is>
      </c>
      <c r="J276" t="inlineStr">
        <is>
          <t>Negative</t>
        </is>
      </c>
      <c r="K276" t="inlineStr">
        <is>
          <t>Medium</t>
        </is>
      </c>
      <c r="L276" t="inlineStr">
        <is>
          <t>Minor Inconvenience</t>
        </is>
      </c>
    </row>
    <row r="277">
      <c r="A277" t="inlineStr">
        <is>
          <t>FB-00276</t>
        </is>
      </c>
      <c r="B277" t="inlineStr">
        <is>
          <t>CUST-0413</t>
        </is>
      </c>
      <c r="C277" t="inlineStr">
        <is>
          <t>2025-12-21</t>
        </is>
      </c>
      <c r="D277" t="inlineStr">
        <is>
          <t>Customer Survey</t>
        </is>
      </c>
      <c r="E277" t="inlineStr">
        <is>
          <t>Professional</t>
        </is>
      </c>
      <c r="F277" t="inlineStr">
        <is>
          <t>SMB</t>
        </is>
      </c>
      <c r="G277" t="inlineStr">
        <is>
          <t>Reporting</t>
        </is>
      </c>
      <c r="H277" t="inlineStr">
        <is>
          <t>Feature Request</t>
        </is>
      </c>
      <c r="I277" t="inlineStr">
        <is>
          <t>Quick note from our admin. We need a custom report builder so non-technical managers can create their own views. It happens about 36 times a week for our team of 67.</t>
        </is>
      </c>
      <c r="J277" t="inlineStr">
        <is>
          <t>Neutral</t>
        </is>
      </c>
      <c r="K277" t="inlineStr">
        <is>
          <t>Medium</t>
        </is>
      </c>
      <c r="L277" t="inlineStr">
        <is>
          <t>Minor Inconvenience</t>
        </is>
      </c>
    </row>
    <row r="278">
      <c r="A278" t="inlineStr">
        <is>
          <t>FB-00277</t>
        </is>
      </c>
      <c r="B278" t="inlineStr">
        <is>
          <t>CUST-0217</t>
        </is>
      </c>
      <c r="C278" t="inlineStr">
        <is>
          <t>2025-12-21</t>
        </is>
      </c>
      <c r="D278" t="inlineStr">
        <is>
          <t>Support Ticket</t>
        </is>
      </c>
      <c r="E278" t="inlineStr">
        <is>
          <t>Starter</t>
        </is>
      </c>
      <c r="F278" t="inlineStr">
        <is>
          <t>Mid-Market</t>
        </is>
      </c>
      <c r="G278" t="inlineStr">
        <is>
          <t>Contact Management</t>
        </is>
      </c>
      <c r="H278" t="inlineStr">
        <is>
          <t>Performance Issue</t>
        </is>
      </c>
      <c r="I278" t="inlineStr">
        <is>
          <t>Escalating on behalf of our ops lead. The contact list filtering times out on our largest accounts. It happens about 24 times a week for our team of 119.</t>
        </is>
      </c>
      <c r="J278" t="inlineStr">
        <is>
          <t>Negative</t>
        </is>
      </c>
      <c r="K278" t="inlineStr">
        <is>
          <t>Medium</t>
        </is>
      </c>
      <c r="L278" t="inlineStr">
        <is>
          <t>Minor Inconvenience</t>
        </is>
      </c>
    </row>
    <row r="279">
      <c r="A279" t="inlineStr">
        <is>
          <t>FB-00278</t>
        </is>
      </c>
      <c r="B279" t="inlineStr">
        <is>
          <t>CUST-0212</t>
        </is>
      </c>
      <c r="C279" t="inlineStr">
        <is>
          <t>2025-12-21</t>
        </is>
      </c>
      <c r="D279" t="inlineStr">
        <is>
          <t>Customer Survey</t>
        </is>
      </c>
      <c r="E279" t="inlineStr">
        <is>
          <t>Professional</t>
        </is>
      </c>
      <c r="F279" t="inlineStr">
        <is>
          <t>Mid-Market</t>
        </is>
      </c>
      <c r="G279" t="inlineStr">
        <is>
          <t>Workflow Automation</t>
        </is>
      </c>
      <c r="H279" t="inlineStr">
        <is>
          <t>Usability Issue</t>
        </is>
      </c>
      <c r="I279" t="inlineStr">
        <is>
          <t>Frustrated with this one. I can't tell what a branch does in the workflow editor without opening every node. It affects our month-end reporting process every cycle. We need a fix before renewal.</t>
        </is>
      </c>
      <c r="J279" t="inlineStr">
        <is>
          <t>Negative</t>
        </is>
      </c>
      <c r="K279" t="inlineStr">
        <is>
          <t>Low</t>
        </is>
      </c>
      <c r="L279" t="inlineStr">
        <is>
          <t>Minor Inconvenience</t>
        </is>
      </c>
    </row>
    <row r="280">
      <c r="A280" t="inlineStr">
        <is>
          <t>FB-00279</t>
        </is>
      </c>
      <c r="B280" t="inlineStr">
        <is>
          <t>CUST-0420</t>
        </is>
      </c>
      <c r="C280" t="inlineStr">
        <is>
          <t>2025-12-21</t>
        </is>
      </c>
      <c r="D280" t="inlineStr">
        <is>
          <t>Support Ticket</t>
        </is>
      </c>
      <c r="E280" t="inlineStr">
        <is>
          <t>Enterprise</t>
        </is>
      </c>
      <c r="F280" t="inlineStr">
        <is>
          <t>Enterprise</t>
        </is>
      </c>
      <c r="G280" t="inlineStr">
        <is>
          <t>User Interface</t>
        </is>
      </c>
      <c r="H280" t="inlineStr">
        <is>
          <t>Performance Issue</t>
        </is>
      </c>
      <c r="I280" t="inlineStr">
        <is>
          <t>Since the redesign there is more page lag on older laptops.</t>
        </is>
      </c>
      <c r="J280" t="inlineStr">
        <is>
          <t>Negative</t>
        </is>
      </c>
      <c r="K280" t="inlineStr">
        <is>
          <t>Low</t>
        </is>
      </c>
      <c r="L280" t="inlineStr">
        <is>
          <t>Workflow Slowdown</t>
        </is>
      </c>
    </row>
    <row r="281">
      <c r="A281" t="inlineStr">
        <is>
          <t>FB-00280</t>
        </is>
      </c>
      <c r="B281" t="inlineStr">
        <is>
          <t>CUST-0132</t>
        </is>
      </c>
      <c r="C281" t="inlineStr">
        <is>
          <t>2025-12-21</t>
        </is>
      </c>
      <c r="D281" t="inlineStr">
        <is>
          <t>Customer Survey</t>
        </is>
      </c>
      <c r="E281" t="inlineStr">
        <is>
          <t>Starter</t>
        </is>
      </c>
      <c r="F281" t="inlineStr">
        <is>
          <t>SMB</t>
        </is>
      </c>
      <c r="G281" t="inlineStr">
        <is>
          <t>User Interface</t>
        </is>
      </c>
      <c r="H281" t="inlineStr">
        <is>
          <t>Performance Issue</t>
        </is>
      </c>
      <c r="I281" t="inlineStr">
        <is>
          <t>UI freezing makes data entry frustrating during live calls. We estimate we lose roughly 25 hours a month on this. Is there a workaround?</t>
        </is>
      </c>
      <c r="J281" t="inlineStr">
        <is>
          <t>Negative</t>
        </is>
      </c>
      <c r="K281" t="inlineStr">
        <is>
          <t>Medium</t>
        </is>
      </c>
      <c r="L281" t="inlineStr">
        <is>
          <t>Minor Inconvenience</t>
        </is>
      </c>
    </row>
    <row r="282">
      <c r="A282" t="inlineStr">
        <is>
          <t>FB-00281</t>
        </is>
      </c>
      <c r="B282" t="inlineStr">
        <is>
          <t>CUST-0002</t>
        </is>
      </c>
      <c r="C282" t="inlineStr">
        <is>
          <t>2025-12-22</t>
        </is>
      </c>
      <c r="D282" t="inlineStr">
        <is>
          <t>Support Ticket</t>
        </is>
      </c>
      <c r="E282" t="inlineStr">
        <is>
          <t>Starter</t>
        </is>
      </c>
      <c r="F282" t="inlineStr">
        <is>
          <t>SMB</t>
        </is>
      </c>
      <c r="G282" t="inlineStr">
        <is>
          <t>Workflow Automation</t>
        </is>
      </c>
      <c r="H282" t="inlineStr">
        <is>
          <t>Usability Issue</t>
        </is>
      </c>
      <c r="I282" t="inlineStr">
        <is>
          <t>Overall we like the product. Our new admins struggle with the automation canvas; there is no guidance or validation. Our finance analyst flagged it while onboarding 47 new users.</t>
        </is>
      </c>
      <c r="J282" t="inlineStr">
        <is>
          <t>Positive</t>
        </is>
      </c>
      <c r="K282" t="inlineStr">
        <is>
          <t>Medium</t>
        </is>
      </c>
      <c r="L282" t="inlineStr">
        <is>
          <t>Blocks Key Task</t>
        </is>
      </c>
    </row>
    <row r="283">
      <c r="A283" t="inlineStr">
        <is>
          <t>FB-00282</t>
        </is>
      </c>
      <c r="B283" t="inlineStr">
        <is>
          <t>CUST-0084</t>
        </is>
      </c>
      <c r="C283" t="inlineStr">
        <is>
          <t>2025-12-22</t>
        </is>
      </c>
      <c r="D283" t="inlineStr">
        <is>
          <t>Feature Request</t>
        </is>
      </c>
      <c r="E283" t="inlineStr">
        <is>
          <t>Enterprise</t>
        </is>
      </c>
      <c r="F283" t="inlineStr">
        <is>
          <t>Enterprise</t>
        </is>
      </c>
      <c r="G283" t="inlineStr">
        <is>
          <t>User Interface</t>
        </is>
      </c>
      <c r="H283" t="inlineStr">
        <is>
          <t>Feature Request</t>
        </is>
      </c>
      <c r="I283" t="inlineStr">
        <is>
          <t>Please prioritize mobile call logging; the mobile web view is hard to use. It happens about 22 times a week for our team of 93. Please look into it soon.</t>
        </is>
      </c>
      <c r="J283" t="inlineStr">
        <is>
          <t>Negative</t>
        </is>
      </c>
      <c r="K283" t="inlineStr">
        <is>
          <t>High</t>
        </is>
      </c>
      <c r="L283" t="inlineStr">
        <is>
          <t>Workflow Slowdown</t>
        </is>
      </c>
    </row>
    <row r="284">
      <c r="A284" t="inlineStr">
        <is>
          <t>FB-00283</t>
        </is>
      </c>
      <c r="B284" t="inlineStr">
        <is>
          <t>CUST-0352</t>
        </is>
      </c>
      <c r="C284" t="inlineStr">
        <is>
          <t>2025-12-22</t>
        </is>
      </c>
      <c r="D284" t="inlineStr">
        <is>
          <t>Feature Request</t>
        </is>
      </c>
      <c r="E284" t="inlineStr">
        <is>
          <t>Starter</t>
        </is>
      </c>
      <c r="F284" t="inlineStr">
        <is>
          <t>SMB</t>
        </is>
      </c>
      <c r="G284" t="inlineStr">
        <is>
          <t>User Interface</t>
        </is>
      </c>
      <c r="H284" t="inlineStr">
        <is>
          <t>Feature Request</t>
        </is>
      </c>
      <c r="I284" t="inlineStr">
        <is>
          <t>We lose notes whenever reps are away from a desk without mobile call logging. We estimate we lose roughly 18 hours a month on this. Let us know if you need examples.</t>
        </is>
      </c>
      <c r="J284" t="inlineStr">
        <is>
          <t>Neutral</t>
        </is>
      </c>
      <c r="K284" t="inlineStr">
        <is>
          <t>Medium</t>
        </is>
      </c>
      <c r="L284" t="inlineStr">
        <is>
          <t>Blocks Key Task</t>
        </is>
      </c>
    </row>
    <row r="285">
      <c r="A285" t="inlineStr">
        <is>
          <t>FB-00284</t>
        </is>
      </c>
      <c r="B285" t="inlineStr">
        <is>
          <t>CUST-0032</t>
        </is>
      </c>
      <c r="C285" t="inlineStr">
        <is>
          <t>2025-12-23</t>
        </is>
      </c>
      <c r="D285" t="inlineStr">
        <is>
          <t>Support Ticket</t>
        </is>
      </c>
      <c r="E285" t="inlineStr">
        <is>
          <t>Starter</t>
        </is>
      </c>
      <c r="F285" t="inlineStr">
        <is>
          <t>SMB</t>
        </is>
      </c>
      <c r="G285" t="inlineStr">
        <is>
          <t>Lead Management</t>
        </is>
      </c>
      <c r="H285" t="inlineStr">
        <is>
          <t>PERFORMANCE ISSUE</t>
        </is>
      </c>
      <c r="I285" t="inlineStr">
        <is>
          <t>Reps have stopped using the board because of lead view load times. Is there a workaround?</t>
        </is>
      </c>
      <c r="J285" t="inlineStr">
        <is>
          <t>NEGATIVE</t>
        </is>
      </c>
      <c r="K285" t="inlineStr">
        <is>
          <t>Low</t>
        </is>
      </c>
      <c r="L285" t="inlineStr">
        <is>
          <t>Minor Inconvenience</t>
        </is>
      </c>
    </row>
    <row r="286">
      <c r="A286" t="inlineStr">
        <is>
          <t>FB-00285</t>
        </is>
      </c>
      <c r="B286" t="inlineStr">
        <is>
          <t>CUST-0111</t>
        </is>
      </c>
      <c r="C286" t="inlineStr">
        <is>
          <t>2025-12-23</t>
        </is>
      </c>
      <c r="D286" t="inlineStr">
        <is>
          <t>Feature Request</t>
        </is>
      </c>
      <c r="E286" t="inlineStr">
        <is>
          <t>Professional</t>
        </is>
      </c>
      <c r="F286" t="inlineStr">
        <is>
          <t>Enterprise</t>
        </is>
      </c>
      <c r="G286" t="inlineStr">
        <is>
          <t>Workflow Automation</t>
        </is>
      </c>
      <c r="H286" t="inlineStr">
        <is>
          <t>Feature Request</t>
        </is>
      </c>
      <c r="I286" t="inlineStr">
        <is>
          <t>Sharing this from our team. We'd adopt automation faster with workflow templates we could customize. It affects our onboarding process every cycle. Let us know if you need examples.</t>
        </is>
      </c>
      <c r="J286" t="inlineStr">
        <is>
          <t>Neutral</t>
        </is>
      </c>
      <c r="K286" t="inlineStr">
        <is>
          <t>Medium</t>
        </is>
      </c>
      <c r="L286" t="inlineStr">
        <is>
          <t>Workflow Slowdown</t>
        </is>
      </c>
    </row>
    <row r="287">
      <c r="A287" t="inlineStr">
        <is>
          <t>FB-00286</t>
        </is>
      </c>
      <c r="B287" t="inlineStr">
        <is>
          <t>CUST-0269</t>
        </is>
      </c>
      <c r="C287" t="inlineStr">
        <is>
          <t>2025-12-23</t>
        </is>
      </c>
      <c r="D287" t="inlineStr">
        <is>
          <t>Support Ticket</t>
        </is>
      </c>
      <c r="E287" t="inlineStr">
        <is>
          <t>Professional</t>
        </is>
      </c>
      <c r="F287" t="inlineStr">
        <is>
          <t>SMB</t>
        </is>
      </c>
      <c r="G287" t="inlineStr">
        <is>
          <t>Reporting</t>
        </is>
      </c>
      <c r="H287" t="inlineStr">
        <is>
          <t>Bug</t>
        </is>
      </c>
      <c r="I287" t="inlineStr">
        <is>
          <t>Escalating on behalf of our ops lead. Finance can't rely on the CSV export of reports; totals don't match the screen. It happens about 20 times a week for our team of 66.</t>
        </is>
      </c>
      <c r="J287" t="inlineStr">
        <is>
          <t>Negative</t>
        </is>
      </c>
      <c r="K287" t="inlineStr">
        <is>
          <t>High</t>
        </is>
      </c>
      <c r="L287" t="inlineStr">
        <is>
          <t>Blocks Key Task</t>
        </is>
      </c>
    </row>
    <row r="288">
      <c r="A288" t="inlineStr">
        <is>
          <t>FB-00287</t>
        </is>
      </c>
      <c r="B288" t="inlineStr">
        <is>
          <t>CUST-0419</t>
        </is>
      </c>
      <c r="C288" t="inlineStr">
        <is>
          <t>2025-12-24</t>
        </is>
      </c>
      <c r="D288" t="inlineStr">
        <is>
          <t>Support Ticket</t>
        </is>
      </c>
      <c r="E288" t="inlineStr">
        <is>
          <t>Starter</t>
        </is>
      </c>
      <c r="F288" t="inlineStr">
        <is>
          <t>SMB</t>
        </is>
      </c>
      <c r="G288" t="inlineStr">
        <is>
          <t>User Interface</t>
        </is>
      </c>
      <c r="H288" t="inlineStr">
        <is>
          <t>Usability Issue</t>
        </is>
      </c>
      <c r="I288" t="inlineStr">
        <is>
          <t>Frustrated with this one. Too many clicks to reach common screens because of the page layout. So far 59 people on our side have reported it.</t>
        </is>
      </c>
      <c r="J288" t="inlineStr">
        <is>
          <t>Negative</t>
        </is>
      </c>
      <c r="K288" t="inlineStr">
        <is>
          <t>Low</t>
        </is>
      </c>
      <c r="L288" t="inlineStr">
        <is>
          <t>Minor Inconvenience</t>
        </is>
      </c>
    </row>
    <row r="289">
      <c r="A289" t="inlineStr">
        <is>
          <t>FB-00288</t>
        </is>
      </c>
      <c r="B289" t="inlineStr">
        <is>
          <t>CUST-0414</t>
        </is>
      </c>
      <c r="C289" t="inlineStr">
        <is>
          <t>2025-12-24</t>
        </is>
      </c>
      <c r="D289" t="inlineStr">
        <is>
          <t>Feature Request</t>
        </is>
      </c>
      <c r="E289" t="inlineStr">
        <is>
          <t>Professional</t>
        </is>
      </c>
      <c r="F289" t="inlineStr">
        <is>
          <t>Enterprise</t>
        </is>
      </c>
      <c r="G289" t="inlineStr">
        <is>
          <t>Contact Management</t>
        </is>
      </c>
      <c r="H289" t="inlineStr">
        <is>
          <t>Feature Request</t>
        </is>
      </c>
      <c r="I289" t="inlineStr">
        <is>
          <t>Requesting a contact relationship hierarchy so account managers can see who reports to whom. We estimate we lose roughly 21 hours a month on this. Let us know if you need examples.</t>
        </is>
      </c>
      <c r="J289" t="inlineStr">
        <is>
          <t>Neutral</t>
        </is>
      </c>
      <c r="K289" t="inlineStr">
        <is>
          <t>High</t>
        </is>
      </c>
      <c r="L289" t="inlineStr">
        <is>
          <t>Revenue/Operations Risk</t>
        </is>
      </c>
    </row>
    <row r="290">
      <c r="A290" t="inlineStr">
        <is>
          <t>FB-00289</t>
        </is>
      </c>
      <c r="B290" t="inlineStr">
        <is>
          <t>CUST-0265</t>
        </is>
      </c>
      <c r="C290" t="inlineStr">
        <is>
          <t>2025-12-25</t>
        </is>
      </c>
      <c r="D290" t="inlineStr">
        <is>
          <t>Support Ticket</t>
        </is>
      </c>
      <c r="E290" t="inlineStr">
        <is>
          <t>Starter</t>
        </is>
      </c>
      <c r="F290" t="inlineStr">
        <is>
          <t>SMB</t>
        </is>
      </c>
      <c r="G290" t="inlineStr">
        <is>
          <t>Lead Management</t>
        </is>
      </c>
      <c r="H290" t="inlineStr">
        <is>
          <t>Usability Issue</t>
        </is>
      </c>
      <c r="I290" t="inlineStr">
        <is>
          <t>Our team keeps running into this. The lead routing rules are confusing and new leads sometimes sit unassigned over weekends. We estimate we lose roughly 6 hours a month on this. We need a fix before renewal.</t>
        </is>
      </c>
      <c r="J290" t="inlineStr">
        <is>
          <t>Negative</t>
        </is>
      </c>
      <c r="K290" t="inlineStr">
        <is>
          <t>Low</t>
        </is>
      </c>
      <c r="L290" t="inlineStr">
        <is>
          <t>Minor Inconvenience</t>
        </is>
      </c>
    </row>
    <row r="291">
      <c r="A291" t="inlineStr">
        <is>
          <t>FB-00290</t>
        </is>
      </c>
      <c r="B291" t="inlineStr">
        <is>
          <t>CUST-0372</t>
        </is>
      </c>
      <c r="C291" t="inlineStr">
        <is>
          <t>2025-12-25</t>
        </is>
      </c>
      <c r="D291" t="inlineStr">
        <is>
          <t>Feature Request</t>
        </is>
      </c>
      <c r="E291" t="inlineStr">
        <is>
          <t>Starter</t>
        </is>
      </c>
      <c r="F291" t="inlineStr">
        <is>
          <t>SMB</t>
        </is>
      </c>
      <c r="G291" t="inlineStr">
        <is>
          <t>User Interface</t>
        </is>
      </c>
      <c r="H291" t="inlineStr">
        <is>
          <t>Feature Request</t>
        </is>
      </c>
      <c r="I291" t="inlineStr">
        <is>
          <t>Raising this again after our last business review. Requesting mobile call logging so reps can log activity right after a meeting. It affects our renewal process every cycle.</t>
        </is>
      </c>
      <c r="J291" t="inlineStr">
        <is>
          <t>Negative</t>
        </is>
      </c>
      <c r="K291" t="inlineStr">
        <is>
          <t>Low</t>
        </is>
      </c>
      <c r="L291" t="inlineStr">
        <is>
          <t>Minor Inconvenience</t>
        </is>
      </c>
    </row>
    <row r="292">
      <c r="A292" t="inlineStr">
        <is>
          <t>FB-00291</t>
        </is>
      </c>
      <c r="B292" t="inlineStr">
        <is>
          <t>CUST-0202</t>
        </is>
      </c>
      <c r="C292" t="inlineStr">
        <is>
          <t>2025-12-25</t>
        </is>
      </c>
      <c r="D292" t="inlineStr">
        <is>
          <t>Support Ticket</t>
        </is>
      </c>
      <c r="E292" t="inlineStr">
        <is>
          <t>Enterprise</t>
        </is>
      </c>
      <c r="F292" t="inlineStr">
        <is>
          <t>Enterprise</t>
        </is>
      </c>
      <c r="G292" t="inlineStr">
        <is>
          <t>Reporting</t>
        </is>
      </c>
      <c r="H292" t="inlineStr">
        <is>
          <t>Bug</t>
        </is>
      </c>
      <c r="I292" t="inlineStr">
        <is>
          <t>Raising this again after our last business review. Finance can't rely on the CSV export of reports; totals don't match the screen. We estimate we lose roughly 45 hours a month on this.</t>
        </is>
      </c>
      <c r="J292" t="inlineStr">
        <is>
          <t>Negative</t>
        </is>
      </c>
      <c r="K292" t="inlineStr">
        <is>
          <t>Critical</t>
        </is>
      </c>
      <c r="L292" t="inlineStr">
        <is>
          <t>Revenue/Operations Risk</t>
        </is>
      </c>
    </row>
    <row r="293">
      <c r="A293" t="inlineStr">
        <is>
          <t>FB-00292</t>
        </is>
      </c>
      <c r="B293" t="inlineStr">
        <is>
          <t>CUST-0147</t>
        </is>
      </c>
      <c r="C293" t="inlineStr">
        <is>
          <t>2025-12-25</t>
        </is>
      </c>
      <c r="D293" t="inlineStr">
        <is>
          <t>Feature Request</t>
        </is>
      </c>
      <c r="E293" t="inlineStr">
        <is>
          <t>Enterprise</t>
        </is>
      </c>
      <c r="F293" t="inlineStr">
        <is>
          <t>Enterprise</t>
        </is>
      </c>
      <c r="G293" t="inlineStr">
        <is>
          <t>Contact Management</t>
        </is>
      </c>
      <c r="H293" t="inlineStr">
        <is>
          <t>Feature Request</t>
        </is>
      </c>
      <c r="I293" t="inlineStr">
        <is>
          <t>Please extend an account hierarchy view; the current limit is too small for our use case.</t>
        </is>
      </c>
      <c r="J293" t="inlineStr">
        <is>
          <t>Neutral</t>
        </is>
      </c>
      <c r="K293" t="inlineStr">
        <is>
          <t>Medium</t>
        </is>
      </c>
      <c r="L293" t="inlineStr">
        <is>
          <t>Minor Inconvenience</t>
        </is>
      </c>
    </row>
    <row r="294">
      <c r="A294" t="inlineStr">
        <is>
          <t>FB-00293</t>
        </is>
      </c>
      <c r="B294" t="inlineStr">
        <is>
          <t>CUST-0306</t>
        </is>
      </c>
      <c r="C294" t="inlineStr">
        <is>
          <t>2025-12-25</t>
        </is>
      </c>
      <c r="D294" t="inlineStr">
        <is>
          <t>Support Ticket</t>
        </is>
      </c>
      <c r="E294" t="inlineStr">
        <is>
          <t>Professional</t>
        </is>
      </c>
      <c r="F294" t="inlineStr">
        <is>
          <t>SMB</t>
        </is>
      </c>
      <c r="G294" t="inlineStr">
        <is>
          <t>Workflow Automation</t>
        </is>
      </c>
      <c r="H294" t="inlineStr">
        <is>
          <t>Bug</t>
        </is>
      </c>
      <c r="I294" t="inlineStr">
        <is>
          <t>Our team keeps running into this. Since the last release we've had workflow failures and tasks are being created twice. It happens about 9 times a week for our team of 91. Support suggested logging it here.</t>
        </is>
      </c>
      <c r="J294" t="inlineStr">
        <is>
          <t>Negative</t>
        </is>
      </c>
      <c r="K294" t="inlineStr">
        <is>
          <t>Medium</t>
        </is>
      </c>
      <c r="L294" t="inlineStr">
        <is>
          <t>Revenue/Operations Risk</t>
        </is>
      </c>
    </row>
    <row r="295">
      <c r="A295" t="inlineStr">
        <is>
          <t>FB-00294</t>
        </is>
      </c>
      <c r="B295" t="inlineStr">
        <is>
          <t>CUST-0391</t>
        </is>
      </c>
      <c r="C295" t="inlineStr">
        <is>
          <t>2025-12-26</t>
        </is>
      </c>
      <c r="D295" t="inlineStr">
        <is>
          <t>Feature Request</t>
        </is>
      </c>
      <c r="E295" t="inlineStr">
        <is>
          <t>Enterprise</t>
        </is>
      </c>
      <c r="F295" t="inlineStr">
        <is>
          <t>Mid-Market</t>
        </is>
      </c>
      <c r="G295" t="inlineStr">
        <is>
          <t>Integrations</t>
        </is>
      </c>
      <c r="H295" t="inlineStr">
        <is>
          <t>Feature Request</t>
        </is>
      </c>
      <c r="I295" t="inlineStr">
        <is>
          <t>Our security team requires SAML login before we can expand seats. So far 17 people on our side have reported it. We need a fix before renewal.</t>
        </is>
      </c>
      <c r="J295" t="inlineStr">
        <is>
          <t>Negative</t>
        </is>
      </c>
      <c r="K295" t="inlineStr">
        <is>
          <t>Low</t>
        </is>
      </c>
      <c r="L295" t="inlineStr">
        <is>
          <t>Minor Inconvenience</t>
        </is>
      </c>
    </row>
    <row r="296">
      <c r="A296" t="inlineStr">
        <is>
          <t>FB-00295</t>
        </is>
      </c>
      <c r="B296" t="inlineStr">
        <is>
          <t>CUST-0272</t>
        </is>
      </c>
      <c r="C296" t="inlineStr">
        <is>
          <t>2025-12-26</t>
        </is>
      </c>
      <c r="D296" t="inlineStr">
        <is>
          <t>Support Ticket</t>
        </is>
      </c>
      <c r="E296" t="inlineStr">
        <is>
          <t>Enterprise</t>
        </is>
      </c>
      <c r="F296" t="inlineStr">
        <is>
          <t>Enterprise</t>
        </is>
      </c>
      <c r="G296" t="inlineStr">
        <is>
          <t>Reporting</t>
        </is>
      </c>
      <c r="H296" t="inlineStr">
        <is>
          <t>Performance Issue</t>
        </is>
      </c>
      <c r="I296" t="inlineStr">
        <is>
          <t>Frustrated with this one. Our report load time spins for a minute before showing any chart. Our marketing ops owner flagged it while onboarding 30 new users. Support suggested logging it here.</t>
        </is>
      </c>
      <c r="J296" t="inlineStr">
        <is>
          <t>Negative</t>
        </is>
      </c>
      <c r="K296" t="inlineStr">
        <is>
          <t xml:space="preserve"> Low</t>
        </is>
      </c>
      <c r="L296" t="inlineStr">
        <is>
          <t>Minor Inconvenience</t>
        </is>
      </c>
    </row>
    <row r="297">
      <c r="A297" t="inlineStr">
        <is>
          <t>FB-00296</t>
        </is>
      </c>
      <c r="B297" t="inlineStr">
        <is>
          <t>CUST-0075</t>
        </is>
      </c>
      <c r="C297" t="inlineStr">
        <is>
          <t>2025-12-26</t>
        </is>
      </c>
      <c r="D297" t="inlineStr">
        <is>
          <t>In-App Feedback</t>
        </is>
      </c>
      <c r="E297" t="inlineStr">
        <is>
          <t>Professional</t>
        </is>
      </c>
      <c r="F297" t="inlineStr">
        <is>
          <t>Enterprise</t>
        </is>
      </c>
      <c r="G297" t="inlineStr">
        <is>
          <t>Reporting</t>
        </is>
      </c>
      <c r="H297" t="inlineStr">
        <is>
          <t>Performance Issue</t>
        </is>
      </c>
      <c r="I297" t="inlineStr">
        <is>
          <t>Our team keeps running into this. Dashboard loading got noticeably worse over the last few months. Support suggested logging it here.</t>
        </is>
      </c>
      <c r="J297" t="inlineStr">
        <is>
          <t>Negative</t>
        </is>
      </c>
      <c r="K297" t="inlineStr">
        <is>
          <t>Medium</t>
        </is>
      </c>
      <c r="L297" t="inlineStr">
        <is>
          <t>Blocks Key Task</t>
        </is>
      </c>
    </row>
    <row r="298">
      <c r="A298" t="inlineStr">
        <is>
          <t>FB-00297</t>
        </is>
      </c>
      <c r="B298" t="inlineStr">
        <is>
          <t>CUST-0202</t>
        </is>
      </c>
      <c r="C298" t="inlineStr">
        <is>
          <t>2025-12-27</t>
        </is>
      </c>
      <c r="D298" t="inlineStr">
        <is>
          <t>In-App Feedback</t>
        </is>
      </c>
      <c r="E298" t="inlineStr">
        <is>
          <t>Enterprise</t>
        </is>
      </c>
      <c r="F298" t="inlineStr">
        <is>
          <t>Enterprise</t>
        </is>
      </c>
      <c r="G298" t="inlineStr">
        <is>
          <t>Integrations</t>
        </is>
      </c>
      <c r="H298" t="inlineStr">
        <is>
          <t>Integration Issue</t>
        </is>
      </c>
      <c r="I298" t="inlineStr">
        <is>
          <t>This has been a recurring problem for us. We keep hitting API timeouts during nightly syncs with our data warehouse. So far 55 people on our side have reported it. Is there a workaround?</t>
        </is>
      </c>
      <c r="J298" t="inlineStr">
        <is>
          <t>Negative</t>
        </is>
      </c>
      <c r="K298" t="inlineStr">
        <is>
          <t>High</t>
        </is>
      </c>
      <c r="L298" t="inlineStr">
        <is>
          <t>Workflow Slowdown</t>
        </is>
      </c>
    </row>
    <row r="299">
      <c r="A299" t="inlineStr">
        <is>
          <t>FB-00298</t>
        </is>
      </c>
      <c r="B299" t="inlineStr">
        <is>
          <t>CUST-0269</t>
        </is>
      </c>
      <c r="C299" t="inlineStr">
        <is>
          <t>2025-12-27</t>
        </is>
      </c>
      <c r="D299" t="inlineStr">
        <is>
          <t>Customer Survey</t>
        </is>
      </c>
      <c r="E299" t="inlineStr">
        <is>
          <t>Professional</t>
        </is>
      </c>
      <c r="F299" t="inlineStr">
        <is>
          <t>SMB</t>
        </is>
      </c>
      <c r="G299" t="inlineStr">
        <is>
          <t>User Interface</t>
        </is>
      </c>
      <c r="H299" t="inlineStr">
        <is>
          <t>Feature Request</t>
        </is>
      </c>
      <c r="I299" t="inlineStr">
        <is>
          <t>Noting this during onboarding. Requesting bulk edit actions across every list view. It happens about 20 times a week for our team of 3.</t>
        </is>
      </c>
      <c r="J299" t="inlineStr">
        <is>
          <t>Neutral</t>
        </is>
      </c>
      <c r="K299" t="inlineStr">
        <is>
          <t>Critical</t>
        </is>
      </c>
      <c r="L299" t="inlineStr">
        <is>
          <t>Workflow Slowdown</t>
        </is>
      </c>
    </row>
    <row r="300">
      <c r="A300" t="inlineStr">
        <is>
          <t>FB-00299</t>
        </is>
      </c>
      <c r="B300" t="inlineStr">
        <is>
          <t>CUST-0187</t>
        </is>
      </c>
      <c r="C300" t="inlineStr">
        <is>
          <t>2025-12-27</t>
        </is>
      </c>
      <c r="D300" t="inlineStr">
        <is>
          <t>Feature Request</t>
        </is>
      </c>
      <c r="E300" t="inlineStr">
        <is>
          <t>Enterprise</t>
        </is>
      </c>
      <c r="F300" t="inlineStr">
        <is>
          <t>Mid-Market</t>
        </is>
      </c>
      <c r="G300" t="inlineStr">
        <is>
          <t>Reporting</t>
        </is>
      </c>
      <c r="H300" t="inlineStr">
        <is>
          <t>PERFORMANCE ISSUE</t>
        </is>
      </c>
      <c r="I300" t="inlineStr">
        <is>
          <t>Noting this during onboarding. The dashboard refresh is painfully slow with a full year of data. We estimate we lose roughly 18 hours a month on this. Let us know if you need examples.</t>
        </is>
      </c>
      <c r="J300" t="inlineStr">
        <is>
          <t>Neutral</t>
        </is>
      </c>
      <c r="K300" t="inlineStr">
        <is>
          <t>Critical</t>
        </is>
      </c>
      <c r="L300" t="inlineStr">
        <is>
          <t>Revenue/Operations Risk</t>
        </is>
      </c>
    </row>
    <row r="301">
      <c r="A301" t="inlineStr">
        <is>
          <t>FB-00300</t>
        </is>
      </c>
      <c r="B301" t="inlineStr">
        <is>
          <t>CUST-0007</t>
        </is>
      </c>
      <c r="C301" t="inlineStr">
        <is>
          <t>2025-12-27</t>
        </is>
      </c>
      <c r="D301" t="inlineStr">
        <is>
          <t>In-App Feedback</t>
        </is>
      </c>
      <c r="E301" t="inlineStr">
        <is>
          <t>Professional</t>
        </is>
      </c>
      <c r="F301" t="inlineStr">
        <is>
          <t>SMB</t>
        </is>
      </c>
      <c r="G301" t="inlineStr">
        <is>
          <t>Contact Management</t>
        </is>
      </c>
      <c r="H301" t="inlineStr">
        <is>
          <t>Bug</t>
        </is>
      </c>
      <c r="I301" t="inlineStr">
        <is>
          <t>The spreadsheet import silently skipped rows and we only noticed days later. So far 27 people on our side have reported it. Let us know if you need examples.</t>
        </is>
      </c>
      <c r="J301" t="inlineStr">
        <is>
          <t>Neutral</t>
        </is>
      </c>
      <c r="K301" t="inlineStr">
        <is>
          <t>Medium</t>
        </is>
      </c>
      <c r="L301" t="inlineStr">
        <is>
          <t>Workflow Slowdown</t>
        </is>
      </c>
    </row>
    <row r="302">
      <c r="A302" t="inlineStr">
        <is>
          <t>FB-00301</t>
        </is>
      </c>
      <c r="B302" t="inlineStr">
        <is>
          <t>CUST-0007</t>
        </is>
      </c>
      <c r="C302" t="inlineStr">
        <is>
          <t>2025-12-28</t>
        </is>
      </c>
      <c r="D302" t="inlineStr">
        <is>
          <t>Feature Request</t>
        </is>
      </c>
      <c r="E302" t="inlineStr">
        <is>
          <t>Professional</t>
        </is>
      </c>
      <c r="F302" t="inlineStr">
        <is>
          <t>SMB</t>
        </is>
      </c>
      <c r="G302" t="inlineStr">
        <is>
          <t>User Interface</t>
        </is>
      </c>
      <c r="H302" t="inlineStr">
        <is>
          <t>Feature Request</t>
        </is>
      </c>
      <c r="I302" t="inlineStr">
        <is>
          <t>Sharing this from our team. Our field reps need mobile call logging to update deals between visits. It affects our lead handoff process every cycle. Happy to join a feedback call.</t>
        </is>
      </c>
      <c r="J302" t="inlineStr">
        <is>
          <t>Neutral</t>
        </is>
      </c>
      <c r="K302" t="inlineStr">
        <is>
          <t>Medium</t>
        </is>
      </c>
      <c r="L302" t="inlineStr">
        <is>
          <t>Minor Inconvenience</t>
        </is>
      </c>
    </row>
    <row r="303">
      <c r="A303" t="inlineStr">
        <is>
          <t>FB-00302</t>
        </is>
      </c>
      <c r="B303" t="inlineStr">
        <is>
          <t>CUST-0413</t>
        </is>
      </c>
      <c r="C303" t="inlineStr">
        <is>
          <t>2025-12-28</t>
        </is>
      </c>
      <c r="D303" t="inlineStr">
        <is>
          <t>Support Ticket</t>
        </is>
      </c>
      <c r="E303" t="inlineStr">
        <is>
          <t>Professional</t>
        </is>
      </c>
      <c r="F303" t="inlineStr">
        <is>
          <t>SMB</t>
        </is>
      </c>
      <c r="G303" t="inlineStr">
        <is>
          <t>Reporting</t>
        </is>
      </c>
      <c r="H303" t="inlineStr">
        <is>
          <t>Bug</t>
        </is>
      </c>
      <c r="I303" t="inlineStr">
        <is>
          <t>FYI for the product team. The report export cuts off rows after a few thousand records. We estimate we lose roughly 30 hours a month on this.</t>
        </is>
      </c>
      <c r="J303" t="inlineStr">
        <is>
          <t>Neutral</t>
        </is>
      </c>
      <c r="K303" t="inlineStr">
        <is>
          <t>High</t>
        </is>
      </c>
      <c r="L303" t="inlineStr">
        <is>
          <t>Blocks Key Task</t>
        </is>
      </c>
    </row>
    <row r="304">
      <c r="A304" t="inlineStr">
        <is>
          <t>FB-00303</t>
        </is>
      </c>
      <c r="B304" t="inlineStr">
        <is>
          <t>CUST-0151</t>
        </is>
      </c>
      <c r="C304" t="inlineStr">
        <is>
          <t>2025-12-28</t>
        </is>
      </c>
      <c r="D304" t="inlineStr">
        <is>
          <t>Customer Survey</t>
        </is>
      </c>
      <c r="E304" t="inlineStr">
        <is>
          <t>Starter</t>
        </is>
      </c>
      <c r="F304" t="inlineStr">
        <is>
          <t>SMB</t>
        </is>
      </c>
      <c r="G304" t="inlineStr">
        <is>
          <t>Contact Management</t>
        </is>
      </c>
      <c r="H304" t="inlineStr">
        <is>
          <t>Bug</t>
        </is>
      </c>
      <c r="I304" t="inlineStr">
        <is>
          <t>Raising this again after our last business review. The import field mapping silently skipped rows and we only noticed days later. Please look into it soon.</t>
        </is>
      </c>
      <c r="J304" t="inlineStr">
        <is>
          <t>Negative</t>
        </is>
      </c>
      <c r="K304" t="inlineStr">
        <is>
          <t>High</t>
        </is>
      </c>
      <c r="L304" t="inlineStr">
        <is>
          <t>Workflow Slowdown</t>
        </is>
      </c>
    </row>
    <row r="305">
      <c r="A305" t="inlineStr">
        <is>
          <t>FB-00304</t>
        </is>
      </c>
      <c r="B305" t="inlineStr">
        <is>
          <t>CUST-0363</t>
        </is>
      </c>
      <c r="C305" t="inlineStr">
        <is>
          <t>2025-12-29</t>
        </is>
      </c>
      <c r="D305" t="inlineStr">
        <is>
          <t>Customer Survey</t>
        </is>
      </c>
      <c r="E305" t="inlineStr">
        <is>
          <t>Professional</t>
        </is>
      </c>
      <c r="F305" t="inlineStr">
        <is>
          <t>Mid-Market</t>
        </is>
      </c>
      <c r="G305" t="inlineStr">
        <is>
          <t>REPORTING</t>
        </is>
      </c>
      <c r="H305" t="inlineStr">
        <is>
          <t>Feature Request</t>
        </is>
      </c>
      <c r="I305" t="inlineStr">
        <is>
          <t>Overall we like the product. We need report scheduling so non-technical managers can create their own views. It happens about 34 times a week for our team of 7.</t>
        </is>
      </c>
      <c r="J305" t="inlineStr">
        <is>
          <t>Positive</t>
        </is>
      </c>
      <c r="K305" t="inlineStr">
        <is>
          <t>LOW</t>
        </is>
      </c>
      <c r="L305" t="inlineStr">
        <is>
          <t>Workflow Slowdown</t>
        </is>
      </c>
    </row>
    <row r="306">
      <c r="A306" t="inlineStr">
        <is>
          <t>FB-00305</t>
        </is>
      </c>
      <c r="B306" t="inlineStr">
        <is>
          <t>CUST-0261</t>
        </is>
      </c>
      <c r="C306" t="inlineStr">
        <is>
          <t>2025-12-29</t>
        </is>
      </c>
      <c r="D306" t="inlineStr">
        <is>
          <t>In-App Feedback</t>
        </is>
      </c>
      <c r="E306" t="inlineStr">
        <is>
          <t>Professional</t>
        </is>
      </c>
      <c r="F306" t="inlineStr">
        <is>
          <t>Enterprise</t>
        </is>
      </c>
      <c r="G306" t="inlineStr">
        <is>
          <t>Contact Management</t>
        </is>
      </c>
      <c r="H306" t="inlineStr">
        <is>
          <t>Feature Request</t>
        </is>
      </c>
      <c r="I306" t="inlineStr">
        <is>
          <t>Please build a bulk contact merge with a preview of what will be combined. Our customer success lead flagged it while onboarding 84 new users. Let us know if you need examples.</t>
        </is>
      </c>
      <c r="J306" t="inlineStr">
        <is>
          <t>Neutral</t>
        </is>
      </c>
      <c r="K306" t="inlineStr">
        <is>
          <t>Medium</t>
        </is>
      </c>
      <c r="L306" t="inlineStr">
        <is>
          <t>Blocks Key Task</t>
        </is>
      </c>
    </row>
    <row r="307">
      <c r="A307" t="inlineStr">
        <is>
          <t>FB-00306</t>
        </is>
      </c>
      <c r="B307" t="inlineStr">
        <is>
          <t>CUST-0268</t>
        </is>
      </c>
      <c r="C307" t="inlineStr">
        <is>
          <t>2025-12-29</t>
        </is>
      </c>
      <c r="D307" t="inlineStr">
        <is>
          <t>Support Ticket</t>
        </is>
      </c>
      <c r="E307" t="inlineStr">
        <is>
          <t>Professional</t>
        </is>
      </c>
      <c r="F307" t="inlineStr">
        <is>
          <t>Enterprise</t>
        </is>
      </c>
      <c r="G307" t="inlineStr">
        <is>
          <t>Integrations</t>
        </is>
      </c>
      <c r="H307" t="inlineStr">
        <is>
          <t>Integration Issue</t>
        </is>
      </c>
      <c r="I307" t="inlineStr">
        <is>
          <t>Sharing this from our team. The Outlook calendar sync duplicates meetings and misses replies. Our finance analyst flagged it while onboarding 46 new users. Happy to join a feedback call.</t>
        </is>
      </c>
      <c r="J307" t="inlineStr">
        <is>
          <t>Neutral</t>
        </is>
      </c>
      <c r="K307" t="inlineStr">
        <is>
          <t>High</t>
        </is>
      </c>
      <c r="L307" t="inlineStr">
        <is>
          <t>Blocks Key Task</t>
        </is>
      </c>
    </row>
    <row r="308">
      <c r="A308" t="inlineStr">
        <is>
          <t>FB-00307</t>
        </is>
      </c>
      <c r="B308" t="inlineStr">
        <is>
          <t>CUST-0181</t>
        </is>
      </c>
      <c r="C308" t="inlineStr">
        <is>
          <t>2025-12-30</t>
        </is>
      </c>
      <c r="D308" t="inlineStr">
        <is>
          <t>In-App Feedback</t>
        </is>
      </c>
      <c r="E308" t="inlineStr">
        <is>
          <t>Starter</t>
        </is>
      </c>
      <c r="F308" t="inlineStr">
        <is>
          <t>SMB</t>
        </is>
      </c>
      <c r="G308" t="inlineStr">
        <is>
          <t>User Interface</t>
        </is>
      </c>
      <c r="H308" t="inlineStr">
        <is>
          <t>Feature Request</t>
        </is>
      </c>
      <c r="I308" t="inlineStr">
        <is>
          <t>Feedback from our monthly review. Please add multi-select actions; changing records one at a time wastes hours. We estimate we lose roughly 23 hours a month on this. Let us know if you need examples.</t>
        </is>
      </c>
      <c r="J308" t="inlineStr">
        <is>
          <t>Neutral</t>
        </is>
      </c>
      <c r="K308" t="inlineStr">
        <is>
          <t>Low</t>
        </is>
      </c>
      <c r="L308" t="inlineStr">
        <is>
          <t>Workflow Slowdown</t>
        </is>
      </c>
    </row>
    <row r="309">
      <c r="A309" t="inlineStr">
        <is>
          <t>FB-00308</t>
        </is>
      </c>
      <c r="B309" t="inlineStr">
        <is>
          <t>CUST-0398</t>
        </is>
      </c>
      <c r="C309" t="inlineStr">
        <is>
          <t>2025-12-30</t>
        </is>
      </c>
      <c r="D309" t="inlineStr">
        <is>
          <t>Support Ticket</t>
        </is>
      </c>
      <c r="E309" t="inlineStr">
        <is>
          <t>Enterprise</t>
        </is>
      </c>
      <c r="F309" t="inlineStr">
        <is>
          <t>Enterprise</t>
        </is>
      </c>
      <c r="G309" t="inlineStr">
        <is>
          <t>Integrations</t>
        </is>
      </c>
      <c r="H309" t="inlineStr">
        <is>
          <t>Integration Issue</t>
        </is>
      </c>
      <c r="I309" t="inlineStr">
        <is>
          <t>This has been a recurring problem for us. Hard to debug: API rate limits fail with vague error codes. Our admin flagged it while onboarding 58 new users. Is there a workaround?</t>
        </is>
      </c>
      <c r="J309" t="inlineStr">
        <is>
          <t>Negative</t>
        </is>
      </c>
      <c r="K309" t="inlineStr">
        <is>
          <t>High</t>
        </is>
      </c>
      <c r="L309" t="inlineStr">
        <is>
          <t>Blocks Key Task</t>
        </is>
      </c>
    </row>
    <row r="310">
      <c r="A310" t="inlineStr">
        <is>
          <t>FB-00309</t>
        </is>
      </c>
      <c r="B310" t="inlineStr">
        <is>
          <t>CUST-0232</t>
        </is>
      </c>
      <c r="C310" t="inlineStr">
        <is>
          <t>2025-12-30</t>
        </is>
      </c>
      <c r="D310" t="inlineStr">
        <is>
          <t>Customer Survey</t>
        </is>
      </c>
      <c r="E310" t="inlineStr">
        <is>
          <t>Enterprise</t>
        </is>
      </c>
      <c r="F310" t="inlineStr">
        <is>
          <t>Mid-Market</t>
        </is>
      </c>
      <c r="G310" t="inlineStr">
        <is>
          <t>Workflow Automation</t>
        </is>
      </c>
      <c r="H310" t="inlineStr">
        <is>
          <t>Bug</t>
        </is>
      </c>
      <c r="I310" t="inlineStr">
        <is>
          <t>We found workflow failures only because a customer complained. We estimate we lose roughly 16 hours a month on this.</t>
        </is>
      </c>
      <c r="J310" t="inlineStr">
        <is>
          <t>Negative</t>
        </is>
      </c>
      <c r="K310" t="inlineStr">
        <is>
          <t>Low</t>
        </is>
      </c>
      <c r="L310" t="inlineStr">
        <is>
          <t>Minor Inconvenience</t>
        </is>
      </c>
    </row>
    <row r="311">
      <c r="A311" t="inlineStr">
        <is>
          <t>FB-00310</t>
        </is>
      </c>
      <c r="B311" t="inlineStr">
        <is>
          <t>CUST-0175</t>
        </is>
      </c>
      <c r="C311" t="inlineStr">
        <is>
          <t>2026-01-01</t>
        </is>
      </c>
      <c r="D311" t="inlineStr">
        <is>
          <t>Customer Survey</t>
        </is>
      </c>
      <c r="E311" t="inlineStr">
        <is>
          <t>Professional</t>
        </is>
      </c>
      <c r="F311" t="inlineStr">
        <is>
          <t>Mid-Market</t>
        </is>
      </c>
      <c r="G311" t="inlineStr">
        <is>
          <t>Reporting</t>
        </is>
      </c>
      <c r="H311" t="inlineStr">
        <is>
          <t>Feature Request</t>
        </is>
      </c>
      <c r="I311" t="inlineStr">
        <is>
          <t>Recent updates have been a nice improvement. Please add forecast rollups; managers keep a separate spreadsheet. Our marketing ops owner flagged it while onboarding 86 new users. Keep up the good work.</t>
        </is>
      </c>
      <c r="J311" t="inlineStr">
        <is>
          <t>Positive</t>
        </is>
      </c>
      <c r="K311" t="inlineStr">
        <is>
          <t>Low</t>
        </is>
      </c>
      <c r="L311" t="inlineStr">
        <is>
          <t>Minor Inconvenience</t>
        </is>
      </c>
    </row>
    <row r="312">
      <c r="A312" t="inlineStr">
        <is>
          <t>FB-00311</t>
        </is>
      </c>
      <c r="B312" t="inlineStr">
        <is>
          <t>CUST-0311</t>
        </is>
      </c>
      <c r="C312" t="inlineStr">
        <is>
          <t>2026-01-01</t>
        </is>
      </c>
      <c r="D312" t="inlineStr">
        <is>
          <t>In-App Feedback</t>
        </is>
      </c>
      <c r="E312" t="inlineStr">
        <is>
          <t>Starter</t>
        </is>
      </c>
      <c r="F312" t="inlineStr">
        <is>
          <t>SMB</t>
        </is>
      </c>
      <c r="G312" t="inlineStr">
        <is>
          <t>Lead Management</t>
        </is>
      </c>
      <c r="H312" t="inlineStr">
        <is>
          <t>Usability Issue</t>
        </is>
      </c>
      <c r="I312" t="inlineStr">
        <is>
          <t>Setting up lead routing rules takes too many steps and the options don't cover territories. Our finance analyst flagged it while onboarding 5 new users.</t>
        </is>
      </c>
      <c r="J312" t="inlineStr">
        <is>
          <t>Negative</t>
        </is>
      </c>
      <c r="K312" t="inlineStr">
        <is>
          <t>Low</t>
        </is>
      </c>
      <c r="L312" t="inlineStr">
        <is>
          <t>Minor Inconvenience</t>
        </is>
      </c>
    </row>
    <row r="313">
      <c r="A313" t="inlineStr">
        <is>
          <t>FB-00312</t>
        </is>
      </c>
      <c r="B313" t="inlineStr">
        <is>
          <t>CUST-0185</t>
        </is>
      </c>
      <c r="C313" t="inlineStr">
        <is>
          <t>2026-01-01</t>
        </is>
      </c>
      <c r="D313" t="inlineStr">
        <is>
          <t>In-App Feedback</t>
        </is>
      </c>
      <c r="E313" t="inlineStr">
        <is>
          <t>Professional</t>
        </is>
      </c>
      <c r="F313" t="inlineStr">
        <is>
          <t>Mid-Market</t>
        </is>
      </c>
      <c r="G313" t="inlineStr">
        <is>
          <t>Workflow Automation</t>
        </is>
      </c>
      <c r="H313" t="inlineStr">
        <is>
          <t>Usability Issue</t>
        </is>
      </c>
      <c r="I313" t="inlineStr">
        <is>
          <t>Quick note from our admin. I can't tell what a branch does in the workflow editor without opening every node. Happy to join a feedback call.</t>
        </is>
      </c>
      <c r="J313" t="inlineStr">
        <is>
          <t>Neutral</t>
        </is>
      </c>
      <c r="K313" t="inlineStr">
        <is>
          <t>Medium</t>
        </is>
      </c>
      <c r="L313" t="inlineStr">
        <is>
          <t>Workflow Slowdown</t>
        </is>
      </c>
    </row>
    <row r="314">
      <c r="A314" t="inlineStr">
        <is>
          <t>FB-00313</t>
        </is>
      </c>
      <c r="B314" t="inlineStr">
        <is>
          <t>CUST-0180</t>
        </is>
      </c>
      <c r="C314" t="inlineStr">
        <is>
          <t>2026-01-01</t>
        </is>
      </c>
      <c r="D314" t="inlineStr">
        <is>
          <t>Support Ticket</t>
        </is>
      </c>
      <c r="E314" t="inlineStr">
        <is>
          <t>Enterprise</t>
        </is>
      </c>
      <c r="F314" t="inlineStr">
        <is>
          <t>Enterprise</t>
        </is>
      </c>
      <c r="G314" t="inlineStr">
        <is>
          <t>Contact Management</t>
        </is>
      </c>
      <c r="H314" t="inlineStr">
        <is>
          <t>Performance Issue</t>
        </is>
      </c>
      <c r="I314" t="inlineStr">
        <is>
          <t>Frustrated with this one. The contact list filtering times out on our largest accounts. Is there a workaround?</t>
        </is>
      </c>
      <c r="J314" t="inlineStr">
        <is>
          <t>Negative</t>
        </is>
      </c>
      <c r="K314" t="inlineStr">
        <is>
          <t>Medium</t>
        </is>
      </c>
      <c r="L314" t="inlineStr">
        <is>
          <t>Blocks Key Task</t>
        </is>
      </c>
    </row>
    <row r="315">
      <c r="A315" t="inlineStr">
        <is>
          <t>FB-00314</t>
        </is>
      </c>
      <c r="B315" t="inlineStr">
        <is>
          <t>CUST-0334</t>
        </is>
      </c>
      <c r="C315" t="inlineStr">
        <is>
          <t>2026-01-01</t>
        </is>
      </c>
      <c r="D315" t="inlineStr">
        <is>
          <t>Support Ticket</t>
        </is>
      </c>
      <c r="E315" t="inlineStr">
        <is>
          <t>Enterprise</t>
        </is>
      </c>
      <c r="F315" t="inlineStr">
        <is>
          <t>SMB</t>
        </is>
      </c>
      <c r="G315" t="inlineStr">
        <is>
          <t>Integrations</t>
        </is>
      </c>
      <c r="H315" t="inlineStr">
        <is>
          <t>Integration Issue</t>
        </is>
      </c>
      <c r="I315" t="inlineStr">
        <is>
          <t>Raising this again after our last business review. We keep hitting webhook delivery during nightly syncs with our data warehouse. It happens about 14 times a week for our team of 89.</t>
        </is>
      </c>
      <c r="J315" t="inlineStr">
        <is>
          <t>Negative</t>
        </is>
      </c>
      <c r="K315" t="inlineStr">
        <is>
          <t>Medium</t>
        </is>
      </c>
      <c r="L315" t="inlineStr">
        <is>
          <t>Workflow Slowdown</t>
        </is>
      </c>
    </row>
    <row r="316">
      <c r="A316" t="inlineStr">
        <is>
          <t>FB-00315</t>
        </is>
      </c>
      <c r="B316" t="inlineStr">
        <is>
          <t>CUST-0034</t>
        </is>
      </c>
      <c r="C316" t="inlineStr">
        <is>
          <t>2026-01-01</t>
        </is>
      </c>
      <c r="D316" t="inlineStr">
        <is>
          <t>Support Ticket</t>
        </is>
      </c>
      <c r="E316" t="inlineStr">
        <is>
          <t>Professional</t>
        </is>
      </c>
      <c r="F316" t="inlineStr">
        <is>
          <t>Mid-Market</t>
        </is>
      </c>
      <c r="G316" t="inlineStr">
        <is>
          <t>Workflow Automation</t>
        </is>
      </c>
      <c r="H316" t="inlineStr">
        <is>
          <t>Feature Request</t>
        </is>
      </c>
      <c r="I316" t="inlineStr">
        <is>
          <t>Competitors ship automation recipes; we are rebuilding the same flows from scratch. Our finance analyst flagged it while onboarding 105 new users.</t>
        </is>
      </c>
      <c r="J316" t="inlineStr">
        <is>
          <t>Neutral</t>
        </is>
      </c>
      <c r="K316" t="inlineStr">
        <is>
          <t>Medium</t>
        </is>
      </c>
      <c r="L316" t="inlineStr">
        <is>
          <t>Workflow Slowdown</t>
        </is>
      </c>
    </row>
    <row r="317">
      <c r="A317" t="inlineStr">
        <is>
          <t>FB-00316</t>
        </is>
      </c>
      <c r="B317" t="inlineStr">
        <is>
          <t>CUST-0188</t>
        </is>
      </c>
      <c r="C317" t="inlineStr">
        <is>
          <t>2026-01-02</t>
        </is>
      </c>
      <c r="D317" t="inlineStr">
        <is>
          <t>Support Ticket</t>
        </is>
      </c>
      <c r="E317" t="inlineStr">
        <is>
          <t>Enterprise</t>
        </is>
      </c>
      <c r="F317" t="inlineStr">
        <is>
          <t>Mid-Market</t>
        </is>
      </c>
      <c r="G317" t="inlineStr">
        <is>
          <t>Workflow Automation</t>
        </is>
      </c>
      <c r="H317" t="inlineStr">
        <is>
          <t>Feature Request</t>
        </is>
      </c>
      <c r="I317" t="inlineStr">
        <is>
          <t>FYI for the product team. Competitors ship automation recipes; we are rebuilding the same flows from scratch. It happens about 24 times a week for our team of 69.</t>
        </is>
      </c>
      <c r="J317" t="inlineStr">
        <is>
          <t>Neutral</t>
        </is>
      </c>
      <c r="K317" t="inlineStr">
        <is>
          <t>Low</t>
        </is>
      </c>
      <c r="L317" t="inlineStr">
        <is>
          <t>Minor Inconvenience</t>
        </is>
      </c>
    </row>
    <row r="318">
      <c r="A318" t="inlineStr">
        <is>
          <t>FB-00317</t>
        </is>
      </c>
      <c r="B318" t="inlineStr">
        <is>
          <t>CUST-0206</t>
        </is>
      </c>
      <c r="C318" t="inlineStr">
        <is>
          <t>2026-01-02</t>
        </is>
      </c>
      <c r="D318" t="inlineStr">
        <is>
          <t>Customer Survey</t>
        </is>
      </c>
      <c r="E318" t="inlineStr">
        <is>
          <t>Professional</t>
        </is>
      </c>
      <c r="F318" t="inlineStr">
        <is>
          <t>Mid-Market</t>
        </is>
      </c>
      <c r="G318" t="inlineStr">
        <is>
          <t>User Interface</t>
        </is>
      </c>
      <c r="H318" t="inlineStr">
        <is>
          <t>Feature Request</t>
        </is>
      </c>
      <c r="I318" t="inlineStr">
        <is>
          <t>Our field reps need a mobile app to update deals between visits. We estimate we lose roughly 4 hours a month on this. Is there a workaround?</t>
        </is>
      </c>
      <c r="J318" t="inlineStr">
        <is>
          <t>Negative</t>
        </is>
      </c>
      <c r="K318" t="inlineStr">
        <is>
          <t>Medium</t>
        </is>
      </c>
      <c r="L318" t="inlineStr">
        <is>
          <t>Workflow Slowdown</t>
        </is>
      </c>
    </row>
    <row r="319">
      <c r="A319" t="inlineStr">
        <is>
          <t>FB-00318</t>
        </is>
      </c>
      <c r="B319" t="inlineStr">
        <is>
          <t>CUST-0194</t>
        </is>
      </c>
      <c r="C319" t="inlineStr">
        <is>
          <t>2026-01-03</t>
        </is>
      </c>
      <c r="D319" t="inlineStr">
        <is>
          <t>Customer Survey</t>
        </is>
      </c>
      <c r="E319" t="inlineStr">
        <is>
          <t>Starter</t>
        </is>
      </c>
      <c r="F319" t="inlineStr">
        <is>
          <t>SMB</t>
        </is>
      </c>
      <c r="G319" t="inlineStr">
        <is>
          <t>Reporting</t>
        </is>
      </c>
      <c r="H319" t="inlineStr">
        <is>
          <t>Feature Request</t>
        </is>
      </c>
      <c r="I319" t="inlineStr">
        <is>
          <t>Frustrated with this one. We need quota tracking by team and region for quarterly planning. Please look into it soon.</t>
        </is>
      </c>
      <c r="J319" t="inlineStr">
        <is>
          <t>Negative</t>
        </is>
      </c>
      <c r="K319" t="inlineStr">
        <is>
          <t>Low</t>
        </is>
      </c>
      <c r="L319" t="inlineStr">
        <is>
          <t>Minor Inconvenience</t>
        </is>
      </c>
    </row>
    <row r="320">
      <c r="A320" t="inlineStr">
        <is>
          <t>FB-00319</t>
        </is>
      </c>
      <c r="B320" t="inlineStr">
        <is>
          <t>CUST-0133</t>
        </is>
      </c>
      <c r="C320" t="inlineStr">
        <is>
          <t>2026-01-03</t>
        </is>
      </c>
      <c r="D320" t="inlineStr">
        <is>
          <t>Customer Survey</t>
        </is>
      </c>
      <c r="E320" t="inlineStr">
        <is>
          <t>Professional</t>
        </is>
      </c>
      <c r="F320" t="inlineStr">
        <is>
          <t>Mid-Market</t>
        </is>
      </c>
      <c r="G320" t="inlineStr">
        <is>
          <t>Integrations</t>
        </is>
      </c>
      <c r="H320" t="inlineStr">
        <is>
          <t>Integration Issue</t>
        </is>
      </c>
      <c r="I320" t="inlineStr">
        <is>
          <t>Escalating on behalf of our ops lead. Reps no longer trust email sync, so they log activity by hand. We estimate we lose roughly 18 hours a month on this. Support suggested logging it here.</t>
        </is>
      </c>
      <c r="J320" t="inlineStr">
        <is>
          <t>Negative</t>
        </is>
      </c>
      <c r="K320" t="inlineStr">
        <is>
          <t>High</t>
        </is>
      </c>
      <c r="L320" t="inlineStr">
        <is>
          <t>Revenue/Operations Risk</t>
        </is>
      </c>
    </row>
    <row r="321">
      <c r="A321" t="inlineStr">
        <is>
          <t>FB-00320</t>
        </is>
      </c>
      <c r="B321" t="inlineStr">
        <is>
          <t>CUST-0400</t>
        </is>
      </c>
      <c r="C321" t="inlineStr">
        <is>
          <t>2026-01-04</t>
        </is>
      </c>
      <c r="D321" t="inlineStr">
        <is>
          <t>Support Ticket</t>
        </is>
      </c>
      <c r="E321" t="inlineStr">
        <is>
          <t>Starter</t>
        </is>
      </c>
      <c r="F321" t="inlineStr">
        <is>
          <t>SMB</t>
        </is>
      </c>
      <c r="G321" t="inlineStr">
        <is>
          <t>Contact Management</t>
        </is>
      </c>
      <c r="H321" t="inlineStr">
        <is>
          <t>Bug</t>
        </is>
      </c>
      <c r="I321" t="inlineStr">
        <is>
          <t>The contact CSV import rejects files with accented characters in names. It affects our lead handoff process every cycle.</t>
        </is>
      </c>
      <c r="J321" t="inlineStr">
        <is>
          <t>Negative</t>
        </is>
      </c>
      <c r="K321" t="inlineStr">
        <is>
          <t>Medium</t>
        </is>
      </c>
      <c r="L321" t="inlineStr">
        <is>
          <t>Workflow Slowdown</t>
        </is>
      </c>
    </row>
    <row r="322">
      <c r="A322" t="inlineStr">
        <is>
          <t>FB-00321</t>
        </is>
      </c>
      <c r="B322" t="inlineStr">
        <is>
          <t>CUST-0312</t>
        </is>
      </c>
      <c r="C322" t="inlineStr">
        <is>
          <t>2026-01-04</t>
        </is>
      </c>
      <c r="D322" t="inlineStr">
        <is>
          <t>Feature Request</t>
        </is>
      </c>
      <c r="E322" t="inlineStr">
        <is>
          <t>Professional</t>
        </is>
      </c>
      <c r="F322" t="inlineStr">
        <is>
          <t>Mid-Market</t>
        </is>
      </c>
      <c r="G322" t="inlineStr">
        <is>
          <t>User Interface</t>
        </is>
      </c>
      <c r="H322" t="inlineStr">
        <is>
          <t>Feature Request</t>
        </is>
      </c>
      <c r="I322" t="inlineStr">
        <is>
          <t>Overall we like the product. Our field reps need a mobile app to update deals between visits. So far 90 people on our side have reported it. Happy to beta test.</t>
        </is>
      </c>
      <c r="J322" t="inlineStr">
        <is>
          <t>Positive</t>
        </is>
      </c>
      <c r="K322" t="inlineStr">
        <is>
          <t>Medium</t>
        </is>
      </c>
      <c r="L322" t="inlineStr">
        <is>
          <t>Workflow Slowdown</t>
        </is>
      </c>
    </row>
    <row r="323">
      <c r="A323" t="inlineStr">
        <is>
          <t>FB-00322</t>
        </is>
      </c>
      <c r="B323" t="inlineStr">
        <is>
          <t>CUST-0361</t>
        </is>
      </c>
      <c r="C323" t="inlineStr">
        <is>
          <t>2026-01-05</t>
        </is>
      </c>
      <c r="D323" t="inlineStr">
        <is>
          <t>In-App Feedback</t>
        </is>
      </c>
      <c r="E323" t="inlineStr">
        <is>
          <t>Professional</t>
        </is>
      </c>
      <c r="F323" t="inlineStr">
        <is>
          <t>Mid-Market</t>
        </is>
      </c>
      <c r="G323" t="inlineStr">
        <is>
          <t>User Interface</t>
        </is>
      </c>
      <c r="H323" t="inlineStr">
        <is>
          <t>Usability Issue</t>
        </is>
      </c>
      <c r="I323" t="inlineStr">
        <is>
          <t>This has been a recurring problem for us. New hires get lost in the page layout; it takes weeks to learn. We need a fix before renewal.</t>
        </is>
      </c>
      <c r="J323" t="inlineStr">
        <is>
          <t>Negative</t>
        </is>
      </c>
      <c r="K323" t="inlineStr">
        <is>
          <t>Medium</t>
        </is>
      </c>
      <c r="L323" t="inlineStr">
        <is>
          <t>Blocks Key Task</t>
        </is>
      </c>
    </row>
    <row r="324">
      <c r="A324" t="inlineStr">
        <is>
          <t>FB-00323</t>
        </is>
      </c>
      <c r="B324" t="inlineStr">
        <is>
          <t>CUST-0128</t>
        </is>
      </c>
      <c r="C324" t="inlineStr">
        <is>
          <t>2026-01-05</t>
        </is>
      </c>
      <c r="D324" t="inlineStr">
        <is>
          <t>Feature Request</t>
        </is>
      </c>
      <c r="E324" t="inlineStr">
        <is>
          <t>Professional</t>
        </is>
      </c>
      <c r="F324" t="inlineStr">
        <is>
          <t>SMB</t>
        </is>
      </c>
      <c r="G324" t="inlineStr">
        <is>
          <t>Workflow Automation</t>
        </is>
      </c>
      <c r="H324" t="inlineStr">
        <is>
          <t>Feature Request</t>
        </is>
      </c>
      <c r="I324" t="inlineStr">
        <is>
          <t>Competitors ship automation recipes; we are rebuilding the same flows from scratch. It affects our weekly pipeline review process every cycle. Thanks to the team.</t>
        </is>
      </c>
      <c r="J324" t="inlineStr">
        <is>
          <t>Positive</t>
        </is>
      </c>
      <c r="K324" t="inlineStr">
        <is>
          <t>Low</t>
        </is>
      </c>
      <c r="L324" t="inlineStr">
        <is>
          <t>Minor Inconvenience</t>
        </is>
      </c>
    </row>
    <row r="325">
      <c r="A325" t="inlineStr">
        <is>
          <t>FB-00324</t>
        </is>
      </c>
      <c r="B325" t="inlineStr">
        <is>
          <t>CUST-0286</t>
        </is>
      </c>
      <c r="C325" t="inlineStr">
        <is>
          <t>2026-01-05</t>
        </is>
      </c>
      <c r="D325" t="inlineStr">
        <is>
          <t>Feature Request</t>
        </is>
      </c>
      <c r="E325" t="inlineStr">
        <is>
          <t>Enterprise</t>
        </is>
      </c>
      <c r="F325" t="inlineStr">
        <is>
          <t>Enterprise</t>
        </is>
      </c>
      <c r="G325" t="inlineStr">
        <is>
          <t>Contact Management</t>
        </is>
      </c>
      <c r="H325" t="inlineStr">
        <is>
          <t>Feature Request</t>
        </is>
      </c>
      <c r="I325" t="inlineStr">
        <is>
          <t>Requesting a contact relationship hierarchy so account managers can see who reports to whom.</t>
        </is>
      </c>
      <c r="J325" t="inlineStr">
        <is>
          <t>Negative</t>
        </is>
      </c>
      <c r="K325" t="inlineStr">
        <is>
          <t>Low</t>
        </is>
      </c>
      <c r="L325" t="inlineStr">
        <is>
          <t>Workflow Slowdown</t>
        </is>
      </c>
    </row>
    <row r="326">
      <c r="A326" t="inlineStr">
        <is>
          <t>FB-00325</t>
        </is>
      </c>
      <c r="B326" t="inlineStr">
        <is>
          <t>CUST-0339</t>
        </is>
      </c>
      <c r="C326" t="inlineStr">
        <is>
          <t>2026-01-05</t>
        </is>
      </c>
      <c r="D326" t="inlineStr">
        <is>
          <t>Customer Survey</t>
        </is>
      </c>
      <c r="E326" t="inlineStr">
        <is>
          <t>Professional</t>
        </is>
      </c>
      <c r="F326" t="inlineStr">
        <is>
          <t>Mid-Market</t>
        </is>
      </c>
      <c r="G326" t="inlineStr">
        <is>
          <t>Workflow Automation</t>
        </is>
      </c>
      <c r="H326" t="inlineStr">
        <is>
          <t>Feature Request</t>
        </is>
      </c>
      <c r="I326" t="inlineStr">
        <is>
          <t>Feedback from our monthly review. Competitors ship automation recipes; we are rebuilding the same flows from scratch. So far 6 people on our side have reported it.</t>
        </is>
      </c>
      <c r="J326" t="inlineStr">
        <is>
          <t>Neutral</t>
        </is>
      </c>
      <c r="K326" t="inlineStr">
        <is>
          <t>Low</t>
        </is>
      </c>
      <c r="L326" t="inlineStr">
        <is>
          <t>Blocks Key Task</t>
        </is>
      </c>
    </row>
    <row r="327">
      <c r="A327" t="inlineStr">
        <is>
          <t>FB-00326</t>
        </is>
      </c>
      <c r="B327" t="inlineStr">
        <is>
          <t>CUST-0187</t>
        </is>
      </c>
      <c r="C327" t="inlineStr">
        <is>
          <t>2026-01-06</t>
        </is>
      </c>
      <c r="D327" t="inlineStr">
        <is>
          <t>Support Ticket</t>
        </is>
      </c>
      <c r="E327" t="inlineStr">
        <is>
          <t>Enterprise</t>
        </is>
      </c>
      <c r="F327" t="inlineStr">
        <is>
          <t>Mid-Market</t>
        </is>
      </c>
      <c r="G327" t="inlineStr">
        <is>
          <t>Integrations</t>
        </is>
      </c>
      <c r="H327" t="inlineStr">
        <is>
          <t>Integration Issue</t>
        </is>
      </c>
      <c r="I327" t="inlineStr">
        <is>
          <t>Frustrated with this one. Our integration partner flagged webhook delivery as a risk for the project. Our sales manager flagged it while onboarding 99 new users.</t>
        </is>
      </c>
      <c r="J327" t="inlineStr">
        <is>
          <t>Negative</t>
        </is>
      </c>
      <c r="K327" t="inlineStr">
        <is>
          <t>Medium</t>
        </is>
      </c>
      <c r="L327" t="inlineStr">
        <is>
          <t>Workflow Slowdown</t>
        </is>
      </c>
    </row>
    <row r="328">
      <c r="A328" t="inlineStr">
        <is>
          <t>FB-00327</t>
        </is>
      </c>
      <c r="B328" t="inlineStr">
        <is>
          <t>CUST-0044</t>
        </is>
      </c>
      <c r="C328" t="inlineStr">
        <is>
          <t>2026-01-06</t>
        </is>
      </c>
      <c r="D328" t="inlineStr">
        <is>
          <t>Feature Request</t>
        </is>
      </c>
      <c r="E328" t="inlineStr">
        <is>
          <t>Enterprise</t>
        </is>
      </c>
      <c r="F328" t="inlineStr">
        <is>
          <t>Enterprise</t>
        </is>
      </c>
      <c r="G328" t="inlineStr">
        <is>
          <t>Reporting</t>
        </is>
      </c>
      <c r="H328" t="inlineStr">
        <is>
          <t>Feature Request</t>
        </is>
      </c>
      <c r="I328" t="inlineStr">
        <is>
          <t>Overall we like the product. Without a custom report builder we export raw data and rebuild everything elsewhere. So far 99 people on our side have reported it.</t>
        </is>
      </c>
      <c r="J328" t="inlineStr">
        <is>
          <t>Positive</t>
        </is>
      </c>
      <c r="K328" t="inlineStr">
        <is>
          <t>Low</t>
        </is>
      </c>
      <c r="L328" t="inlineStr">
        <is>
          <t>Minor Inconvenience</t>
        </is>
      </c>
    </row>
    <row r="329">
      <c r="A329" t="inlineStr">
        <is>
          <t>FB-00328</t>
        </is>
      </c>
      <c r="B329" t="inlineStr">
        <is>
          <t>CUST-0107</t>
        </is>
      </c>
      <c r="C329" t="inlineStr">
        <is>
          <t>06-Jan-2026</t>
        </is>
      </c>
      <c r="D329" t="inlineStr">
        <is>
          <t>Support Ticket</t>
        </is>
      </c>
      <c r="E329" t="inlineStr">
        <is>
          <t>Starter</t>
        </is>
      </c>
      <c r="F329" t="inlineStr">
        <is>
          <t>SMB</t>
        </is>
      </c>
      <c r="G329" t="inlineStr">
        <is>
          <t>Lead Management</t>
        </is>
      </c>
      <c r="H329" t="inlineStr">
        <is>
          <t>Bug</t>
        </is>
      </c>
      <c r="I329" t="inlineStr">
        <is>
          <t>There are duplicated leads across our pipeline views and nobody knows which record is the source of truth. So far 39 people on our side have reported it. Is there a workaround?</t>
        </is>
      </c>
      <c r="J329" t="inlineStr">
        <is>
          <t>Negative</t>
        </is>
      </c>
      <c r="K329" t="inlineStr">
        <is>
          <t>Medium</t>
        </is>
      </c>
      <c r="L329" t="inlineStr">
        <is>
          <t>Workflow Slowdown</t>
        </is>
      </c>
    </row>
    <row r="330">
      <c r="A330" t="inlineStr">
        <is>
          <t>FB-00329</t>
        </is>
      </c>
      <c r="B330" t="inlineStr">
        <is>
          <t>CUST-0326</t>
        </is>
      </c>
      <c r="C330" t="inlineStr">
        <is>
          <t>2026-01-06</t>
        </is>
      </c>
      <c r="D330" t="inlineStr">
        <is>
          <t>Support Ticket</t>
        </is>
      </c>
      <c r="E330" t="inlineStr">
        <is>
          <t>Starter</t>
        </is>
      </c>
      <c r="F330" t="inlineStr">
        <is>
          <t>SMB</t>
        </is>
      </c>
      <c r="G330" t="inlineStr">
        <is>
          <t>Lead Management</t>
        </is>
      </c>
      <c r="H330" t="inlineStr">
        <is>
          <t>Bug</t>
        </is>
      </c>
      <c r="I330" t="inlineStr">
        <is>
          <t>After every list import we find lead de-duplication failures that have to be cleaned up by hand. We need a fix before renewal.</t>
        </is>
      </c>
      <c r="J330" t="inlineStr">
        <is>
          <t>Negative</t>
        </is>
      </c>
      <c r="K330" t="inlineStr">
        <is>
          <t>Medium</t>
        </is>
      </c>
      <c r="L330" t="inlineStr">
        <is>
          <t>Blocks Key Task</t>
        </is>
      </c>
    </row>
    <row r="331">
      <c r="A331" t="inlineStr">
        <is>
          <t>FB-00330</t>
        </is>
      </c>
      <c r="B331" t="inlineStr">
        <is>
          <t>CUST-0420</t>
        </is>
      </c>
      <c r="C331" t="inlineStr">
        <is>
          <t>2026-01-07</t>
        </is>
      </c>
      <c r="D331" t="inlineStr">
        <is>
          <t>Support Ticket</t>
        </is>
      </c>
      <c r="E331" t="inlineStr">
        <is>
          <t>Enterprise</t>
        </is>
      </c>
      <c r="F331" t="inlineStr">
        <is>
          <t>Enterprise</t>
        </is>
      </c>
      <c r="G331" t="inlineStr">
        <is>
          <t>Workflow Automation</t>
        </is>
      </c>
      <c r="H331" t="inlineStr">
        <is>
          <t>Feature Request</t>
        </is>
      </c>
      <c r="I331" t="inlineStr">
        <is>
          <t>Sharing this from our team. Competitors ship automation recipes; we are rebuilding the same flows from scratch. So far 63 people on our side have reported it. Let us know if you need examples.</t>
        </is>
      </c>
      <c r="J331" t="inlineStr">
        <is>
          <t>Neutral</t>
        </is>
      </c>
      <c r="K331" t="inlineStr">
        <is>
          <t>Low</t>
        </is>
      </c>
      <c r="L331" t="inlineStr">
        <is>
          <t>Minor Inconvenience</t>
        </is>
      </c>
    </row>
    <row r="332">
      <c r="A332" t="inlineStr">
        <is>
          <t>FB-00331</t>
        </is>
      </c>
      <c r="B332" t="inlineStr">
        <is>
          <t>CUST-0146</t>
        </is>
      </c>
      <c r="C332" t="inlineStr">
        <is>
          <t>2026-01-07</t>
        </is>
      </c>
      <c r="D332" t="inlineStr">
        <is>
          <t>Feature Request</t>
        </is>
      </c>
      <c r="E332" t="inlineStr">
        <is>
          <t>Starter</t>
        </is>
      </c>
      <c r="F332" t="inlineStr">
        <is>
          <t>SMB</t>
        </is>
      </c>
      <c r="G332" t="inlineStr">
        <is>
          <t>Reporting</t>
        </is>
      </c>
      <c r="H332" t="inlineStr">
        <is>
          <t>Performance Issue</t>
        </is>
      </c>
      <c r="I332" t="inlineStr">
        <is>
          <t>This has been a recurring problem for us. Execs gave up on the report load time and ask for screenshots instead. We estimate we lose roughly 46 hours a month on this. We need a fix before renewal.</t>
        </is>
      </c>
      <c r="J332" t="inlineStr">
        <is>
          <t>Negative</t>
        </is>
      </c>
      <c r="K332" t="inlineStr">
        <is>
          <t>Medium</t>
        </is>
      </c>
      <c r="L332" t="inlineStr">
        <is>
          <t>Minor Inconvenience</t>
        </is>
      </c>
    </row>
    <row r="333">
      <c r="A333" t="inlineStr">
        <is>
          <t>FB-00332</t>
        </is>
      </c>
      <c r="B333" t="inlineStr">
        <is>
          <t>CUST-0409</t>
        </is>
      </c>
      <c r="C333" t="inlineStr">
        <is>
          <t>2026-01-08</t>
        </is>
      </c>
      <c r="D333" t="inlineStr">
        <is>
          <t>In-App Feedback</t>
        </is>
      </c>
      <c r="E333" t="inlineStr">
        <is>
          <t>Starter</t>
        </is>
      </c>
      <c r="F333" t="inlineStr">
        <is>
          <t>SMB</t>
        </is>
      </c>
      <c r="G333" t="inlineStr">
        <is>
          <t>Contact Management</t>
        </is>
      </c>
      <c r="H333" t="inlineStr">
        <is>
          <t>Bug</t>
        </is>
      </c>
      <c r="I333" t="inlineStr">
        <is>
          <t>Raising this again after our last business review. Our import field mapping scrambles phone and email columns even after we map them correctly. Our finance analyst flagged it while onboarding 60 new users. Please look into it soon.</t>
        </is>
      </c>
      <c r="J333" t="inlineStr">
        <is>
          <t>Negative</t>
        </is>
      </c>
      <c r="K333" t="inlineStr">
        <is>
          <t>High</t>
        </is>
      </c>
      <c r="L333" t="inlineStr">
        <is>
          <t>Blocks Key Task</t>
        </is>
      </c>
    </row>
    <row r="334">
      <c r="A334" t="inlineStr">
        <is>
          <t>FB-00333</t>
        </is>
      </c>
      <c r="B334" t="inlineStr">
        <is>
          <t>CUST-0229</t>
        </is>
      </c>
      <c r="C334" t="inlineStr">
        <is>
          <t>2026-01-08</t>
        </is>
      </c>
      <c r="D334" t="inlineStr">
        <is>
          <t>Feature Request</t>
        </is>
      </c>
      <c r="E334" t="inlineStr">
        <is>
          <t>Starter</t>
        </is>
      </c>
      <c r="F334" t="inlineStr">
        <is>
          <t>Mid-Market</t>
        </is>
      </c>
      <c r="G334" t="inlineStr">
        <is>
          <t>Workflow Automation</t>
        </is>
      </c>
      <c r="H334" t="inlineStr">
        <is>
          <t>Feature Request</t>
        </is>
      </c>
      <c r="I334" t="inlineStr">
        <is>
          <t>Recent updates have been a nice improvement. We'd adopt automation faster with automation recipes we could customize. Our RevOps lead flagged it while onboarding 91 new users.</t>
        </is>
      </c>
      <c r="J334" t="inlineStr">
        <is>
          <t>Positive</t>
        </is>
      </c>
      <c r="K334" t="inlineStr">
        <is>
          <t>Low</t>
        </is>
      </c>
      <c r="L334" t="inlineStr">
        <is>
          <t>Minor Inconvenience</t>
        </is>
      </c>
    </row>
    <row r="335">
      <c r="A335" t="inlineStr">
        <is>
          <t>FB-00334</t>
        </is>
      </c>
      <c r="B335" t="inlineStr">
        <is>
          <t>CUST-0181</t>
        </is>
      </c>
      <c r="C335" t="inlineStr">
        <is>
          <t>2026-01-08</t>
        </is>
      </c>
      <c r="D335" t="inlineStr">
        <is>
          <t>Customer Survey</t>
        </is>
      </c>
      <c r="E335" t="inlineStr">
        <is>
          <t>Starter</t>
        </is>
      </c>
      <c r="F335" t="inlineStr">
        <is>
          <t>SMB</t>
        </is>
      </c>
      <c r="G335" t="inlineStr">
        <is>
          <t>Integrations</t>
        </is>
      </c>
      <c r="H335" t="inlineStr">
        <is>
          <t>Feature Request</t>
        </is>
      </c>
      <c r="I335" t="inlineStr">
        <is>
          <t>Our team keeps running into this. We would pay for a native Slack integration instead of maintaining Zapier chains. It happens about 12 times a week for our team of 95. We need a fix before renewal.</t>
        </is>
      </c>
      <c r="J335" t="inlineStr">
        <is>
          <t>Negative</t>
        </is>
      </c>
      <c r="K335" t="inlineStr">
        <is>
          <t>Low</t>
        </is>
      </c>
      <c r="L335" t="inlineStr">
        <is>
          <t>Minor Inconvenience</t>
        </is>
      </c>
    </row>
    <row r="336">
      <c r="A336" t="inlineStr">
        <is>
          <t>FB-00335</t>
        </is>
      </c>
      <c r="B336" t="inlineStr">
        <is>
          <t>CUST-0175</t>
        </is>
      </c>
      <c r="C336" t="inlineStr">
        <is>
          <t>2026-01-09</t>
        </is>
      </c>
      <c r="D336" t="inlineStr">
        <is>
          <t>In-App Feedback</t>
        </is>
      </c>
      <c r="E336" t="inlineStr">
        <is>
          <t>Professional</t>
        </is>
      </c>
      <c r="F336" t="inlineStr">
        <is>
          <t>Mid-Market</t>
        </is>
      </c>
      <c r="G336" t="inlineStr">
        <is>
          <t>User Interface</t>
        </is>
      </c>
      <c r="H336" t="inlineStr">
        <is>
          <t>Performance Issue</t>
        </is>
      </c>
      <c r="I336" t="inlineStr">
        <is>
          <t>Our team keeps running into this. Since the redesign there is more UI freezing on older laptops. Please look into it soon.</t>
        </is>
      </c>
      <c r="J336" t="inlineStr">
        <is>
          <t>Negative</t>
        </is>
      </c>
      <c r="K336" t="inlineStr">
        <is>
          <t>Medium</t>
        </is>
      </c>
      <c r="L336" t="inlineStr">
        <is>
          <t>Blocks Key Task</t>
        </is>
      </c>
    </row>
    <row r="337">
      <c r="A337" t="inlineStr">
        <is>
          <t>FB-00336</t>
        </is>
      </c>
      <c r="B337" t="inlineStr">
        <is>
          <t>CUST-0353</t>
        </is>
      </c>
      <c r="C337" t="inlineStr">
        <is>
          <t>2026-01-09</t>
        </is>
      </c>
      <c r="D337" t="inlineStr">
        <is>
          <t>in-app feedback</t>
        </is>
      </c>
      <c r="E337" t="inlineStr">
        <is>
          <t>Starter</t>
        </is>
      </c>
      <c r="F337" t="inlineStr">
        <is>
          <t>SMB</t>
        </is>
      </c>
      <c r="G337" t="inlineStr">
        <is>
          <t>User Interface</t>
        </is>
      </c>
      <c r="H337" t="inlineStr">
        <is>
          <t>Performance Issue</t>
        </is>
      </c>
      <c r="I337" t="inlineStr">
        <is>
          <t>Since the redesign there is more slow page transitions on older laptops. It happens about 8 times a week for our team of 35. We need a fix before renewal.</t>
        </is>
      </c>
      <c r="J337" t="inlineStr">
        <is>
          <t>Negative</t>
        </is>
      </c>
      <c r="K337" t="inlineStr">
        <is>
          <t>Low</t>
        </is>
      </c>
      <c r="L337" t="inlineStr">
        <is>
          <t>Minor Inconvenience</t>
        </is>
      </c>
    </row>
    <row r="338">
      <c r="A338" t="inlineStr">
        <is>
          <t>FB-00337</t>
        </is>
      </c>
      <c r="B338" t="inlineStr">
        <is>
          <t>CUST-0398</t>
        </is>
      </c>
      <c r="C338" t="inlineStr">
        <is>
          <t>2026-01-09</t>
        </is>
      </c>
      <c r="D338" t="inlineStr">
        <is>
          <t>In-App Feedback</t>
        </is>
      </c>
      <c r="E338" t="inlineStr">
        <is>
          <t>Enterprise</t>
        </is>
      </c>
      <c r="F338" t="inlineStr">
        <is>
          <t>Enterprise</t>
        </is>
      </c>
      <c r="G338" t="inlineStr">
        <is>
          <t>Workflow Automation</t>
        </is>
      </c>
      <c r="H338" t="inlineStr">
        <is>
          <t>Usability Issue</t>
        </is>
      </c>
      <c r="I338" t="inlineStr">
        <is>
          <t>The workflow editor is hard to follow once a flow has more than a handful of steps. It affects our lead handoff process every cycle.</t>
        </is>
      </c>
      <c r="J338" t="inlineStr">
        <is>
          <t>Negative</t>
        </is>
      </c>
      <c r="K338" t="inlineStr">
        <is>
          <t>Medium</t>
        </is>
      </c>
      <c r="L338" t="inlineStr">
        <is>
          <t>Minor Inconvenience</t>
        </is>
      </c>
    </row>
    <row r="339">
      <c r="A339" t="inlineStr">
        <is>
          <t>FB-00338</t>
        </is>
      </c>
      <c r="B339" t="inlineStr">
        <is>
          <t>CUST-0032</t>
        </is>
      </c>
      <c r="C339" t="inlineStr">
        <is>
          <t>2026-01-09</t>
        </is>
      </c>
      <c r="D339" t="inlineStr">
        <is>
          <t>In-App Feedback</t>
        </is>
      </c>
      <c r="E339" t="inlineStr">
        <is>
          <t>Starter</t>
        </is>
      </c>
      <c r="F339" t="inlineStr">
        <is>
          <t>SMB</t>
        </is>
      </c>
      <c r="G339" t="inlineStr">
        <is>
          <t>Contact Management</t>
        </is>
      </c>
      <c r="H339" t="inlineStr">
        <is>
          <t>Bug</t>
        </is>
      </c>
      <c r="I339" t="inlineStr">
        <is>
          <t>Raising this again after our last business review. The import field mapping silently skipped rows and we only noticed days later. Please look into it soon.</t>
        </is>
      </c>
      <c r="J339" t="inlineStr">
        <is>
          <t>Negative</t>
        </is>
      </c>
      <c r="K339" t="inlineStr">
        <is>
          <t>Medium</t>
        </is>
      </c>
      <c r="L339" t="inlineStr">
        <is>
          <t>Blocks Key Task</t>
        </is>
      </c>
    </row>
    <row r="340">
      <c r="A340" t="inlineStr">
        <is>
          <t>FB-00339</t>
        </is>
      </c>
      <c r="B340" t="inlineStr">
        <is>
          <t>CUST-0080</t>
        </is>
      </c>
      <c r="C340" t="inlineStr">
        <is>
          <t>2026-01-09</t>
        </is>
      </c>
      <c r="D340" t="inlineStr">
        <is>
          <t>Support Ticket</t>
        </is>
      </c>
      <c r="E340" t="inlineStr">
        <is>
          <t>Professional</t>
        </is>
      </c>
      <c r="F340" t="inlineStr">
        <is>
          <t>Mid-Market</t>
        </is>
      </c>
      <c r="G340" t="inlineStr">
        <is>
          <t>Reporting</t>
        </is>
      </c>
      <c r="H340" t="inlineStr">
        <is>
          <t>Bug</t>
        </is>
      </c>
      <c r="I340" t="inlineStr">
        <is>
          <t>Our Excel export drops formatting and shows dates as numbers. Our marketing ops owner flagged it while onboarding 60 new users. Please look into it soon.</t>
        </is>
      </c>
      <c r="J340" t="inlineStr">
        <is>
          <t>Negative</t>
        </is>
      </c>
      <c r="K340" t="inlineStr">
        <is>
          <t>Medium</t>
        </is>
      </c>
      <c r="L340" t="inlineStr">
        <is>
          <t>Workflow Slowdown</t>
        </is>
      </c>
    </row>
    <row r="341">
      <c r="A341" t="inlineStr">
        <is>
          <t>FB-00340</t>
        </is>
      </c>
      <c r="B341" t="inlineStr">
        <is>
          <t>CUST-0384</t>
        </is>
      </c>
      <c r="C341" t="inlineStr">
        <is>
          <t>2026-01-09</t>
        </is>
      </c>
      <c r="D341" t="inlineStr">
        <is>
          <t>Customer Survey</t>
        </is>
      </c>
      <c r="E341" t="inlineStr">
        <is>
          <t>Enterprise</t>
        </is>
      </c>
      <c r="F341" t="inlineStr">
        <is>
          <t>Mid-Market</t>
        </is>
      </c>
      <c r="G341" t="inlineStr">
        <is>
          <t>Workflow Automation</t>
        </is>
      </c>
      <c r="H341" t="inlineStr">
        <is>
          <t>Feature Request</t>
        </is>
      </c>
      <c r="I341" t="inlineStr">
        <is>
          <t>We'd adopt automation faster with prebuilt automations we could customize. So far 46 people on our side have reported it.</t>
        </is>
      </c>
      <c r="J341" t="inlineStr">
        <is>
          <t>Neutral</t>
        </is>
      </c>
      <c r="K341" t="inlineStr">
        <is>
          <t>High</t>
        </is>
      </c>
      <c r="L341" t="inlineStr">
        <is>
          <t>Blocks Key Task</t>
        </is>
      </c>
    </row>
    <row r="342">
      <c r="A342" t="inlineStr">
        <is>
          <t>FB-00341</t>
        </is>
      </c>
      <c r="B342" t="inlineStr">
        <is>
          <t>CUST-0092</t>
        </is>
      </c>
      <c r="C342" t="inlineStr">
        <is>
          <t>2026-01-10</t>
        </is>
      </c>
      <c r="D342" t="inlineStr">
        <is>
          <t>In-App Feedback</t>
        </is>
      </c>
      <c r="E342" t="inlineStr">
        <is>
          <t>Professional</t>
        </is>
      </c>
      <c r="F342" t="inlineStr">
        <is>
          <t>MID-MARKET</t>
        </is>
      </c>
      <c r="G342" t="inlineStr">
        <is>
          <t>Contact Management</t>
        </is>
      </c>
      <c r="H342" t="inlineStr">
        <is>
          <t>Bug</t>
        </is>
      </c>
      <c r="I342" t="inlineStr">
        <is>
          <t>Noting this during onboarding. The contact CSV import fails halfway through with a generic error and no row-level detail. Our customer success lead flagged it while onboarding 112 new users. Happy to join a feedback call.</t>
        </is>
      </c>
      <c r="J342" t="inlineStr">
        <is>
          <t>Neutral</t>
        </is>
      </c>
      <c r="K342" t="inlineStr">
        <is>
          <t>High</t>
        </is>
      </c>
      <c r="L342" t="inlineStr">
        <is>
          <t>Workflow Slowdown</t>
        </is>
      </c>
    </row>
    <row r="343">
      <c r="A343" t="inlineStr">
        <is>
          <t>FB-00342</t>
        </is>
      </c>
      <c r="B343" t="inlineStr">
        <is>
          <t>CUST-0032</t>
        </is>
      </c>
      <c r="C343" t="inlineStr">
        <is>
          <t>2026-01-10</t>
        </is>
      </c>
      <c r="D343" t="inlineStr">
        <is>
          <t>Support Ticket</t>
        </is>
      </c>
      <c r="E343" t="inlineStr">
        <is>
          <t>Starter</t>
        </is>
      </c>
      <c r="F343" t="inlineStr">
        <is>
          <t>SMB</t>
        </is>
      </c>
      <c r="G343" t="inlineStr">
        <is>
          <t>Lead Management</t>
        </is>
      </c>
      <c r="H343" t="inlineStr">
        <is>
          <t>Usability Issue</t>
        </is>
      </c>
      <c r="I343" t="inlineStr">
        <is>
          <t>Our team keeps running into this. It is hard to understand how lead assignment settings decide who owns a lead. Our customer success lead flagged it while onboarding 22 new users. Please look into it soon.</t>
        </is>
      </c>
      <c r="J343" t="inlineStr">
        <is>
          <t>Negative</t>
        </is>
      </c>
      <c r="K343" t="inlineStr">
        <is>
          <t>Low</t>
        </is>
      </c>
      <c r="L343" t="inlineStr">
        <is>
          <t>Minor Inconvenience</t>
        </is>
      </c>
    </row>
    <row r="344">
      <c r="A344" t="inlineStr">
        <is>
          <t>FB-00343</t>
        </is>
      </c>
      <c r="B344" t="inlineStr">
        <is>
          <t>CUST-0107</t>
        </is>
      </c>
      <c r="C344" t="inlineStr">
        <is>
          <t>2026-01-10</t>
        </is>
      </c>
      <c r="D344" t="inlineStr">
        <is>
          <t>Support Ticket</t>
        </is>
      </c>
      <c r="E344" t="inlineStr">
        <is>
          <t>starter</t>
        </is>
      </c>
      <c r="F344" t="inlineStr">
        <is>
          <t>SMB</t>
        </is>
      </c>
      <c r="G344" t="inlineStr">
        <is>
          <t>Contact Management</t>
        </is>
      </c>
      <c r="H344" t="inlineStr">
        <is>
          <t>Performance Issue</t>
        </is>
      </c>
      <c r="I344" t="inlineStr">
        <is>
          <t>Feedback from our monthly review. Our saved contact filters is slow and often returns stale results right after an update.</t>
        </is>
      </c>
      <c r="J344" t="inlineStr">
        <is>
          <t>Neutral</t>
        </is>
      </c>
      <c r="K344" t="inlineStr">
        <is>
          <t>Low</t>
        </is>
      </c>
      <c r="L344" t="inlineStr">
        <is>
          <t>Minor Inconvenience</t>
        </is>
      </c>
    </row>
    <row r="345">
      <c r="A345" t="inlineStr">
        <is>
          <t>FB-00344</t>
        </is>
      </c>
      <c r="B345" t="inlineStr">
        <is>
          <t>CUST-0298</t>
        </is>
      </c>
      <c r="C345" t="inlineStr">
        <is>
          <t>2026-01-10</t>
        </is>
      </c>
      <c r="D345" t="inlineStr">
        <is>
          <t>Support Ticket</t>
        </is>
      </c>
      <c r="E345" t="inlineStr">
        <is>
          <t>Professional</t>
        </is>
      </c>
      <c r="F345" t="inlineStr">
        <is>
          <t>SMB</t>
        </is>
      </c>
      <c r="G345" t="inlineStr">
        <is>
          <t>Lead Management</t>
        </is>
      </c>
      <c r="H345" t="inlineStr">
        <is>
          <t>Bug</t>
        </is>
      </c>
      <c r="I345" t="inlineStr">
        <is>
          <t>Web form submissions keep creating lead de-duplication failures, and reps end up calling the same prospect twice. So far 71 people on our side have reported it. We need a fix before renewal.</t>
        </is>
      </c>
      <c r="J345" t="inlineStr">
        <is>
          <t>Negative</t>
        </is>
      </c>
      <c r="K345" t="inlineStr">
        <is>
          <t>Medium</t>
        </is>
      </c>
      <c r="L345" t="inlineStr">
        <is>
          <t>Minor Inconvenience</t>
        </is>
      </c>
    </row>
    <row r="346">
      <c r="A346" t="inlineStr">
        <is>
          <t>FB-00345</t>
        </is>
      </c>
      <c r="B346" t="inlineStr">
        <is>
          <t>CUST-0178</t>
        </is>
      </c>
      <c r="C346" t="inlineStr">
        <is>
          <t>2026-01-10</t>
        </is>
      </c>
      <c r="D346" t="inlineStr">
        <is>
          <t>Support Ticket</t>
        </is>
      </c>
      <c r="E346" t="inlineStr">
        <is>
          <t>Starter</t>
        </is>
      </c>
      <c r="F346" t="inlineStr">
        <is>
          <t>SMB</t>
        </is>
      </c>
      <c r="G346" t="inlineStr">
        <is>
          <t>Lead Management</t>
        </is>
      </c>
      <c r="H346" t="inlineStr">
        <is>
          <t>Bug</t>
        </is>
      </c>
      <c r="I346" t="inlineStr">
        <is>
          <t>Not what we expected for the price. Web form submissions keep creating lead de-duplication failures, and reps end up calling the same prospect twice. We estimate we lose roughly 58 hours a month on this. Support suggested logging it here.</t>
        </is>
      </c>
      <c r="J346" t="inlineStr">
        <is>
          <t>Negative</t>
        </is>
      </c>
      <c r="K346" t="inlineStr">
        <is>
          <t>Medium</t>
        </is>
      </c>
      <c r="L346" t="inlineStr">
        <is>
          <t>Minor Inconvenience</t>
        </is>
      </c>
    </row>
    <row r="347">
      <c r="A347" t="inlineStr">
        <is>
          <t>FB-00346</t>
        </is>
      </c>
      <c r="B347" t="inlineStr">
        <is>
          <t>CUST-0096</t>
        </is>
      </c>
      <c r="C347" t="inlineStr">
        <is>
          <t>10-Jan-2026</t>
        </is>
      </c>
      <c r="D347" t="inlineStr">
        <is>
          <t>Support Ticket</t>
        </is>
      </c>
      <c r="E347" t="inlineStr">
        <is>
          <t>Enterprise</t>
        </is>
      </c>
      <c r="F347" t="inlineStr">
        <is>
          <t>Enterprise</t>
        </is>
      </c>
      <c r="G347" t="inlineStr">
        <is>
          <t>Integrations</t>
        </is>
      </c>
      <c r="H347" t="inlineStr">
        <is>
          <t>Feature Request</t>
        </is>
      </c>
      <c r="I347" t="inlineStr">
        <is>
          <t>FYI for the product team. Our security team requires SSO support before we can expand seats. So far 51 people on our side have reported it. Let us know if you need examples.</t>
        </is>
      </c>
      <c r="J347" t="inlineStr">
        <is>
          <t>Neutral</t>
        </is>
      </c>
      <c r="K347" t="inlineStr">
        <is>
          <t>Low</t>
        </is>
      </c>
      <c r="L347" t="inlineStr">
        <is>
          <t>Workflow Slowdown</t>
        </is>
      </c>
    </row>
    <row r="348">
      <c r="A348" t="inlineStr">
        <is>
          <t>FB-00347</t>
        </is>
      </c>
      <c r="B348" t="inlineStr">
        <is>
          <t>CUST-0220</t>
        </is>
      </c>
      <c r="C348" t="inlineStr">
        <is>
          <t>2026-01-10</t>
        </is>
      </c>
      <c r="D348" t="inlineStr">
        <is>
          <t>In-App Feedback</t>
        </is>
      </c>
      <c r="E348" t="inlineStr">
        <is>
          <t>Professional</t>
        </is>
      </c>
      <c r="F348" t="inlineStr">
        <is>
          <t>Mid-Market</t>
        </is>
      </c>
      <c r="G348" t="inlineStr">
        <is>
          <t>Contact Management</t>
        </is>
      </c>
      <c r="H348" t="inlineStr">
        <is>
          <t>Bug</t>
        </is>
      </c>
      <c r="I348" t="inlineStr">
        <is>
          <t>The contact CSV import rejects files with accented characters in names. Support suggested logging it here.</t>
        </is>
      </c>
      <c r="J348" t="inlineStr">
        <is>
          <t>Negative</t>
        </is>
      </c>
      <c r="K348" t="inlineStr">
        <is>
          <t>Low</t>
        </is>
      </c>
      <c r="L348" t="inlineStr">
        <is>
          <t>Minor Inconvenience</t>
        </is>
      </c>
    </row>
    <row r="349">
      <c r="A349" t="inlineStr">
        <is>
          <t>FB-00348</t>
        </is>
      </c>
      <c r="B349" t="inlineStr">
        <is>
          <t>CUST-0262</t>
        </is>
      </c>
      <c r="C349" t="inlineStr">
        <is>
          <t>2026-01-11</t>
        </is>
      </c>
      <c r="D349" t="inlineStr">
        <is>
          <t>Feature Request</t>
        </is>
      </c>
      <c r="E349" t="inlineStr">
        <is>
          <t>Professional</t>
        </is>
      </c>
      <c r="F349" t="inlineStr">
        <is>
          <t>Mid-Market</t>
        </is>
      </c>
      <c r="G349" t="inlineStr">
        <is>
          <t>Reporting</t>
        </is>
      </c>
      <c r="H349" t="inlineStr">
        <is>
          <t>Feature Request</t>
        </is>
      </c>
      <c r="I349" t="inlineStr">
        <is>
          <t>Without report scheduling we export raw data and rebuild everything elsewhere. We estimate we lose roughly 37 hours a month on this. Happy to join a feedback call.</t>
        </is>
      </c>
      <c r="J349" t="inlineStr">
        <is>
          <t>Neutral</t>
        </is>
      </c>
      <c r="K349" t="inlineStr">
        <is>
          <t>High</t>
        </is>
      </c>
      <c r="L349" t="inlineStr">
        <is>
          <t>Blocks Key Task</t>
        </is>
      </c>
    </row>
    <row r="350">
      <c r="A350" t="inlineStr">
        <is>
          <t>FB-00349</t>
        </is>
      </c>
      <c r="B350" t="inlineStr">
        <is>
          <t>CUST-0202</t>
        </is>
      </c>
      <c r="C350" t="inlineStr">
        <is>
          <t>2026-01-12</t>
        </is>
      </c>
      <c r="D350" t="inlineStr">
        <is>
          <t>In-App Feedback</t>
        </is>
      </c>
      <c r="E350" t="inlineStr">
        <is>
          <t>Enterprise</t>
        </is>
      </c>
      <c r="F350" t="inlineStr">
        <is>
          <t>Enterprise</t>
        </is>
      </c>
      <c r="G350" t="inlineStr">
        <is>
          <t>Reporting</t>
        </is>
      </c>
      <c r="H350" t="inlineStr">
        <is>
          <t>Feature Request</t>
        </is>
      </c>
      <c r="I350" t="inlineStr">
        <is>
          <t>Requesting report scheduling so leadership gets numbers without logging in. Please look into it soon.</t>
        </is>
      </c>
      <c r="J350" t="inlineStr">
        <is>
          <t>Negative</t>
        </is>
      </c>
      <c r="K350" t="inlineStr">
        <is>
          <t>High</t>
        </is>
      </c>
      <c r="L350" t="inlineStr">
        <is>
          <t>Blocks Key Task</t>
        </is>
      </c>
    </row>
    <row r="351">
      <c r="A351" t="inlineStr">
        <is>
          <t>FB-00350</t>
        </is>
      </c>
      <c r="B351" t="inlineStr">
        <is>
          <t>CUST-0139</t>
        </is>
      </c>
      <c r="C351" t="inlineStr">
        <is>
          <t>2026-01-12</t>
        </is>
      </c>
      <c r="D351" t="inlineStr">
        <is>
          <t>Support Ticket</t>
        </is>
      </c>
      <c r="E351" t="inlineStr">
        <is>
          <t>PROFESSIONAL</t>
        </is>
      </c>
      <c r="F351" t="inlineStr">
        <is>
          <t>Mid-Market</t>
        </is>
      </c>
      <c r="G351" t="inlineStr">
        <is>
          <t>Integrations</t>
        </is>
      </c>
      <c r="H351" t="inlineStr">
        <is>
          <t>Integration Issue</t>
        </is>
      </c>
      <c r="I351" t="inlineStr">
        <is>
          <t>After the token expires, Gmail sync stops with no warning. It happens about 10 times a week for our team of 48. We need a fix before renewal.</t>
        </is>
      </c>
      <c r="J351" t="inlineStr">
        <is>
          <t>Negative</t>
        </is>
      </c>
      <c r="K351" t="inlineStr">
        <is>
          <t>Low</t>
        </is>
      </c>
      <c r="L351" t="inlineStr">
        <is>
          <t>Minor Inconvenience</t>
        </is>
      </c>
    </row>
    <row r="352">
      <c r="A352" t="inlineStr">
        <is>
          <t>FB-00351</t>
        </is>
      </c>
      <c r="B352" t="inlineStr">
        <is>
          <t>CUST-0193</t>
        </is>
      </c>
      <c r="C352" t="inlineStr">
        <is>
          <t>2026-01-12</t>
        </is>
      </c>
      <c r="D352" t="inlineStr">
        <is>
          <t>In-App Feedback</t>
        </is>
      </c>
      <c r="E352" t="inlineStr">
        <is>
          <t>Starter</t>
        </is>
      </c>
      <c r="F352" t="inlineStr">
        <is>
          <t>SMB</t>
        </is>
      </c>
      <c r="G352" t="inlineStr">
        <is>
          <t>Contact Management</t>
        </is>
      </c>
      <c r="H352" t="inlineStr">
        <is>
          <t>Performance Issue</t>
        </is>
      </c>
      <c r="I352" t="inlineStr">
        <is>
          <t>Raising this again after our last business review. The saved contact filters times out on our largest accounts. We estimate we lose roughly 44 hours a month on this. Is there a workaround?</t>
        </is>
      </c>
      <c r="J352" t="inlineStr">
        <is>
          <t>Negative</t>
        </is>
      </c>
      <c r="K352" t="inlineStr">
        <is>
          <t>Medium</t>
        </is>
      </c>
      <c r="L352" t="inlineStr">
        <is>
          <t>Workflow Slowdown</t>
        </is>
      </c>
    </row>
    <row r="353">
      <c r="A353" t="inlineStr">
        <is>
          <t>FB-00352</t>
        </is>
      </c>
      <c r="B353" t="inlineStr">
        <is>
          <t>CUST-0164</t>
        </is>
      </c>
      <c r="C353" t="inlineStr">
        <is>
          <t>2026-01-12</t>
        </is>
      </c>
      <c r="D353" t="inlineStr">
        <is>
          <t>in-app feedback</t>
        </is>
      </c>
      <c r="E353" t="inlineStr">
        <is>
          <t>Starter</t>
        </is>
      </c>
      <c r="F353" t="inlineStr">
        <is>
          <t>SMB</t>
        </is>
      </c>
      <c r="G353" t="inlineStr">
        <is>
          <t>Workflow Automation</t>
        </is>
      </c>
      <c r="H353" t="inlineStr">
        <is>
          <t>Usability Issue</t>
        </is>
      </c>
      <c r="I353" t="inlineStr">
        <is>
          <t>FYI for the product team. Our new admins struggle with the workflow builder; there is no guidance or validation. We estimate we lose roughly 30 hours a month on this.</t>
        </is>
      </c>
      <c r="J353" t="inlineStr">
        <is>
          <t>Neutral</t>
        </is>
      </c>
      <c r="K353" t="inlineStr">
        <is>
          <t>Medium</t>
        </is>
      </c>
      <c r="L353" t="inlineStr">
        <is>
          <t>Revenue/Operations Risk</t>
        </is>
      </c>
    </row>
    <row r="354">
      <c r="A354" t="inlineStr">
        <is>
          <t>FB-00353</t>
        </is>
      </c>
      <c r="B354" t="inlineStr">
        <is>
          <t>CUST-0303</t>
        </is>
      </c>
      <c r="C354" t="inlineStr">
        <is>
          <t>13-Jan-2026</t>
        </is>
      </c>
      <c r="D354" t="inlineStr">
        <is>
          <t>Feature Request</t>
        </is>
      </c>
      <c r="E354" t="inlineStr">
        <is>
          <t>Professional</t>
        </is>
      </c>
      <c r="F354" t="inlineStr">
        <is>
          <t>Enterprise</t>
        </is>
      </c>
      <c r="G354" t="inlineStr">
        <is>
          <t>User Interface</t>
        </is>
      </c>
      <c r="H354" t="inlineStr">
        <is>
          <t>Feature Request</t>
        </is>
      </c>
      <c r="I354" t="inlineStr">
        <is>
          <t>Feedback from our monthly review. We need multi-select actions to update owners and stages for many records at once.</t>
        </is>
      </c>
      <c r="J354" t="inlineStr">
        <is>
          <t>Neutral</t>
        </is>
      </c>
      <c r="K354" t="inlineStr">
        <is>
          <t>Low</t>
        </is>
      </c>
    </row>
    <row r="355">
      <c r="A355" t="inlineStr">
        <is>
          <t>FB-00354</t>
        </is>
      </c>
      <c r="B355" t="inlineStr">
        <is>
          <t>CUST-0080</t>
        </is>
      </c>
      <c r="C355" t="inlineStr">
        <is>
          <t>2026-01-13</t>
        </is>
      </c>
      <c r="D355" t="inlineStr">
        <is>
          <t>In-App Feedback</t>
        </is>
      </c>
      <c r="E355" t="inlineStr">
        <is>
          <t>Professional</t>
        </is>
      </c>
      <c r="F355" t="inlineStr">
        <is>
          <t>Mid-Market</t>
        </is>
      </c>
      <c r="G355" t="inlineStr">
        <is>
          <t>Workflow Automation</t>
        </is>
      </c>
      <c r="H355" t="inlineStr">
        <is>
          <t>Feature Request</t>
        </is>
      </c>
      <c r="I355" t="inlineStr">
        <is>
          <t>Competitors ship workflow templates; we are rebuilding the same flows from scratch.</t>
        </is>
      </c>
      <c r="J355" t="inlineStr">
        <is>
          <t>Neutral</t>
        </is>
      </c>
      <c r="K355" t="inlineStr">
        <is>
          <t>Low</t>
        </is>
      </c>
      <c r="L355" t="inlineStr">
        <is>
          <t>Workflow Slowdown</t>
        </is>
      </c>
    </row>
    <row r="356">
      <c r="A356" t="inlineStr">
        <is>
          <t>FB-00355</t>
        </is>
      </c>
      <c r="B356" t="inlineStr">
        <is>
          <t>CUST-0099</t>
        </is>
      </c>
      <c r="C356" t="inlineStr">
        <is>
          <t>2026-01-14</t>
        </is>
      </c>
      <c r="D356" t="inlineStr">
        <is>
          <t>Feature Request</t>
        </is>
      </c>
      <c r="E356" t="inlineStr">
        <is>
          <t>Starter</t>
        </is>
      </c>
      <c r="F356" t="inlineStr">
        <is>
          <t>Mid-Market</t>
        </is>
      </c>
      <c r="G356" t="inlineStr">
        <is>
          <t>User Interface</t>
        </is>
      </c>
      <c r="H356" t="inlineStr">
        <is>
          <t>Feature Request</t>
        </is>
      </c>
      <c r="I356" t="inlineStr">
        <is>
          <t>Noting this during onboarding. Requesting a mobile app so reps can log activity right after a meeting. Our RevOps lead flagged it while onboarding 70 new users.</t>
        </is>
      </c>
      <c r="J356" t="inlineStr">
        <is>
          <t>Neutral</t>
        </is>
      </c>
      <c r="K356" t="inlineStr">
        <is>
          <t>Low</t>
        </is>
      </c>
      <c r="L356" t="inlineStr">
        <is>
          <t>Minor Inconvenience</t>
        </is>
      </c>
    </row>
    <row r="357">
      <c r="A357" t="inlineStr">
        <is>
          <t>FB-00356</t>
        </is>
      </c>
      <c r="B357" t="inlineStr">
        <is>
          <t>CUST-0314</t>
        </is>
      </c>
      <c r="C357" t="inlineStr">
        <is>
          <t>2026-01-14</t>
        </is>
      </c>
      <c r="D357" t="inlineStr">
        <is>
          <t>Customer Survey</t>
        </is>
      </c>
      <c r="E357" t="inlineStr">
        <is>
          <t>Enterprise</t>
        </is>
      </c>
      <c r="F357" t="inlineStr">
        <is>
          <t xml:space="preserve">Mid-Market </t>
        </is>
      </c>
      <c r="G357" t="inlineStr">
        <is>
          <t>Contact Management</t>
        </is>
      </c>
      <c r="H357" t="inlineStr">
        <is>
          <t>Feature Request</t>
        </is>
      </c>
      <c r="I357" t="inlineStr">
        <is>
          <t>Sharing this from our team. Lacking custom contact fields forces us to keep a parallel spreadsheet. It affects our weekly pipeline review process every cycle. Let us know if you need examples.</t>
        </is>
      </c>
      <c r="J357" t="inlineStr">
        <is>
          <t>Neutral</t>
        </is>
      </c>
      <c r="K357" t="inlineStr">
        <is>
          <t>Low</t>
        </is>
      </c>
      <c r="L357" t="inlineStr">
        <is>
          <t>Minor Inconvenience</t>
        </is>
      </c>
    </row>
    <row r="358">
      <c r="A358" t="inlineStr">
        <is>
          <t>FB-00357</t>
        </is>
      </c>
      <c r="B358" t="inlineStr">
        <is>
          <t>CUST-0128</t>
        </is>
      </c>
      <c r="C358" t="inlineStr">
        <is>
          <t>2026-01-14</t>
        </is>
      </c>
      <c r="D358" t="inlineStr">
        <is>
          <t>In-App Feedback</t>
        </is>
      </c>
      <c r="E358" t="inlineStr">
        <is>
          <t>Professional</t>
        </is>
      </c>
      <c r="F358" t="inlineStr">
        <is>
          <t>SMB</t>
        </is>
      </c>
      <c r="G358" t="inlineStr">
        <is>
          <t>Reporting</t>
        </is>
      </c>
      <c r="H358" t="inlineStr">
        <is>
          <t>Feature Request</t>
        </is>
      </c>
      <c r="I358" t="inlineStr">
        <is>
          <t>Raising this again after our last business review. Please add forecast rollups; managers keep a separate spreadsheet. Our marketing ops owner flagged it while onboarding 90 new users.</t>
        </is>
      </c>
      <c r="J358" t="inlineStr">
        <is>
          <t xml:space="preserve">Negative </t>
        </is>
      </c>
      <c r="K358" t="inlineStr">
        <is>
          <t>High</t>
        </is>
      </c>
      <c r="L358" t="inlineStr">
        <is>
          <t>Blocks Key Task</t>
        </is>
      </c>
    </row>
    <row r="359">
      <c r="A359" t="inlineStr">
        <is>
          <t>FB-00358</t>
        </is>
      </c>
      <c r="B359" t="inlineStr">
        <is>
          <t>CUST-0201</t>
        </is>
      </c>
      <c r="C359" t="inlineStr">
        <is>
          <t>2026-01-15</t>
        </is>
      </c>
      <c r="D359" t="inlineStr">
        <is>
          <t>Support Ticket</t>
        </is>
      </c>
      <c r="E359" t="inlineStr">
        <is>
          <t>Starter</t>
        </is>
      </c>
      <c r="F359" t="inlineStr">
        <is>
          <t>SMB</t>
        </is>
      </c>
      <c r="G359" t="inlineStr">
        <is>
          <t>User Interface</t>
        </is>
      </c>
      <c r="H359" t="inlineStr">
        <is>
          <t>Feature Request</t>
        </is>
      </c>
      <c r="I359" t="inlineStr">
        <is>
          <t>Frustrated with this one. Please prioritize offline mobile access; the mobile web view is hard to use. So far 113 people on our side have reported it. We need a fix before renewal.</t>
        </is>
      </c>
      <c r="J359" t="inlineStr">
        <is>
          <t>Negative</t>
        </is>
      </c>
      <c r="K359" t="inlineStr">
        <is>
          <t>Medium</t>
        </is>
      </c>
      <c r="L359" t="inlineStr">
        <is>
          <t>Blocks Key Task</t>
        </is>
      </c>
    </row>
    <row r="360">
      <c r="A360" t="inlineStr">
        <is>
          <t>FB-00359</t>
        </is>
      </c>
      <c r="B360" t="inlineStr">
        <is>
          <t>CUST-0063</t>
        </is>
      </c>
      <c r="C360" t="inlineStr">
        <is>
          <t>2026-01-15</t>
        </is>
      </c>
      <c r="D360" t="inlineStr">
        <is>
          <t>In-App Feedback</t>
        </is>
      </c>
      <c r="E360" t="inlineStr">
        <is>
          <t>Starter</t>
        </is>
      </c>
      <c r="F360" t="inlineStr">
        <is>
          <t>SMB</t>
        </is>
      </c>
      <c r="G360" t="inlineStr">
        <is>
          <t>Workflow Automation</t>
        </is>
      </c>
      <c r="H360" t="inlineStr">
        <is>
          <t>Usability Issue</t>
        </is>
      </c>
      <c r="I360" t="inlineStr">
        <is>
          <t>Recent updates have been a nice improvement. The workflow builder is hard to follow once a flow has more than a handful of steps. Happy to beta test.</t>
        </is>
      </c>
      <c r="J360" t="inlineStr">
        <is>
          <t>Positive</t>
        </is>
      </c>
      <c r="K360" t="inlineStr">
        <is>
          <t>Low</t>
        </is>
      </c>
      <c r="L360" t="inlineStr">
        <is>
          <t>Minor Inconvenience</t>
        </is>
      </c>
    </row>
    <row r="361">
      <c r="A361" t="inlineStr">
        <is>
          <t>FB-00360</t>
        </is>
      </c>
      <c r="B361" t="inlineStr">
        <is>
          <t>CUST-0075</t>
        </is>
      </c>
      <c r="C361" t="inlineStr">
        <is>
          <t>2026-01-15</t>
        </is>
      </c>
      <c r="D361" t="inlineStr">
        <is>
          <t>Customer Survey</t>
        </is>
      </c>
      <c r="E361" t="inlineStr">
        <is>
          <t>Professional</t>
        </is>
      </c>
      <c r="F361" t="inlineStr">
        <is>
          <t>Enterprise</t>
        </is>
      </c>
      <c r="G361" t="inlineStr">
        <is>
          <t>Workflow Automation</t>
        </is>
      </c>
      <c r="H361" t="inlineStr">
        <is>
          <t>Feature Request</t>
        </is>
      </c>
      <c r="I361" t="inlineStr">
        <is>
          <t>A library of workflow templates would cut our setup time.</t>
        </is>
      </c>
      <c r="J361" t="inlineStr">
        <is>
          <t>Neutral</t>
        </is>
      </c>
      <c r="K361" t="inlineStr">
        <is>
          <t>Low</t>
        </is>
      </c>
      <c r="L361" t="inlineStr">
        <is>
          <t>Minor Inconvenience</t>
        </is>
      </c>
    </row>
    <row r="362">
      <c r="A362" t="inlineStr">
        <is>
          <t>FB-00361</t>
        </is>
      </c>
      <c r="B362" t="inlineStr">
        <is>
          <t>CUST-0239</t>
        </is>
      </c>
      <c r="C362" t="inlineStr">
        <is>
          <t>2026-01-16</t>
        </is>
      </c>
      <c r="D362" t="inlineStr">
        <is>
          <t>Support Ticket</t>
        </is>
      </c>
      <c r="E362" t="inlineStr">
        <is>
          <t>Professional</t>
        </is>
      </c>
      <c r="F362" t="inlineStr">
        <is>
          <t>Mid-Market</t>
        </is>
      </c>
      <c r="G362" t="inlineStr">
        <is>
          <t>Contact Management</t>
        </is>
      </c>
      <c r="H362" t="inlineStr">
        <is>
          <t>Performance Issue</t>
        </is>
      </c>
      <c r="I362" t="inlineStr">
        <is>
          <t>This has been a recurring problem for us. We avoid contact list filtering during calls because it takes too long. Please look into it soon.</t>
        </is>
      </c>
      <c r="J362" t="inlineStr">
        <is>
          <t>Negative</t>
        </is>
      </c>
      <c r="K362" t="inlineStr">
        <is>
          <t>Low</t>
        </is>
      </c>
      <c r="L362" t="inlineStr">
        <is>
          <t>Blocks Key Task</t>
        </is>
      </c>
    </row>
    <row r="363">
      <c r="A363" t="inlineStr">
        <is>
          <t>FB-00362</t>
        </is>
      </c>
      <c r="B363" t="inlineStr">
        <is>
          <t>CUST-0129</t>
        </is>
      </c>
      <c r="C363" t="inlineStr">
        <is>
          <t>2026-01-16</t>
        </is>
      </c>
      <c r="D363" t="inlineStr">
        <is>
          <t>Customer Survey</t>
        </is>
      </c>
      <c r="E363" t="inlineStr">
        <is>
          <t>Professional</t>
        </is>
      </c>
      <c r="F363" t="inlineStr">
        <is>
          <t>Enterprise</t>
        </is>
      </c>
      <c r="G363" t="inlineStr">
        <is>
          <t>Reporting</t>
        </is>
      </c>
      <c r="H363" t="inlineStr">
        <is>
          <t>Performance Issue</t>
        </is>
      </c>
      <c r="I363" t="inlineStr">
        <is>
          <t>Feedback from our monthly review. Execs gave up on the report load time and ask for screenshots instead. It happens about 20 times a week for our team of 48.</t>
        </is>
      </c>
      <c r="J363" t="inlineStr">
        <is>
          <t>Neutral</t>
        </is>
      </c>
      <c r="K363" t="inlineStr">
        <is>
          <t>Medium</t>
        </is>
      </c>
      <c r="L363" t="inlineStr">
        <is>
          <t>Workflow Slowdown</t>
        </is>
      </c>
    </row>
    <row r="364">
      <c r="A364" t="inlineStr">
        <is>
          <t>FB-00363</t>
        </is>
      </c>
      <c r="B364" t="inlineStr">
        <is>
          <t>CUST-0311</t>
        </is>
      </c>
      <c r="C364" t="inlineStr">
        <is>
          <t>2026-01-16</t>
        </is>
      </c>
      <c r="D364" t="inlineStr">
        <is>
          <t>In-App Feedback</t>
        </is>
      </c>
      <c r="E364" t="inlineStr">
        <is>
          <t>Starter</t>
        </is>
      </c>
      <c r="F364" t="inlineStr">
        <is>
          <t>SMB</t>
        </is>
      </c>
      <c r="G364" t="inlineStr">
        <is>
          <t>Workflow Automation</t>
        </is>
      </c>
      <c r="H364" t="inlineStr">
        <is>
          <t>Usability Issue</t>
        </is>
      </c>
      <c r="I364" t="inlineStr">
        <is>
          <t>Raising this again after our last business review. The automation canvas doesn't let us copy steps between flows. So far 93 people on our side have reported it.</t>
        </is>
      </c>
      <c r="J364" t="inlineStr">
        <is>
          <t>Negative</t>
        </is>
      </c>
      <c r="K364" t="inlineStr">
        <is>
          <t>Medium</t>
        </is>
      </c>
      <c r="L364" t="inlineStr">
        <is>
          <t>Minor Inconvenience</t>
        </is>
      </c>
    </row>
    <row r="365">
      <c r="A365" t="inlineStr">
        <is>
          <t>FB-00364</t>
        </is>
      </c>
      <c r="B365" t="inlineStr">
        <is>
          <t>CUST-0249</t>
        </is>
      </c>
      <c r="C365" t="inlineStr">
        <is>
          <t>2026-01-17</t>
        </is>
      </c>
      <c r="D365" t="inlineStr">
        <is>
          <t>Support Ticket</t>
        </is>
      </c>
      <c r="E365" t="inlineStr">
        <is>
          <t>Starter</t>
        </is>
      </c>
      <c r="F365" t="inlineStr">
        <is>
          <t>SMB</t>
        </is>
      </c>
      <c r="G365" t="inlineStr">
        <is>
          <t>Contact Management</t>
        </is>
      </c>
      <c r="H365" t="inlineStr">
        <is>
          <t>Performance Issue</t>
        </is>
      </c>
      <c r="I365" t="inlineStr">
        <is>
          <t>Noting this during onboarding. Our contact search is slow and often returns stale results right after an update. We estimate we lose roughly 24 hours a month on this. Let us know if you need examples.</t>
        </is>
      </c>
      <c r="J365" t="inlineStr">
        <is>
          <t>Neutral</t>
        </is>
      </c>
      <c r="K365" t="inlineStr">
        <is>
          <t>Medium</t>
        </is>
      </c>
      <c r="L365" t="inlineStr">
        <is>
          <t>Workflow Slowdown</t>
        </is>
      </c>
    </row>
    <row r="366">
      <c r="A366" t="inlineStr">
        <is>
          <t>FB-00365</t>
        </is>
      </c>
      <c r="B366" t="inlineStr">
        <is>
          <t>CUST-0157</t>
        </is>
      </c>
      <c r="C366" t="inlineStr">
        <is>
          <t>2026-01-17</t>
        </is>
      </c>
      <c r="D366" t="inlineStr">
        <is>
          <t>In-App Feedback</t>
        </is>
      </c>
      <c r="E366" t="inlineStr">
        <is>
          <t>Starter</t>
        </is>
      </c>
      <c r="F366" t="inlineStr">
        <is>
          <t>SMB</t>
        </is>
      </c>
      <c r="G366" t="inlineStr">
        <is>
          <t>User Interface</t>
        </is>
      </c>
      <c r="H366" t="inlineStr">
        <is>
          <t>Usability Issue</t>
        </is>
      </c>
      <c r="I366" t="inlineStr">
        <is>
          <t>FYI for the product team. The settings navigation changed and nobody told us where things moved. Our admin flagged it while onboarding 62 new users.</t>
        </is>
      </c>
      <c r="J366" t="inlineStr">
        <is>
          <t>Neutral</t>
        </is>
      </c>
      <c r="K366" t="inlineStr">
        <is>
          <t>Low</t>
        </is>
      </c>
      <c r="L366" t="inlineStr">
        <is>
          <t>Minor Inconvenience</t>
        </is>
      </c>
    </row>
    <row r="367">
      <c r="A367" t="inlineStr">
        <is>
          <t>FB-00366</t>
        </is>
      </c>
      <c r="B367" t="inlineStr">
        <is>
          <t>CUST-0168</t>
        </is>
      </c>
      <c r="C367" t="inlineStr">
        <is>
          <t>2026-01-17</t>
        </is>
      </c>
      <c r="D367" t="inlineStr">
        <is>
          <t>Customer Survey</t>
        </is>
      </c>
      <c r="E367" t="inlineStr">
        <is>
          <t>Professional</t>
        </is>
      </c>
      <c r="F367" t="inlineStr">
        <is>
          <t>Mid-Market</t>
        </is>
      </c>
      <c r="G367" t="inlineStr">
        <is>
          <t>User Interface</t>
        </is>
      </c>
      <c r="H367" t="inlineStr">
        <is>
          <t>Feature Request</t>
        </is>
      </c>
      <c r="I367" t="inlineStr">
        <is>
          <t>Feedback from our monthly review. We lose notes whenever reps are away from a desk without a mobile app. It affects our weekly pipeline review process every cycle. Let us know if you need examples.</t>
        </is>
      </c>
      <c r="J367" t="inlineStr">
        <is>
          <t>Neutral</t>
        </is>
      </c>
      <c r="K367" t="inlineStr">
        <is>
          <t>Low</t>
        </is>
      </c>
      <c r="L367" t="inlineStr">
        <is>
          <t>Minor Inconvenience</t>
        </is>
      </c>
    </row>
    <row r="368">
      <c r="A368" t="inlineStr">
        <is>
          <t>FB-00367</t>
        </is>
      </c>
      <c r="B368" t="inlineStr">
        <is>
          <t>CUST-0281</t>
        </is>
      </c>
      <c r="C368" t="inlineStr">
        <is>
          <t>2026-01-17</t>
        </is>
      </c>
      <c r="D368" t="inlineStr">
        <is>
          <t>Support Ticket</t>
        </is>
      </c>
      <c r="E368" t="inlineStr">
        <is>
          <t>Professional</t>
        </is>
      </c>
      <c r="F368" t="inlineStr">
        <is>
          <t>Mid-Market</t>
        </is>
      </c>
      <c r="G368" t="inlineStr">
        <is>
          <t>Workflow Automation</t>
        </is>
      </c>
      <c r="H368" t="inlineStr">
        <is>
          <t>Bug</t>
        </is>
      </c>
      <c r="I368" t="inlineStr">
        <is>
          <t>Frustrated with this one. We are hitting workflow failures: emails don't send and nobody gets notified. Please look into it soon.</t>
        </is>
      </c>
      <c r="J368" t="inlineStr">
        <is>
          <t>Negative</t>
        </is>
      </c>
      <c r="K368" t="inlineStr">
        <is>
          <t>Medium</t>
        </is>
      </c>
      <c r="L368" t="inlineStr">
        <is>
          <t>Blocks Key Task</t>
        </is>
      </c>
    </row>
    <row r="369">
      <c r="A369" t="inlineStr">
        <is>
          <t>FB-00368</t>
        </is>
      </c>
      <c r="B369" t="inlineStr">
        <is>
          <t>CUST-0420</t>
        </is>
      </c>
      <c r="C369" t="inlineStr">
        <is>
          <t>2026-01-17</t>
        </is>
      </c>
      <c r="D369" t="inlineStr">
        <is>
          <t>SUPPORT TICKET</t>
        </is>
      </c>
      <c r="E369" t="inlineStr">
        <is>
          <t>Enterprise</t>
        </is>
      </c>
      <c r="F369" t="inlineStr">
        <is>
          <t>Enterprise</t>
        </is>
      </c>
      <c r="G369" t="inlineStr">
        <is>
          <t>Reporting</t>
        </is>
      </c>
      <c r="H369" t="inlineStr">
        <is>
          <t>Bug</t>
        </is>
      </c>
      <c r="I369" t="inlineStr">
        <is>
          <t>Our team keeps running into this. The Excel export times out for date ranges longer than a quarter. Our RevOps lead flagged it while onboarding 10 new users. Support suggested logging it here.</t>
        </is>
      </c>
      <c r="J369" t="inlineStr">
        <is>
          <t>Negative</t>
        </is>
      </c>
      <c r="K369" t="inlineStr">
        <is>
          <t>Medium</t>
        </is>
      </c>
      <c r="L369" t="inlineStr">
        <is>
          <t>Workflow Slowdown</t>
        </is>
      </c>
    </row>
    <row r="370">
      <c r="A370" t="inlineStr">
        <is>
          <t>FB-00369</t>
        </is>
      </c>
      <c r="B370" t="inlineStr">
        <is>
          <t>CUST-0115</t>
        </is>
      </c>
      <c r="C370" t="inlineStr">
        <is>
          <t>2026-01-18</t>
        </is>
      </c>
      <c r="D370" t="inlineStr">
        <is>
          <t>Feature Request</t>
        </is>
      </c>
      <c r="E370" t="inlineStr">
        <is>
          <t>Starter</t>
        </is>
      </c>
      <c r="F370" t="inlineStr">
        <is>
          <t>SMB</t>
        </is>
      </c>
      <c r="G370" t="inlineStr">
        <is>
          <t>Reporting</t>
        </is>
      </c>
      <c r="H370" t="inlineStr">
        <is>
          <t>Feature Request</t>
        </is>
      </c>
      <c r="I370" t="inlineStr">
        <is>
          <t>FYI for the product team. Without scheduled report emails we export raw data and rebuild everything elsewhere. So far 114 people on our side have reported it.</t>
        </is>
      </c>
      <c r="J370" t="inlineStr">
        <is>
          <t>Neutral</t>
        </is>
      </c>
      <c r="K370" t="inlineStr">
        <is>
          <t>Low</t>
        </is>
      </c>
      <c r="L370" t="inlineStr">
        <is>
          <t>Minor Inconvenience</t>
        </is>
      </c>
    </row>
    <row r="371">
      <c r="A371" t="inlineStr">
        <is>
          <t>FB-00370</t>
        </is>
      </c>
      <c r="B371" t="inlineStr">
        <is>
          <t>CUST-0338</t>
        </is>
      </c>
      <c r="C371" t="inlineStr">
        <is>
          <t>2026-01-18</t>
        </is>
      </c>
      <c r="D371" t="inlineStr">
        <is>
          <t>In-App Feedback</t>
        </is>
      </c>
      <c r="E371" t="inlineStr">
        <is>
          <t>Professional</t>
        </is>
      </c>
      <c r="F371" t="inlineStr">
        <is>
          <t>Mid-Market</t>
        </is>
      </c>
      <c r="G371" t="inlineStr">
        <is>
          <t>Workflow Automation</t>
        </is>
      </c>
      <c r="H371" t="inlineStr">
        <is>
          <t>Usability Issue</t>
        </is>
      </c>
      <c r="I371" t="inlineStr">
        <is>
          <t>Frustrated with this one. I can't tell what a branch does in the workflow editor without opening every node. We estimate we lose roughly 48 hours a month on this. Please look into it soon.</t>
        </is>
      </c>
      <c r="J371" t="inlineStr">
        <is>
          <t>Negative</t>
        </is>
      </c>
      <c r="K371" t="inlineStr">
        <is>
          <t>High</t>
        </is>
      </c>
      <c r="L371" t="inlineStr">
        <is>
          <t>Workflow Slowdown</t>
        </is>
      </c>
    </row>
    <row r="372">
      <c r="A372" t="inlineStr">
        <is>
          <t>FB-00371</t>
        </is>
      </c>
      <c r="B372" t="inlineStr">
        <is>
          <t>CUST-0246</t>
        </is>
      </c>
      <c r="C372" t="inlineStr">
        <is>
          <t>2026-01-18</t>
        </is>
      </c>
      <c r="D372" t="inlineStr">
        <is>
          <t>Support Ticket</t>
        </is>
      </c>
      <c r="E372" t="inlineStr">
        <is>
          <t>Professional</t>
        </is>
      </c>
      <c r="F372" t="inlineStr">
        <is>
          <t>Mid-Market</t>
        </is>
      </c>
      <c r="G372" t="inlineStr">
        <is>
          <t>Workflow Automation</t>
        </is>
      </c>
      <c r="H372" t="inlineStr">
        <is>
          <t>Usability Issue</t>
        </is>
      </c>
      <c r="I372" t="inlineStr">
        <is>
          <t>The workflow editor doesn't let us copy steps between flows.</t>
        </is>
      </c>
      <c r="J372" t="inlineStr">
        <is>
          <t>Negative</t>
        </is>
      </c>
      <c r="K372" t="inlineStr">
        <is>
          <t>High</t>
        </is>
      </c>
      <c r="L372" t="inlineStr">
        <is>
          <t>Revenue/Operations Risk</t>
        </is>
      </c>
    </row>
    <row r="373">
      <c r="A373" t="inlineStr">
        <is>
          <t>FB-00372</t>
        </is>
      </c>
      <c r="B373" t="inlineStr">
        <is>
          <t>CUST-0146</t>
        </is>
      </c>
      <c r="C373" t="inlineStr">
        <is>
          <t>2026-01-19</t>
        </is>
      </c>
      <c r="D373" t="inlineStr">
        <is>
          <t>In-App Feedback</t>
        </is>
      </c>
      <c r="E373" t="inlineStr">
        <is>
          <t>Starter</t>
        </is>
      </c>
      <c r="F373" t="inlineStr">
        <is>
          <t>SMB</t>
        </is>
      </c>
      <c r="G373" t="inlineStr">
        <is>
          <t>Lead Management</t>
        </is>
      </c>
      <c r="H373" t="inlineStr">
        <is>
          <t>Bug</t>
        </is>
      </c>
      <c r="I373" t="inlineStr">
        <is>
          <t>After every list import we find lead de-duplication failures that have to be cleaned up by hand. It affects our onboarding process every cycle. Let us know if you need examples.</t>
        </is>
      </c>
      <c r="J373" t="inlineStr">
        <is>
          <t>Neutral</t>
        </is>
      </c>
      <c r="K373" t="inlineStr">
        <is>
          <t>Medium</t>
        </is>
      </c>
      <c r="L373" t="inlineStr">
        <is>
          <t>Workflow Slowdown</t>
        </is>
      </c>
    </row>
    <row r="374">
      <c r="A374" t="inlineStr">
        <is>
          <t>FB-00373</t>
        </is>
      </c>
      <c r="B374" t="inlineStr">
        <is>
          <t>CUST-0003</t>
        </is>
      </c>
      <c r="C374" t="inlineStr">
        <is>
          <t>2026-01-19</t>
        </is>
      </c>
      <c r="D374" t="inlineStr">
        <is>
          <t>Feature Request</t>
        </is>
      </c>
      <c r="E374" t="inlineStr">
        <is>
          <t>Starter</t>
        </is>
      </c>
      <c r="F374" t="inlineStr">
        <is>
          <t>Mid-Market</t>
        </is>
      </c>
      <c r="G374" t="inlineStr">
        <is>
          <t>Workflow Automation</t>
        </is>
      </c>
      <c r="H374" t="inlineStr">
        <is>
          <t>Feature Request</t>
        </is>
      </c>
      <c r="I374" t="inlineStr">
        <is>
          <t>We need approval steps in workflows so managers can sign off on discounts. So far 68 people on our side have reported it. Happy to join a feedback call.</t>
        </is>
      </c>
      <c r="J374" t="inlineStr">
        <is>
          <t>Neutral</t>
        </is>
      </c>
      <c r="K374" t="inlineStr">
        <is>
          <t>Low</t>
        </is>
      </c>
      <c r="L374" t="inlineStr">
        <is>
          <t>Minor Inconvenience</t>
        </is>
      </c>
    </row>
    <row r="375">
      <c r="A375" t="inlineStr">
        <is>
          <t>FB-00374</t>
        </is>
      </c>
      <c r="B375" t="inlineStr">
        <is>
          <t>CUST-0216</t>
        </is>
      </c>
      <c r="C375" t="inlineStr">
        <is>
          <t>2026-01-19</t>
        </is>
      </c>
      <c r="D375" t="inlineStr">
        <is>
          <t>Customer Survey</t>
        </is>
      </c>
      <c r="E375" t="inlineStr">
        <is>
          <t>Starter</t>
        </is>
      </c>
      <c r="F375" t="inlineStr">
        <is>
          <t>Mid-Market</t>
        </is>
      </c>
      <c r="G375" t="inlineStr">
        <is>
          <t>Workflow Automation</t>
        </is>
      </c>
      <c r="H375" t="inlineStr">
        <is>
          <t>Usability Issue</t>
        </is>
      </c>
      <c r="I375" t="inlineStr">
        <is>
          <t>The automation canvas doesn't let us copy steps between flows. Our finance analyst flagged it while onboarding 35 new users. Thanks to the team.</t>
        </is>
      </c>
      <c r="J375" t="inlineStr">
        <is>
          <t>Positive</t>
        </is>
      </c>
      <c r="K375" t="inlineStr">
        <is>
          <t>Medium</t>
        </is>
      </c>
      <c r="L375" t="inlineStr">
        <is>
          <t>Workflow Slowdown</t>
        </is>
      </c>
    </row>
    <row r="376">
      <c r="A376" t="inlineStr">
        <is>
          <t>FB-00375</t>
        </is>
      </c>
      <c r="B376" t="inlineStr">
        <is>
          <t>CUST-0293</t>
        </is>
      </c>
      <c r="C376" t="inlineStr">
        <is>
          <t>2026-01-20</t>
        </is>
      </c>
      <c r="D376" t="inlineStr">
        <is>
          <t>In-App Feedback</t>
        </is>
      </c>
      <c r="E376" t="inlineStr">
        <is>
          <t>Enterprise</t>
        </is>
      </c>
      <c r="F376" t="inlineStr">
        <is>
          <t>Enterprise</t>
        </is>
      </c>
      <c r="G376" t="inlineStr">
        <is>
          <t>Workflow Automation</t>
        </is>
      </c>
      <c r="H376" t="inlineStr">
        <is>
          <t>Feature Request</t>
        </is>
      </c>
      <c r="I376" t="inlineStr">
        <is>
          <t>Happy with most of the product. Adding a discount approval flow is a blocker for our finance team. It happens about 36 times a week for our team of 4.</t>
        </is>
      </c>
      <c r="J376" t="inlineStr">
        <is>
          <t>Positive</t>
        </is>
      </c>
      <c r="K376" t="inlineStr">
        <is>
          <t>Medium</t>
        </is>
      </c>
      <c r="L376" t="inlineStr">
        <is>
          <t>Blocks Key Task</t>
        </is>
      </c>
    </row>
    <row r="377">
      <c r="A377" t="inlineStr">
        <is>
          <t>FB-00376</t>
        </is>
      </c>
      <c r="B377" t="inlineStr">
        <is>
          <t>CUST-0315</t>
        </is>
      </c>
      <c r="C377" t="inlineStr">
        <is>
          <t>2026-01-20</t>
        </is>
      </c>
      <c r="D377" t="inlineStr">
        <is>
          <t>Support Ticket</t>
        </is>
      </c>
      <c r="E377" t="inlineStr">
        <is>
          <t>Professional</t>
        </is>
      </c>
      <c r="F377" t="inlineStr">
        <is>
          <t>SMB</t>
        </is>
      </c>
      <c r="G377" t="inlineStr">
        <is>
          <t>Lead Management</t>
        </is>
      </c>
      <c r="H377" t="inlineStr">
        <is>
          <t>Bug</t>
        </is>
      </c>
      <c r="I377" t="inlineStr">
        <is>
          <t>There are lead de-duplication failures across our pipeline views and nobody knows which record is the source of truth. It affects our renewal process every cycle. Support suggested logging it here.</t>
        </is>
      </c>
      <c r="J377" t="inlineStr">
        <is>
          <t>Negative</t>
        </is>
      </c>
      <c r="K377" t="inlineStr">
        <is>
          <t>High</t>
        </is>
      </c>
      <c r="L377" t="inlineStr">
        <is>
          <t>Blocks Key Task</t>
        </is>
      </c>
    </row>
    <row r="378">
      <c r="A378" t="inlineStr">
        <is>
          <t>FB-00377</t>
        </is>
      </c>
      <c r="B378" t="inlineStr">
        <is>
          <t>CUST-0165</t>
        </is>
      </c>
      <c r="C378" t="inlineStr">
        <is>
          <t>2026-01-20</t>
        </is>
      </c>
      <c r="D378" t="inlineStr">
        <is>
          <t>Feature Request</t>
        </is>
      </c>
      <c r="E378" t="inlineStr">
        <is>
          <t>Enterprise</t>
        </is>
      </c>
      <c r="F378" t="inlineStr">
        <is>
          <t>Mid-Market</t>
        </is>
      </c>
      <c r="G378" t="inlineStr">
        <is>
          <t>Contact Management</t>
        </is>
      </c>
      <c r="H378" t="inlineStr">
        <is>
          <t>Feature Request</t>
        </is>
      </c>
      <c r="I378" t="inlineStr">
        <is>
          <t>Recent updates have been a nice improvement. A tool to merge duplicate contacts that keeps activity history would save our ops team hours. It happens about 39 times a week for our team of 90. Keep up the good work.</t>
        </is>
      </c>
      <c r="J378" t="inlineStr">
        <is>
          <t>Positive</t>
        </is>
      </c>
      <c r="K378" t="inlineStr">
        <is>
          <t>Medium</t>
        </is>
      </c>
      <c r="L378" t="inlineStr">
        <is>
          <t>Minor Inconvenience</t>
        </is>
      </c>
    </row>
    <row r="379">
      <c r="A379" t="inlineStr">
        <is>
          <t>FB-00378</t>
        </is>
      </c>
      <c r="B379" t="inlineStr">
        <is>
          <t>CUST-0242</t>
        </is>
      </c>
      <c r="C379" t="inlineStr">
        <is>
          <t>2026-01-20</t>
        </is>
      </c>
      <c r="D379" t="inlineStr">
        <is>
          <t>Customer Survey</t>
        </is>
      </c>
      <c r="E379" t="inlineStr">
        <is>
          <t>Starter</t>
        </is>
      </c>
      <c r="F379" t="inlineStr">
        <is>
          <t>SMB</t>
        </is>
      </c>
      <c r="G379" t="inlineStr">
        <is>
          <t>Lead Management</t>
        </is>
      </c>
      <c r="H379" t="inlineStr">
        <is>
          <t>Usability Issue</t>
        </is>
      </c>
      <c r="I379" t="inlineStr">
        <is>
          <t>Raising this again after our last business review. The round-robin lead assignment are confusing and new leads sometimes sit unassigned over weekends. It happens about 38 times a week for our team of 111.</t>
        </is>
      </c>
      <c r="J379" t="inlineStr">
        <is>
          <t>Negative</t>
        </is>
      </c>
      <c r="K379" t="inlineStr">
        <is>
          <t>Low</t>
        </is>
      </c>
      <c r="L379" t="inlineStr">
        <is>
          <t>Minor Inconvenience</t>
        </is>
      </c>
    </row>
    <row r="380">
      <c r="A380" t="inlineStr">
        <is>
          <t>FB-00379</t>
        </is>
      </c>
      <c r="B380" t="inlineStr">
        <is>
          <t>CUST-0217</t>
        </is>
      </c>
      <c r="C380" t="inlineStr">
        <is>
          <t>2026-01-21</t>
        </is>
      </c>
      <c r="D380" t="inlineStr">
        <is>
          <t>Support Ticket</t>
        </is>
      </c>
      <c r="E380" t="inlineStr">
        <is>
          <t>Starter</t>
        </is>
      </c>
      <c r="F380" t="inlineStr">
        <is>
          <t>Mid-Market</t>
        </is>
      </c>
      <c r="G380" t="inlineStr">
        <is>
          <t>Lead Management</t>
        </is>
      </c>
      <c r="H380" t="inlineStr">
        <is>
          <t>Bug</t>
        </is>
      </c>
      <c r="I380" t="inlineStr">
        <is>
          <t>Web form submissions keep creating duplicated leads, and reps end up calling the same prospect twice. Support suggested logging it here.</t>
        </is>
      </c>
      <c r="J380" t="inlineStr">
        <is>
          <t>Negative</t>
        </is>
      </c>
      <c r="K380" t="inlineStr">
        <is>
          <t>Low</t>
        </is>
      </c>
      <c r="L380" t="inlineStr">
        <is>
          <t>Minor Inconvenience</t>
        </is>
      </c>
    </row>
    <row r="381">
      <c r="A381" t="inlineStr">
        <is>
          <t>FB-00380</t>
        </is>
      </c>
      <c r="B381" t="inlineStr">
        <is>
          <t>CUST-0096</t>
        </is>
      </c>
      <c r="C381" t="inlineStr">
        <is>
          <t>2026-01-21</t>
        </is>
      </c>
      <c r="D381" t="inlineStr">
        <is>
          <t>Feature Request</t>
        </is>
      </c>
      <c r="E381" t="inlineStr">
        <is>
          <t>Enterprise</t>
        </is>
      </c>
      <c r="F381" t="inlineStr">
        <is>
          <t>Enterprise</t>
        </is>
      </c>
      <c r="G381" t="inlineStr">
        <is>
          <t>Contact Management</t>
        </is>
      </c>
      <c r="H381" t="inlineStr">
        <is>
          <t>Feature Request</t>
        </is>
      </c>
      <c r="I381" t="inlineStr">
        <is>
          <t>Sharing this from our team. Please build contact de-duplication tooling with a preview of what will be combined. It affects our onboarding process every cycle. Let us know if you need examples.</t>
        </is>
      </c>
      <c r="J381" t="inlineStr">
        <is>
          <t>Neutral</t>
        </is>
      </c>
      <c r="K381" t="inlineStr">
        <is>
          <t>Low</t>
        </is>
      </c>
      <c r="L381" t="inlineStr">
        <is>
          <t>Workflow Slowdown</t>
        </is>
      </c>
    </row>
    <row r="382">
      <c r="A382" t="inlineStr">
        <is>
          <t>FB-00381</t>
        </is>
      </c>
      <c r="B382" t="inlineStr">
        <is>
          <t>CUST-0116</t>
        </is>
      </c>
      <c r="C382" t="inlineStr">
        <is>
          <t>2026-01-21</t>
        </is>
      </c>
      <c r="D382" t="inlineStr">
        <is>
          <t>Customer Survey</t>
        </is>
      </c>
      <c r="E382" t="inlineStr">
        <is>
          <t>Professional</t>
        </is>
      </c>
      <c r="F382" t="inlineStr">
        <is>
          <t>SMB</t>
        </is>
      </c>
      <c r="G382" t="inlineStr">
        <is>
          <t>User Interface</t>
        </is>
      </c>
      <c r="H382" t="inlineStr">
        <is>
          <t>Usability Issue</t>
        </is>
      </c>
      <c r="I382" t="inlineStr">
        <is>
          <t>FYI for the product team. New hires get lost in the settings navigation; it takes weeks to learn.</t>
        </is>
      </c>
      <c r="J382" t="inlineStr">
        <is>
          <t>Neutral</t>
        </is>
      </c>
      <c r="K382" t="inlineStr">
        <is>
          <t xml:space="preserve"> Low</t>
        </is>
      </c>
      <c r="L382" t="inlineStr">
        <is>
          <t>Minor Inconvenience</t>
        </is>
      </c>
    </row>
    <row r="383">
      <c r="A383" t="inlineStr">
        <is>
          <t>FB-00382</t>
        </is>
      </c>
      <c r="B383" t="inlineStr">
        <is>
          <t>CUST-0275</t>
        </is>
      </c>
      <c r="C383" t="inlineStr">
        <is>
          <t>2026-01-21</t>
        </is>
      </c>
      <c r="D383" t="inlineStr">
        <is>
          <t>Customer Survey</t>
        </is>
      </c>
      <c r="E383" t="inlineStr">
        <is>
          <t>Professional</t>
        </is>
      </c>
      <c r="F383" t="inlineStr">
        <is>
          <t>Mid-Market</t>
        </is>
      </c>
      <c r="G383" t="inlineStr">
        <is>
          <t xml:space="preserve"> Contact Management</t>
        </is>
      </c>
      <c r="H383" t="inlineStr">
        <is>
          <t>Bug</t>
        </is>
      </c>
      <c r="I383" t="inlineStr">
        <is>
          <t>The contact CSV import silently skipped rows and we only noticed days later. So far 70 people on our side have reported it. We need a fix before renewal.</t>
        </is>
      </c>
      <c r="J383" t="inlineStr">
        <is>
          <t>Negative</t>
        </is>
      </c>
      <c r="K383" t="inlineStr">
        <is>
          <t>Medium</t>
        </is>
      </c>
      <c r="L383" t="inlineStr">
        <is>
          <t>Workflow Slowdown</t>
        </is>
      </c>
    </row>
    <row r="384">
      <c r="A384" t="inlineStr">
        <is>
          <t>FB-00383</t>
        </is>
      </c>
      <c r="B384" t="inlineStr">
        <is>
          <t>CUST-0060</t>
        </is>
      </c>
      <c r="C384" t="inlineStr">
        <is>
          <t>22-Jan-2026</t>
        </is>
      </c>
      <c r="D384" t="inlineStr">
        <is>
          <t>In-App Feedback</t>
        </is>
      </c>
      <c r="E384" t="inlineStr">
        <is>
          <t>Starter</t>
        </is>
      </c>
      <c r="F384" t="inlineStr">
        <is>
          <t>SMB</t>
        </is>
      </c>
      <c r="G384" t="inlineStr">
        <is>
          <t>Workflow Automation</t>
        </is>
      </c>
      <c r="H384" t="inlineStr">
        <is>
          <t>Bug</t>
        </is>
      </c>
      <c r="I384" t="inlineStr">
        <is>
          <t>Feedback from our monthly review. Several workflow failures left deals stuck in the wrong stage. It affects our weekly pipeline review process every cycle.</t>
        </is>
      </c>
      <c r="J384" t="inlineStr">
        <is>
          <t>Neutral</t>
        </is>
      </c>
      <c r="K384" t="inlineStr">
        <is>
          <t>Low</t>
        </is>
      </c>
      <c r="L384" t="inlineStr">
        <is>
          <t>Workflow Slowdown</t>
        </is>
      </c>
    </row>
    <row r="385">
      <c r="A385" t="inlineStr">
        <is>
          <t>FB-00384</t>
        </is>
      </c>
      <c r="B385" t="inlineStr">
        <is>
          <t>CUST-0079</t>
        </is>
      </c>
      <c r="C385" t="inlineStr">
        <is>
          <t>2026-01-23</t>
        </is>
      </c>
      <c r="D385" t="inlineStr">
        <is>
          <t>Customer Survey</t>
        </is>
      </c>
      <c r="E385" t="inlineStr">
        <is>
          <t>Starter</t>
        </is>
      </c>
      <c r="F385" t="inlineStr">
        <is>
          <t>SMB</t>
        </is>
      </c>
      <c r="G385" t="inlineStr">
        <is>
          <t>Contact Management</t>
        </is>
      </c>
      <c r="H385" t="inlineStr">
        <is>
          <t>Bug</t>
        </is>
      </c>
      <c r="I385" t="inlineStr">
        <is>
          <t>The spreadsheet import rejects files with accented characters in names. It affects our month-end reporting process every cycle. We need a fix before renewal.</t>
        </is>
      </c>
      <c r="J385" t="inlineStr">
        <is>
          <t>Negative</t>
        </is>
      </c>
      <c r="K385" t="inlineStr">
        <is>
          <t>High</t>
        </is>
      </c>
      <c r="L385" t="inlineStr">
        <is>
          <t>Blocks Key Task</t>
        </is>
      </c>
    </row>
    <row r="386">
      <c r="A386" t="inlineStr">
        <is>
          <t>FB-00385</t>
        </is>
      </c>
      <c r="B386" t="inlineStr">
        <is>
          <t>CUST-0076</t>
        </is>
      </c>
      <c r="C386" t="inlineStr">
        <is>
          <t>2026-01-23</t>
        </is>
      </c>
      <c r="D386" t="inlineStr">
        <is>
          <t>In-App Feedback</t>
        </is>
      </c>
      <c r="E386" t="inlineStr">
        <is>
          <t>Starter</t>
        </is>
      </c>
      <c r="F386" t="inlineStr">
        <is>
          <t>SMB</t>
        </is>
      </c>
      <c r="G386" t="inlineStr">
        <is>
          <t>User Interface</t>
        </is>
      </c>
      <c r="H386" t="inlineStr">
        <is>
          <t>Feature Request</t>
        </is>
      </c>
      <c r="I386" t="inlineStr">
        <is>
          <t>We lose notes whenever reps are away from a desk without a mobile app. Our sales manager flagged it while onboarding 69 new users.</t>
        </is>
      </c>
      <c r="J386" t="inlineStr">
        <is>
          <t>Negative</t>
        </is>
      </c>
      <c r="K386" t="inlineStr">
        <is>
          <t>Low</t>
        </is>
      </c>
      <c r="L386" t="inlineStr">
        <is>
          <t>Minor Inconvenience</t>
        </is>
      </c>
    </row>
    <row r="387">
      <c r="A387" t="inlineStr">
        <is>
          <t>FB-00386</t>
        </is>
      </c>
      <c r="B387" t="inlineStr">
        <is>
          <t>CUST-0061</t>
        </is>
      </c>
      <c r="C387" t="inlineStr">
        <is>
          <t>2026-01-23</t>
        </is>
      </c>
      <c r="D387" t="inlineStr">
        <is>
          <t>Support Ticket</t>
        </is>
      </c>
      <c r="E387" t="inlineStr">
        <is>
          <t>Professional</t>
        </is>
      </c>
      <c r="F387" t="inlineStr">
        <is>
          <t>Mid-Market</t>
        </is>
      </c>
      <c r="G387" t="inlineStr">
        <is>
          <t>Workflow Automation</t>
        </is>
      </c>
      <c r="H387" t="inlineStr">
        <is>
          <t>Bug</t>
        </is>
      </c>
      <c r="I387" t="inlineStr">
        <is>
          <t>We are hitting workflow runs failing silently: emails don't send and nobody gets notified. So far 96 people on our side have reported it. Support suggested logging it here.</t>
        </is>
      </c>
      <c r="J387" t="inlineStr">
        <is>
          <t>Negative</t>
        </is>
      </c>
      <c r="K387" t="inlineStr">
        <is>
          <t>Medium</t>
        </is>
      </c>
      <c r="L387" t="inlineStr">
        <is>
          <t>Blocks Key Task</t>
        </is>
      </c>
    </row>
    <row r="388">
      <c r="A388" t="inlineStr">
        <is>
          <t>FB-00387</t>
        </is>
      </c>
      <c r="B388" t="inlineStr">
        <is>
          <t>CUST-0325</t>
        </is>
      </c>
      <c r="C388" t="inlineStr">
        <is>
          <t>2026-01-23</t>
        </is>
      </c>
      <c r="D388" t="inlineStr">
        <is>
          <t>Feature Request</t>
        </is>
      </c>
      <c r="E388" t="inlineStr">
        <is>
          <t>Starter</t>
        </is>
      </c>
      <c r="F388" t="inlineStr">
        <is>
          <t>SMB</t>
        </is>
      </c>
      <c r="G388" t="inlineStr">
        <is>
          <t>User Interface</t>
        </is>
      </c>
      <c r="H388" t="inlineStr">
        <is>
          <t>Feature Request</t>
        </is>
      </c>
      <c r="I388" t="inlineStr">
        <is>
          <t>Sharing this from our team. Please prioritize offline mobile access; the mobile web view is hard to use. So far 7 people on our side have reported it. Happy to join a feedback call.</t>
        </is>
      </c>
      <c r="J388" t="inlineStr">
        <is>
          <t>Neutral</t>
        </is>
      </c>
      <c r="K388" t="inlineStr">
        <is>
          <t>Low</t>
        </is>
      </c>
      <c r="L388" t="inlineStr">
        <is>
          <t>Blocks Key Task</t>
        </is>
      </c>
    </row>
    <row r="389">
      <c r="A389" t="inlineStr">
        <is>
          <t>FB-00388</t>
        </is>
      </c>
      <c r="B389" t="inlineStr">
        <is>
          <t>CUST-0410</t>
        </is>
      </c>
      <c r="C389" t="inlineStr">
        <is>
          <t>2026-01-23</t>
        </is>
      </c>
      <c r="D389" t="inlineStr">
        <is>
          <t>Support Ticket</t>
        </is>
      </c>
      <c r="E389" t="inlineStr">
        <is>
          <t>Professional</t>
        </is>
      </c>
      <c r="F389" t="inlineStr">
        <is>
          <t>Enterprise</t>
        </is>
      </c>
      <c r="G389" t="inlineStr">
        <is>
          <t>Workflow Automation</t>
        </is>
      </c>
      <c r="H389" t="inlineStr">
        <is>
          <t>Bug</t>
        </is>
      </c>
      <c r="I389" t="inlineStr">
        <is>
          <t>Frustrated with this one. Since the last release we've had workflow failures and tasks are being created twice. Our admin flagged it while onboarding 78 new users. Support suggested logging it here.</t>
        </is>
      </c>
      <c r="J389" t="inlineStr">
        <is>
          <t>Negative</t>
        </is>
      </c>
      <c r="K389" t="inlineStr">
        <is>
          <t>Medium</t>
        </is>
      </c>
      <c r="L389" t="inlineStr">
        <is>
          <t>Workflow Slowdown</t>
        </is>
      </c>
    </row>
    <row r="390">
      <c r="A390" t="inlineStr">
        <is>
          <t>FB-00389</t>
        </is>
      </c>
      <c r="B390" t="inlineStr">
        <is>
          <t>CUST-0198</t>
        </is>
      </c>
      <c r="C390" t="inlineStr">
        <is>
          <t>2026-01-24</t>
        </is>
      </c>
      <c r="D390" t="inlineStr">
        <is>
          <t>In-App Feedback</t>
        </is>
      </c>
      <c r="E390" t="inlineStr">
        <is>
          <t>Starter</t>
        </is>
      </c>
      <c r="F390" t="inlineStr">
        <is>
          <t>SMB</t>
        </is>
      </c>
      <c r="G390" t="inlineStr">
        <is>
          <t>Lead Management</t>
        </is>
      </c>
      <c r="H390" t="inlineStr">
        <is>
          <t>Usability Issue</t>
        </is>
      </c>
      <c r="I390" t="inlineStr">
        <is>
          <t>Setting up lead routing rules takes too many steps and the options don't cover territories. Our finance analyst flagged it while onboarding 96 new users. Support suggested logging it here.</t>
        </is>
      </c>
      <c r="J390" t="inlineStr">
        <is>
          <t>Negative</t>
        </is>
      </c>
      <c r="K390" t="inlineStr">
        <is>
          <t>Medium</t>
        </is>
      </c>
      <c r="L390" t="inlineStr">
        <is>
          <t>Minor Inconvenience</t>
        </is>
      </c>
    </row>
    <row r="391">
      <c r="A391" t="inlineStr">
        <is>
          <t>FB-00390</t>
        </is>
      </c>
      <c r="B391" t="inlineStr">
        <is>
          <t>CUST-0363</t>
        </is>
      </c>
      <c r="C391" t="inlineStr">
        <is>
          <t>2026-01-24</t>
        </is>
      </c>
      <c r="D391" t="inlineStr">
        <is>
          <t>Feature Request</t>
        </is>
      </c>
      <c r="E391" t="inlineStr">
        <is>
          <t>Professional</t>
        </is>
      </c>
      <c r="F391" t="inlineStr">
        <is>
          <t>Mid-Market</t>
        </is>
      </c>
      <c r="G391" t="inlineStr">
        <is>
          <t>Reporting</t>
        </is>
      </c>
      <c r="H391" t="inlineStr">
        <is>
          <t>Feature Request</t>
        </is>
      </c>
      <c r="I391" t="inlineStr">
        <is>
          <t>Noting this during onboarding. Please add sales forecasting; managers keep a separate spreadsheet.</t>
        </is>
      </c>
      <c r="J391" t="inlineStr">
        <is>
          <t>Neutral</t>
        </is>
      </c>
      <c r="K391" t="inlineStr">
        <is>
          <t>Low</t>
        </is>
      </c>
      <c r="L391" t="inlineStr">
        <is>
          <t>Minor Inconvenience</t>
        </is>
      </c>
    </row>
    <row r="392">
      <c r="A392" t="inlineStr">
        <is>
          <t>FB-00391</t>
        </is>
      </c>
      <c r="B392" t="inlineStr">
        <is>
          <t>CUST-0035</t>
        </is>
      </c>
      <c r="C392" t="inlineStr">
        <is>
          <t>2026-01-24</t>
        </is>
      </c>
      <c r="D392" t="inlineStr">
        <is>
          <t>Customer Survey</t>
        </is>
      </c>
      <c r="E392" t="inlineStr">
        <is>
          <t>Professional</t>
        </is>
      </c>
      <c r="F392" t="inlineStr">
        <is>
          <t>Enterprise</t>
        </is>
      </c>
      <c r="G392" t="inlineStr">
        <is>
          <t>Lead Management</t>
        </is>
      </c>
      <c r="H392" t="inlineStr">
        <is>
          <t>Usability Issue</t>
        </is>
      </c>
      <c r="I392" t="inlineStr">
        <is>
          <t>Feedback from our monthly review. We can't combine region and deal size in the lead assignment settings. It affects our renewal process every cycle.</t>
        </is>
      </c>
      <c r="J392" t="inlineStr">
        <is>
          <t>Neutral</t>
        </is>
      </c>
      <c r="K392" t="inlineStr">
        <is>
          <t>Low</t>
        </is>
      </c>
      <c r="L392" t="inlineStr">
        <is>
          <t>Minor Inconvenience</t>
        </is>
      </c>
    </row>
    <row r="393">
      <c r="A393" t="inlineStr">
        <is>
          <t>FB-00392</t>
        </is>
      </c>
      <c r="B393" t="inlineStr">
        <is>
          <t>CUST-0093</t>
        </is>
      </c>
      <c r="C393" t="inlineStr">
        <is>
          <t>2026-01-24</t>
        </is>
      </c>
      <c r="D393" t="inlineStr">
        <is>
          <t>Feature Request</t>
        </is>
      </c>
      <c r="E393" t="inlineStr">
        <is>
          <t>Professional</t>
        </is>
      </c>
      <c r="F393" t="inlineStr">
        <is>
          <t>SMB</t>
        </is>
      </c>
      <c r="G393" t="inlineStr">
        <is>
          <t>Lead Management</t>
        </is>
      </c>
      <c r="H393" t="inlineStr">
        <is>
          <t>Feature Request</t>
        </is>
      </c>
      <c r="I393" t="inlineStr">
        <is>
          <t>Raising this again after our last business review. Would love to see lead scoring rules that marketing and sales can both tune. It happens about 31 times a week for our team of 118. Please look into it soon.</t>
        </is>
      </c>
      <c r="J393" t="inlineStr">
        <is>
          <t>Negative</t>
        </is>
      </c>
      <c r="K393" t="inlineStr">
        <is>
          <t>Low</t>
        </is>
      </c>
      <c r="L393" t="inlineStr">
        <is>
          <t>Minor Inconvenience</t>
        </is>
      </c>
    </row>
    <row r="394">
      <c r="A394" t="inlineStr">
        <is>
          <t>FB-00393</t>
        </is>
      </c>
      <c r="B394" t="inlineStr">
        <is>
          <t>CUST-0284</t>
        </is>
      </c>
      <c r="C394" t="inlineStr">
        <is>
          <t>2026-01-24</t>
        </is>
      </c>
      <c r="D394" t="inlineStr">
        <is>
          <t>Feature Request</t>
        </is>
      </c>
      <c r="E394" t="inlineStr">
        <is>
          <t>Enterprise</t>
        </is>
      </c>
      <c r="F394" t="inlineStr">
        <is>
          <t>Enterprise</t>
        </is>
      </c>
      <c r="G394" t="inlineStr">
        <is>
          <t>Workflow Automation</t>
        </is>
      </c>
      <c r="H394" t="inlineStr">
        <is>
          <t>Feature Request</t>
        </is>
      </c>
      <c r="I394" t="inlineStr">
        <is>
          <t>Quick note from our admin. A library of prebuilt automations would cut our setup time. So far 118 people on our side have reported it.</t>
        </is>
      </c>
      <c r="J394" t="inlineStr">
        <is>
          <t>Neutral</t>
        </is>
      </c>
      <c r="K394" t="inlineStr">
        <is>
          <t>High</t>
        </is>
      </c>
      <c r="L394" t="inlineStr">
        <is>
          <t>Blocks Key Task</t>
        </is>
      </c>
    </row>
    <row r="395">
      <c r="A395" t="inlineStr">
        <is>
          <t>FB-00394</t>
        </is>
      </c>
      <c r="B395" t="inlineStr">
        <is>
          <t>CUST-0139</t>
        </is>
      </c>
      <c r="C395" t="inlineStr">
        <is>
          <t>2026-01-24</t>
        </is>
      </c>
      <c r="D395" t="inlineStr">
        <is>
          <t>Customer Survey</t>
        </is>
      </c>
      <c r="E395" t="inlineStr">
        <is>
          <t>Professional</t>
        </is>
      </c>
      <c r="F395" t="inlineStr">
        <is>
          <t>Mid-Market</t>
        </is>
      </c>
      <c r="G395" t="inlineStr">
        <is>
          <t>Integrations</t>
        </is>
      </c>
      <c r="H395" t="inlineStr">
        <is>
          <t>Feature Request</t>
        </is>
      </c>
      <c r="I395" t="inlineStr">
        <is>
          <t>Lack of a native accounting integration is a gap versus other CRMs we evaluated. We estimate we lose roughly 49 hours a month on this. Let us know if you need examples.</t>
        </is>
      </c>
      <c r="J395" t="inlineStr">
        <is>
          <t>Neutral</t>
        </is>
      </c>
      <c r="K395" t="inlineStr">
        <is>
          <t>Medium</t>
        </is>
      </c>
      <c r="L395" t="inlineStr">
        <is>
          <t>Workflow Slowdown</t>
        </is>
      </c>
    </row>
    <row r="396">
      <c r="A396" t="inlineStr">
        <is>
          <t>FB-00395</t>
        </is>
      </c>
      <c r="B396" t="inlineStr">
        <is>
          <t>CUST-0286</t>
        </is>
      </c>
      <c r="C396" t="inlineStr">
        <is>
          <t>2026-01-25</t>
        </is>
      </c>
      <c r="D396" t="inlineStr">
        <is>
          <t>In-App Feedback</t>
        </is>
      </c>
      <c r="E396" t="inlineStr">
        <is>
          <t>Enterprise</t>
        </is>
      </c>
      <c r="F396" t="inlineStr">
        <is>
          <t>Enterprise</t>
        </is>
      </c>
      <c r="G396" t="inlineStr">
        <is>
          <t>Reporting</t>
        </is>
      </c>
      <c r="H396" t="inlineStr">
        <is>
          <t>Performance Issue</t>
        </is>
      </c>
      <c r="I396" t="inlineStr">
        <is>
          <t>Noting this during onboarding. Execs gave up on the dashboard refresh and ask for screenshots instead. So far 66 people on our side have reported it.</t>
        </is>
      </c>
      <c r="J396" t="inlineStr">
        <is>
          <t>Neutral</t>
        </is>
      </c>
      <c r="K396" t="inlineStr">
        <is>
          <t>High</t>
        </is>
      </c>
      <c r="L396" t="inlineStr">
        <is>
          <t>Blocks Key Task</t>
        </is>
      </c>
    </row>
    <row r="397">
      <c r="A397" t="inlineStr">
        <is>
          <t>FB-00396</t>
        </is>
      </c>
      <c r="B397" t="inlineStr">
        <is>
          <t>CUST-0251</t>
        </is>
      </c>
      <c r="C397" t="inlineStr">
        <is>
          <t>2026-01-25</t>
        </is>
      </c>
      <c r="D397" t="inlineStr">
        <is>
          <t>In-App Feedback</t>
        </is>
      </c>
      <c r="E397" t="inlineStr">
        <is>
          <t>Professional</t>
        </is>
      </c>
      <c r="F397" t="inlineStr">
        <is>
          <t>Mid-Market</t>
        </is>
      </c>
      <c r="G397" t="inlineStr">
        <is>
          <t>Integrations</t>
        </is>
      </c>
      <c r="H397" t="inlineStr">
        <is>
          <t>Integration Issue</t>
        </is>
      </c>
      <c r="I397" t="inlineStr">
        <is>
          <t>This has been a recurring problem for us. Webhook delivery is unreliable and there is no retry or log we can inspect. It affects our lead handoff process every cycle. Support suggested logging it here.</t>
        </is>
      </c>
      <c r="J397" t="inlineStr">
        <is>
          <t>Negative</t>
        </is>
      </c>
      <c r="K397" t="inlineStr">
        <is>
          <t>MEDIUM</t>
        </is>
      </c>
      <c r="L397" t="inlineStr">
        <is>
          <t>Workflow Slowdown</t>
        </is>
      </c>
    </row>
    <row r="398">
      <c r="A398" t="inlineStr">
        <is>
          <t>FB-00397</t>
        </is>
      </c>
      <c r="B398" t="inlineStr">
        <is>
          <t>CUST-0215</t>
        </is>
      </c>
      <c r="C398" t="inlineStr">
        <is>
          <t>2026-01-25</t>
        </is>
      </c>
      <c r="D398" t="inlineStr">
        <is>
          <t>Support Ticket</t>
        </is>
      </c>
      <c r="E398" t="inlineStr">
        <is>
          <t>Starter</t>
        </is>
      </c>
      <c r="F398" t="inlineStr">
        <is>
          <t>SMB</t>
        </is>
      </c>
      <c r="G398" t="inlineStr">
        <is>
          <t>Workflow Automation</t>
        </is>
      </c>
      <c r="H398" t="inlineStr">
        <is>
          <t>Bug</t>
        </is>
      </c>
      <c r="I398" t="inlineStr">
        <is>
          <t>Not what we expected for the price. Since the last release we've had workflow runs failing silently and tasks are being created twice. Our customer success lead flagged it while onboarding 118 new users. Please look into it soon.</t>
        </is>
      </c>
      <c r="J398" t="inlineStr">
        <is>
          <t>Negative</t>
        </is>
      </c>
      <c r="K398" t="inlineStr">
        <is>
          <t>Low</t>
        </is>
      </c>
      <c r="L398" t="inlineStr">
        <is>
          <t>Blocks Key Task</t>
        </is>
      </c>
    </row>
    <row r="399">
      <c r="A399" t="inlineStr">
        <is>
          <t>FB-00398</t>
        </is>
      </c>
      <c r="B399" t="inlineStr">
        <is>
          <t>CUST-0179</t>
        </is>
      </c>
      <c r="C399" t="inlineStr">
        <is>
          <t>2026-01-26</t>
        </is>
      </c>
      <c r="D399" t="inlineStr">
        <is>
          <t>Support Ticket</t>
        </is>
      </c>
      <c r="E399" t="inlineStr">
        <is>
          <t>Enterprise</t>
        </is>
      </c>
      <c r="F399" t="inlineStr">
        <is>
          <t>Enterprise</t>
        </is>
      </c>
      <c r="G399" t="inlineStr">
        <is>
          <t>Workflow Automation</t>
        </is>
      </c>
      <c r="H399" t="inlineStr">
        <is>
          <t>Bug</t>
        </is>
      </c>
      <c r="I399" t="inlineStr">
        <is>
          <t>This has been a recurring problem for us. Several workflow failures left deals stuck in the wrong stage. So far 23 people on our side have reported it.</t>
        </is>
      </c>
      <c r="J399" t="inlineStr">
        <is>
          <t>Negative</t>
        </is>
      </c>
      <c r="K399" t="inlineStr">
        <is>
          <t>High</t>
        </is>
      </c>
      <c r="L399" t="inlineStr">
        <is>
          <t>Blocks Key Task</t>
        </is>
      </c>
    </row>
    <row r="400">
      <c r="A400" t="inlineStr">
        <is>
          <t>FB-00399</t>
        </is>
      </c>
      <c r="B400" t="inlineStr">
        <is>
          <t>CUST-0251</t>
        </is>
      </c>
      <c r="C400" t="inlineStr">
        <is>
          <t>2026-01-26</t>
        </is>
      </c>
      <c r="D400" t="inlineStr">
        <is>
          <t>Customer Survey</t>
        </is>
      </c>
      <c r="E400" t="inlineStr">
        <is>
          <t>Professional</t>
        </is>
      </c>
      <c r="F400" t="inlineStr">
        <is>
          <t>Mid-Market</t>
        </is>
      </c>
      <c r="G400" t="inlineStr">
        <is>
          <t>Lead Management</t>
        </is>
      </c>
      <c r="H400" t="inlineStr">
        <is>
          <t>Feature Request</t>
        </is>
      </c>
      <c r="I400" t="inlineStr">
        <is>
          <t>Would love to see lead scoring rules that marketing and sales can both tune. We estimate we lose roughly 39 hours a month on this. Happy to join a feedback call.</t>
        </is>
      </c>
      <c r="J400" t="inlineStr">
        <is>
          <t>Neutral</t>
        </is>
      </c>
      <c r="K400" t="inlineStr">
        <is>
          <t>Medium</t>
        </is>
      </c>
      <c r="L400" t="inlineStr">
        <is>
          <t>Minor Inconvenience</t>
        </is>
      </c>
    </row>
    <row r="401">
      <c r="A401" t="inlineStr">
        <is>
          <t>FB-00400</t>
        </is>
      </c>
      <c r="B401" t="inlineStr">
        <is>
          <t>CUST-0070</t>
        </is>
      </c>
      <c r="C401" t="inlineStr">
        <is>
          <t>2026-01-26</t>
        </is>
      </c>
      <c r="D401" t="inlineStr">
        <is>
          <t>Feature Request</t>
        </is>
      </c>
      <c r="E401" t="inlineStr">
        <is>
          <t>Professional</t>
        </is>
      </c>
      <c r="F401" t="inlineStr">
        <is>
          <t>smb</t>
        </is>
      </c>
      <c r="G401" t="inlineStr">
        <is>
          <t>Integrations</t>
        </is>
      </c>
      <c r="H401" t="inlineStr">
        <is>
          <t>Feature Request</t>
        </is>
      </c>
      <c r="I401" t="inlineStr">
        <is>
          <t>We would pay for a native Slack integration instead of maintaining Zapier chains. So far 55 people on our side have reported it.</t>
        </is>
      </c>
      <c r="J401" t="inlineStr">
        <is>
          <t>Negative</t>
        </is>
      </c>
      <c r="K401" t="inlineStr">
        <is>
          <t>Low</t>
        </is>
      </c>
      <c r="L401" t="inlineStr">
        <is>
          <t>Workflow Slowdown</t>
        </is>
      </c>
    </row>
    <row r="402">
      <c r="A402" t="inlineStr">
        <is>
          <t>FB-00401</t>
        </is>
      </c>
      <c r="B402" t="inlineStr">
        <is>
          <t>CUST-0354</t>
        </is>
      </c>
      <c r="C402" t="inlineStr">
        <is>
          <t>2026-01-26</t>
        </is>
      </c>
      <c r="D402" t="inlineStr">
        <is>
          <t>In-App Feedback</t>
        </is>
      </c>
      <c r="E402" t="inlineStr">
        <is>
          <t>Enterprise</t>
        </is>
      </c>
      <c r="F402" t="inlineStr">
        <is>
          <t>Mid-Market</t>
        </is>
      </c>
      <c r="G402" t="inlineStr">
        <is>
          <t>Contact Management</t>
        </is>
      </c>
      <c r="H402" t="inlineStr">
        <is>
          <t>Feature Request</t>
        </is>
      </c>
      <c r="I402" t="inlineStr">
        <is>
          <t>Overall we like the product. A tool to merge duplicate contacts that keeps activity history would save our ops team hours. We estimate we lose roughly 19 hours a month on this. Thanks to the team.</t>
        </is>
      </c>
      <c r="J402" t="inlineStr">
        <is>
          <t>Positive</t>
        </is>
      </c>
      <c r="K402" t="inlineStr">
        <is>
          <t>Low</t>
        </is>
      </c>
      <c r="L402" t="inlineStr">
        <is>
          <t>Minor Inconvenience</t>
        </is>
      </c>
    </row>
    <row r="403">
      <c r="A403" t="inlineStr">
        <is>
          <t>FB-00402</t>
        </is>
      </c>
      <c r="B403" t="inlineStr">
        <is>
          <t>CUST-0202</t>
        </is>
      </c>
      <c r="C403" t="inlineStr">
        <is>
          <t>27-Jan-2026</t>
        </is>
      </c>
      <c r="D403" t="inlineStr">
        <is>
          <t>Customer Survey</t>
        </is>
      </c>
      <c r="E403" t="inlineStr">
        <is>
          <t>Enterprise</t>
        </is>
      </c>
      <c r="F403" t="inlineStr">
        <is>
          <t>Enterprise</t>
        </is>
      </c>
      <c r="G403" t="inlineStr">
        <is>
          <t>Lead Management</t>
        </is>
      </c>
      <c r="H403" t="inlineStr">
        <is>
          <t>Bug</t>
        </is>
      </c>
      <c r="I403" t="inlineStr">
        <is>
          <t>Noting this during onboarding. There are duplicate lead records across our pipeline views and nobody knows which record is the source of truth. It happens about 23 times a week for our team of 5. Happy to join a feedback call.</t>
        </is>
      </c>
      <c r="J403" t="inlineStr">
        <is>
          <t>Neutral</t>
        </is>
      </c>
      <c r="K403" t="inlineStr">
        <is>
          <t>Low</t>
        </is>
      </c>
      <c r="L403" t="inlineStr">
        <is>
          <t>Minor Inconvenience</t>
        </is>
      </c>
    </row>
    <row r="404">
      <c r="A404" t="inlineStr">
        <is>
          <t>FB-00403</t>
        </is>
      </c>
      <c r="B404" t="inlineStr">
        <is>
          <t>CUST-0103</t>
        </is>
      </c>
      <c r="C404" t="inlineStr">
        <is>
          <t>2026-01-27</t>
        </is>
      </c>
      <c r="D404" t="inlineStr">
        <is>
          <t>Customer Survey</t>
        </is>
      </c>
      <c r="E404" t="inlineStr">
        <is>
          <t>Professional</t>
        </is>
      </c>
      <c r="F404" t="inlineStr">
        <is>
          <t>Mid-Market</t>
        </is>
      </c>
      <c r="G404" t="inlineStr">
        <is>
          <t>Workflow Automation</t>
        </is>
      </c>
      <c r="H404" t="inlineStr">
        <is>
          <t>Feature Request</t>
        </is>
      </c>
      <c r="I404" t="inlineStr">
        <is>
          <t>Requesting a discount approval flow; today approvals happen over chat. So far 10 people on our side have reported it.</t>
        </is>
      </c>
      <c r="J404" t="inlineStr">
        <is>
          <t>Positive</t>
        </is>
      </c>
      <c r="K404" t="inlineStr">
        <is>
          <t>Low</t>
        </is>
      </c>
      <c r="L404" t="inlineStr">
        <is>
          <t>Minor Inconvenience</t>
        </is>
      </c>
    </row>
    <row r="405">
      <c r="A405" t="inlineStr">
        <is>
          <t>FB-00404</t>
        </is>
      </c>
      <c r="B405" t="inlineStr">
        <is>
          <t>CUST-0054</t>
        </is>
      </c>
      <c r="C405" t="inlineStr">
        <is>
          <t>2026-01-28</t>
        </is>
      </c>
      <c r="D405" t="inlineStr">
        <is>
          <t>Feature Request</t>
        </is>
      </c>
      <c r="E405" t="inlineStr">
        <is>
          <t>Enterprise</t>
        </is>
      </c>
      <c r="F405" t="inlineStr">
        <is>
          <t>Enterprise</t>
        </is>
      </c>
      <c r="G405" t="inlineStr">
        <is>
          <t>User Interface</t>
        </is>
      </c>
      <c r="H405" t="inlineStr">
        <is>
          <t>Feature Request</t>
        </is>
      </c>
      <c r="I405" t="inlineStr">
        <is>
          <t>Please add bulk actions on lists; changing records one at a time wastes hours. Our RevOps lead flagged it while onboarding 8 new users. Keep up the good work.</t>
        </is>
      </c>
      <c r="J405" t="inlineStr">
        <is>
          <t>Positive</t>
        </is>
      </c>
      <c r="K405" t="inlineStr">
        <is>
          <t>Low</t>
        </is>
      </c>
      <c r="L405" t="inlineStr">
        <is>
          <t>Minor Inconvenience</t>
        </is>
      </c>
    </row>
    <row r="406">
      <c r="A406" t="inlineStr">
        <is>
          <t>FB-00405</t>
        </is>
      </c>
      <c r="B406" t="inlineStr">
        <is>
          <t>CUST-0015</t>
        </is>
      </c>
      <c r="C406" t="inlineStr">
        <is>
          <t>2026-01-28</t>
        </is>
      </c>
      <c r="D406" t="inlineStr">
        <is>
          <t>Support Ticket</t>
        </is>
      </c>
      <c r="E406" t="inlineStr">
        <is>
          <t>Professional</t>
        </is>
      </c>
      <c r="F406" t="inlineStr">
        <is>
          <t>Mid-Market</t>
        </is>
      </c>
      <c r="G406" t="inlineStr">
        <is>
          <t>Lead Management</t>
        </is>
      </c>
      <c r="H406" t="inlineStr">
        <is>
          <t>Bug</t>
        </is>
      </c>
      <c r="I406" t="inlineStr">
        <is>
          <t>Escalating on behalf of our ops lead. After every list import we find lead de-duplication failures that have to be cleaned up by hand. Is there a workaround?</t>
        </is>
      </c>
      <c r="J406" t="inlineStr">
        <is>
          <t>Negative</t>
        </is>
      </c>
      <c r="K406" t="inlineStr">
        <is>
          <t>High</t>
        </is>
      </c>
      <c r="L406" t="inlineStr">
        <is>
          <t>Revenue/Operations Risk</t>
        </is>
      </c>
    </row>
    <row r="407">
      <c r="A407" t="inlineStr">
        <is>
          <t>FB-00406</t>
        </is>
      </c>
      <c r="B407" t="inlineStr">
        <is>
          <t>CUST-0216</t>
        </is>
      </c>
      <c r="C407" t="inlineStr">
        <is>
          <t>2026-01-29</t>
        </is>
      </c>
      <c r="D407" t="inlineStr">
        <is>
          <t>Customer Survey</t>
        </is>
      </c>
      <c r="E407" t="inlineStr">
        <is>
          <t>Starter</t>
        </is>
      </c>
      <c r="F407" t="inlineStr">
        <is>
          <t>Mid-Market</t>
        </is>
      </c>
      <c r="G407" t="inlineStr">
        <is>
          <t>Contact Management</t>
        </is>
      </c>
      <c r="H407" t="inlineStr">
        <is>
          <t>Feature Request</t>
        </is>
      </c>
      <c r="I407" t="inlineStr">
        <is>
          <t>Requesting a contact relationship hierarchy so account managers can see who reports to whom. It affects our renewal process every cycle.</t>
        </is>
      </c>
      <c r="J407" t="inlineStr">
        <is>
          <t>Positive</t>
        </is>
      </c>
      <c r="K407" t="inlineStr">
        <is>
          <t>Low</t>
        </is>
      </c>
      <c r="L407" t="inlineStr">
        <is>
          <t>Minor Inconvenience</t>
        </is>
      </c>
    </row>
    <row r="408">
      <c r="A408" t="inlineStr">
        <is>
          <t>FB-00407</t>
        </is>
      </c>
      <c r="B408" t="inlineStr">
        <is>
          <t>CUST-0390</t>
        </is>
      </c>
      <c r="C408" t="inlineStr">
        <is>
          <t>2026-01-29</t>
        </is>
      </c>
      <c r="D408" t="inlineStr">
        <is>
          <t>In-App Feedback</t>
        </is>
      </c>
      <c r="E408" t="inlineStr">
        <is>
          <t>Professional</t>
        </is>
      </c>
      <c r="F408" t="inlineStr">
        <is>
          <t>Mid-Market</t>
        </is>
      </c>
      <c r="G408" t="inlineStr">
        <is>
          <t>Integrations</t>
        </is>
      </c>
      <c r="H408" t="inlineStr">
        <is>
          <t>Feature Request</t>
        </is>
      </c>
      <c r="I408" t="inlineStr">
        <is>
          <t>Feedback from our monthly review. Please build a marketing automation connector; our team copies data across systems daily. So far 88 people on our side have reported it. Let us know if you need examples.</t>
        </is>
      </c>
      <c r="J408" t="inlineStr">
        <is>
          <t>Neutral</t>
        </is>
      </c>
      <c r="K408" t="inlineStr">
        <is>
          <t>Low</t>
        </is>
      </c>
      <c r="L408" t="inlineStr">
        <is>
          <t>Minor Inconvenience</t>
        </is>
      </c>
    </row>
    <row r="409">
      <c r="A409" t="inlineStr">
        <is>
          <t>FB-00408</t>
        </is>
      </c>
      <c r="B409" t="inlineStr">
        <is>
          <t>CUST-0218</t>
        </is>
      </c>
      <c r="C409" t="inlineStr">
        <is>
          <t>2026-01-29</t>
        </is>
      </c>
      <c r="D409" t="inlineStr">
        <is>
          <t>Support Ticket</t>
        </is>
      </c>
      <c r="E409" t="inlineStr">
        <is>
          <t>Professional</t>
        </is>
      </c>
      <c r="F409" t="inlineStr">
        <is>
          <t>SMB</t>
        </is>
      </c>
      <c r="G409" t="inlineStr">
        <is>
          <t>Contact Management</t>
        </is>
      </c>
      <c r="H409" t="inlineStr">
        <is>
          <t>Bug</t>
        </is>
      </c>
      <c r="I409" t="inlineStr">
        <is>
          <t>The import field mapping rejects files with accented characters in names. We estimate we lose roughly 55 hours a month on this.</t>
        </is>
      </c>
      <c r="J409" t="inlineStr">
        <is>
          <t>Negative</t>
        </is>
      </c>
      <c r="K409" t="inlineStr">
        <is>
          <t>Low</t>
        </is>
      </c>
      <c r="L409" t="inlineStr">
        <is>
          <t>Minor Inconvenience</t>
        </is>
      </c>
    </row>
    <row r="410">
      <c r="A410" t="inlineStr">
        <is>
          <t>FB-00409</t>
        </is>
      </c>
      <c r="B410" t="inlineStr">
        <is>
          <t>CUST-0196</t>
        </is>
      </c>
      <c r="C410" t="inlineStr">
        <is>
          <t>2026-01-29</t>
        </is>
      </c>
      <c r="D410" t="inlineStr">
        <is>
          <t>Support Ticket</t>
        </is>
      </c>
      <c r="E410" t="inlineStr">
        <is>
          <t>Enterprise</t>
        </is>
      </c>
      <c r="F410" t="inlineStr">
        <is>
          <t>Enterprise</t>
        </is>
      </c>
      <c r="G410" t="inlineStr">
        <is>
          <t>Workflow Automation</t>
        </is>
      </c>
      <c r="H410" t="inlineStr">
        <is>
          <t>Usability Issue</t>
        </is>
      </c>
      <c r="I410" t="inlineStr">
        <is>
          <t>Overall we like the product. I can't tell what a branch does in the automation canvas without opening every node. Happy to beta test.</t>
        </is>
      </c>
      <c r="J410" t="inlineStr">
        <is>
          <t>Positive</t>
        </is>
      </c>
      <c r="K410" t="inlineStr">
        <is>
          <t>Medium</t>
        </is>
      </c>
      <c r="L410" t="inlineStr">
        <is>
          <t>Workflow Slowdown</t>
        </is>
      </c>
    </row>
    <row r="411">
      <c r="A411" t="inlineStr">
        <is>
          <t>FB-00410</t>
        </is>
      </c>
      <c r="B411" t="inlineStr">
        <is>
          <t>CUST-0096</t>
        </is>
      </c>
      <c r="C411" t="inlineStr">
        <is>
          <t>2026-01-29</t>
        </is>
      </c>
      <c r="D411" t="inlineStr">
        <is>
          <t>Support Ticket</t>
        </is>
      </c>
      <c r="E411" t="inlineStr">
        <is>
          <t>Enterprise</t>
        </is>
      </c>
      <c r="F411" t="inlineStr">
        <is>
          <t>Enterprise</t>
        </is>
      </c>
      <c r="G411" t="inlineStr">
        <is>
          <t>Workflow Automation</t>
        </is>
      </c>
      <c r="H411" t="inlineStr">
        <is>
          <t>Feature Request</t>
        </is>
      </c>
      <c r="I411" t="inlineStr">
        <is>
          <t>Great support experience recently. Adding approval steps is a blocker for our finance team. Happy to beta test.</t>
        </is>
      </c>
      <c r="J411" t="inlineStr">
        <is>
          <t>Positive</t>
        </is>
      </c>
      <c r="K411" t="inlineStr">
        <is>
          <t>Low</t>
        </is>
      </c>
      <c r="L411" t="inlineStr">
        <is>
          <t>Blocks Key Task</t>
        </is>
      </c>
    </row>
    <row r="412">
      <c r="A412" t="inlineStr">
        <is>
          <t>FB-00411</t>
        </is>
      </c>
      <c r="B412" t="inlineStr">
        <is>
          <t>CUST-0292</t>
        </is>
      </c>
      <c r="C412" t="inlineStr">
        <is>
          <t>2026-01-29</t>
        </is>
      </c>
      <c r="D412" t="inlineStr">
        <is>
          <t>In-App Feedback</t>
        </is>
      </c>
      <c r="E412" t="inlineStr">
        <is>
          <t>Professional</t>
        </is>
      </c>
      <c r="F412" t="inlineStr">
        <is>
          <t>Mid-Market</t>
        </is>
      </c>
      <c r="G412" t="inlineStr">
        <is>
          <t>Workflow Automation</t>
        </is>
      </c>
      <c r="H412" t="inlineStr">
        <is>
          <t>Bug</t>
        </is>
      </c>
      <c r="I412" t="inlineStr">
        <is>
          <t>This has been a recurring problem for us. We are hitting workflow runs failing silently: emails don't send and nobody gets notified. It affects our month-end reporting process every cycle. Please look into it soon.</t>
        </is>
      </c>
      <c r="J412" t="inlineStr">
        <is>
          <t>Negative</t>
        </is>
      </c>
      <c r="K412" t="inlineStr">
        <is>
          <t>Medium</t>
        </is>
      </c>
      <c r="L412" t="inlineStr">
        <is>
          <t>Workflow Slowdown</t>
        </is>
      </c>
    </row>
    <row r="413">
      <c r="A413" t="inlineStr">
        <is>
          <t>FB-00412</t>
        </is>
      </c>
      <c r="B413" t="inlineStr">
        <is>
          <t>CUST-0055</t>
        </is>
      </c>
      <c r="C413" t="inlineStr">
        <is>
          <t>2026-01-29</t>
        </is>
      </c>
      <c r="D413" t="inlineStr">
        <is>
          <t>Feature Request</t>
        </is>
      </c>
      <c r="E413" t="inlineStr">
        <is>
          <t>Professional</t>
        </is>
      </c>
      <c r="F413" t="inlineStr">
        <is>
          <t>Mid-Market</t>
        </is>
      </c>
      <c r="G413" t="inlineStr">
        <is>
          <t>Reporting</t>
        </is>
      </c>
      <c r="H413" t="inlineStr">
        <is>
          <t>Feature Request</t>
        </is>
      </c>
      <c r="I413" t="inlineStr">
        <is>
          <t>Escalating on behalf of our ops lead. We need scheduled report emails so non-technical managers can create their own views.</t>
        </is>
      </c>
      <c r="J413" t="inlineStr">
        <is>
          <t>Negative</t>
        </is>
      </c>
      <c r="K413" t="inlineStr">
        <is>
          <t>Low</t>
        </is>
      </c>
      <c r="L413" t="inlineStr">
        <is>
          <t>Minor Inconvenience</t>
        </is>
      </c>
    </row>
    <row r="414">
      <c r="A414" t="inlineStr">
        <is>
          <t>FB-00413</t>
        </is>
      </c>
      <c r="B414" t="inlineStr">
        <is>
          <t>CUST-0258</t>
        </is>
      </c>
      <c r="C414" t="inlineStr">
        <is>
          <t>2026-01-29</t>
        </is>
      </c>
      <c r="D414" t="inlineStr">
        <is>
          <t>Customer Survey</t>
        </is>
      </c>
      <c r="E414" t="inlineStr">
        <is>
          <t>Professional</t>
        </is>
      </c>
      <c r="F414" t="inlineStr">
        <is>
          <t>Mid-Market</t>
        </is>
      </c>
      <c r="G414" t="inlineStr">
        <is>
          <t>Lead Management</t>
        </is>
      </c>
      <c r="H414" t="inlineStr">
        <is>
          <t>Feature Request</t>
        </is>
      </c>
      <c r="I414" t="inlineStr">
        <is>
          <t>Happy with most of the product. Please add automated lead scoring based on engagement, company size and recent activity. Our customer success lead flagged it while onboarding 75 new users.</t>
        </is>
      </c>
      <c r="J414" t="inlineStr">
        <is>
          <t>Positive</t>
        </is>
      </c>
      <c r="K414" t="inlineStr">
        <is>
          <t>Low</t>
        </is>
      </c>
      <c r="L414" t="inlineStr">
        <is>
          <t>Minor Inconvenience</t>
        </is>
      </c>
    </row>
    <row r="415">
      <c r="A415" t="inlineStr">
        <is>
          <t>FB-00414</t>
        </is>
      </c>
      <c r="B415" t="inlineStr">
        <is>
          <t>CUST-0021</t>
        </is>
      </c>
      <c r="C415" t="inlineStr">
        <is>
          <t>2026-01-29</t>
        </is>
      </c>
      <c r="D415" t="inlineStr">
        <is>
          <t>In-App Feedback</t>
        </is>
      </c>
      <c r="E415" t="inlineStr">
        <is>
          <t>Professional</t>
        </is>
      </c>
      <c r="F415" t="inlineStr">
        <is>
          <t>Mid-Market</t>
        </is>
      </c>
      <c r="G415" t="inlineStr">
        <is>
          <t>User Interface</t>
        </is>
      </c>
      <c r="H415" t="inlineStr">
        <is>
          <t>Usability Issue</t>
        </is>
      </c>
      <c r="I415" t="inlineStr">
        <is>
          <t>Too many clicks to reach common screens because of the page layout. We estimate we lose roughly 16 hours a month on this. Let us know if you need examples.</t>
        </is>
      </c>
      <c r="J415" t="inlineStr">
        <is>
          <t>Neutral</t>
        </is>
      </c>
      <c r="K415" t="inlineStr">
        <is>
          <t>High</t>
        </is>
      </c>
      <c r="L415" t="inlineStr">
        <is>
          <t>Blocks Key Task</t>
        </is>
      </c>
    </row>
    <row r="416">
      <c r="A416" t="inlineStr">
        <is>
          <t>FB-00415</t>
        </is>
      </c>
      <c r="B416" t="inlineStr">
        <is>
          <t>CUST-0034</t>
        </is>
      </c>
      <c r="C416" t="inlineStr">
        <is>
          <t>2026-01-30</t>
        </is>
      </c>
      <c r="D416" t="inlineStr">
        <is>
          <t>Support Ticket</t>
        </is>
      </c>
      <c r="E416" t="inlineStr">
        <is>
          <t>Professional</t>
        </is>
      </c>
      <c r="F416" t="inlineStr">
        <is>
          <t>Mid-Market</t>
        </is>
      </c>
      <c r="G416" t="inlineStr">
        <is>
          <t>Reporting</t>
        </is>
      </c>
      <c r="H416" t="inlineStr">
        <is>
          <t>Bug</t>
        </is>
      </c>
      <c r="I416" t="inlineStr">
        <is>
          <t>Escalating on behalf of our ops lead. The report export times out for date ranges longer than a quarter. We estimate we lose roughly 30 hours a month on this.</t>
        </is>
      </c>
      <c r="J416" t="inlineStr">
        <is>
          <t>Negative</t>
        </is>
      </c>
      <c r="K416" t="inlineStr">
        <is>
          <t>Low</t>
        </is>
      </c>
      <c r="L416" t="inlineStr">
        <is>
          <t>Minor Inconvenience</t>
        </is>
      </c>
    </row>
    <row r="417">
      <c r="A417" t="inlineStr">
        <is>
          <t>FB-00416</t>
        </is>
      </c>
      <c r="B417" t="inlineStr">
        <is>
          <t>CUST-0153</t>
        </is>
      </c>
      <c r="C417" t="inlineStr">
        <is>
          <t>2026-01-30</t>
        </is>
      </c>
      <c r="D417" t="inlineStr">
        <is>
          <t>Customer Survey</t>
        </is>
      </c>
      <c r="E417" t="inlineStr">
        <is>
          <t>Enterprise</t>
        </is>
      </c>
      <c r="F417" t="inlineStr">
        <is>
          <t>Enterprise</t>
        </is>
      </c>
      <c r="G417" t="inlineStr">
        <is>
          <t>Contact Management</t>
        </is>
      </c>
      <c r="H417" t="inlineStr">
        <is>
          <t>Feature Request</t>
        </is>
      </c>
      <c r="I417" t="inlineStr">
        <is>
          <t>This has been a recurring problem for us. We need a contact relationship hierarchy to reflect parent companies and subsidiaries. Please look into it soon.</t>
        </is>
      </c>
      <c r="J417" t="inlineStr">
        <is>
          <t>Negative</t>
        </is>
      </c>
      <c r="K417" t="inlineStr">
        <is>
          <t>Low</t>
        </is>
      </c>
      <c r="L417" t="inlineStr">
        <is>
          <t>Workflow Slowdown</t>
        </is>
      </c>
    </row>
    <row r="418">
      <c r="A418" t="inlineStr">
        <is>
          <t>FB-00417</t>
        </is>
      </c>
      <c r="B418" t="inlineStr">
        <is>
          <t>CUST-0006</t>
        </is>
      </c>
      <c r="C418" t="inlineStr">
        <is>
          <t>2026-01-30</t>
        </is>
      </c>
      <c r="D418" t="inlineStr">
        <is>
          <t>Customer Survey</t>
        </is>
      </c>
      <c r="E418" t="inlineStr">
        <is>
          <t>Starter</t>
        </is>
      </c>
      <c r="F418" t="inlineStr">
        <is>
          <t>Mid-Market</t>
        </is>
      </c>
      <c r="G418" t="inlineStr">
        <is>
          <t>Workflow Automation</t>
        </is>
      </c>
      <c r="H418" t="inlineStr">
        <is>
          <t>Usability Issue</t>
        </is>
      </c>
      <c r="I418" t="inlineStr">
        <is>
          <t>Frustrated with this one. Our new admins struggle with the workflow builder; there is no guidance or validation. It happens about 29 times a week for our team of 85.</t>
        </is>
      </c>
      <c r="J418" t="inlineStr">
        <is>
          <t>Negative</t>
        </is>
      </c>
      <c r="K418" t="inlineStr">
        <is>
          <t>Medium</t>
        </is>
      </c>
      <c r="L418" t="inlineStr">
        <is>
          <t>Blocks Key Task</t>
        </is>
      </c>
    </row>
    <row r="419">
      <c r="A419" t="inlineStr">
        <is>
          <t>FB-00418</t>
        </is>
      </c>
      <c r="B419" t="inlineStr">
        <is>
          <t>CUST-0370</t>
        </is>
      </c>
      <c r="C419" t="inlineStr">
        <is>
          <t>2026-01-30</t>
        </is>
      </c>
      <c r="D419" t="inlineStr">
        <is>
          <t>Feature Request</t>
        </is>
      </c>
      <c r="E419" t="inlineStr">
        <is>
          <t>Starter</t>
        </is>
      </c>
      <c r="F419" t="inlineStr">
        <is>
          <t>SMB</t>
        </is>
      </c>
      <c r="G419" t="inlineStr">
        <is>
          <t>Lead Management</t>
        </is>
      </c>
      <c r="H419" t="inlineStr">
        <is>
          <t>Feature Request</t>
        </is>
      </c>
      <c r="I419" t="inlineStr">
        <is>
          <t>Noting this during onboarding. Please add lead scoring rules based on engagement, company size and recent activity. Our marketing ops owner flagged it while onboarding 5 new users.</t>
        </is>
      </c>
      <c r="J419" t="inlineStr">
        <is>
          <t>Neutral</t>
        </is>
      </c>
      <c r="K419" t="inlineStr">
        <is>
          <t>High</t>
        </is>
      </c>
      <c r="L419" t="inlineStr">
        <is>
          <t>Blocks Key Task</t>
        </is>
      </c>
    </row>
    <row r="420">
      <c r="A420" t="inlineStr">
        <is>
          <t>FB-00419</t>
        </is>
      </c>
      <c r="B420" t="inlineStr">
        <is>
          <t>CUST-0139</t>
        </is>
      </c>
      <c r="C420" t="inlineStr">
        <is>
          <t>2026-01-30</t>
        </is>
      </c>
      <c r="D420" t="inlineStr">
        <is>
          <t>Support Ticket</t>
        </is>
      </c>
      <c r="E420" t="inlineStr">
        <is>
          <t>Professional</t>
        </is>
      </c>
      <c r="F420" t="inlineStr">
        <is>
          <t>Mid-Market</t>
        </is>
      </c>
      <c r="G420" t="inlineStr">
        <is>
          <t>Integrations</t>
        </is>
      </c>
      <c r="H420" t="inlineStr">
        <is>
          <t>Integration Issue</t>
        </is>
      </c>
      <c r="I420" t="inlineStr">
        <is>
          <t>Our team keeps running into this. Our integration partner flagged API timeouts as a risk for the project. It happens about 28 times a week for our team of 23. We need a fix before renewal.</t>
        </is>
      </c>
      <c r="J420" t="inlineStr">
        <is>
          <t>Negative</t>
        </is>
      </c>
      <c r="K420" t="inlineStr">
        <is>
          <t>Medium</t>
        </is>
      </c>
      <c r="L420" t="inlineStr">
        <is>
          <t>Blocks Key Task</t>
        </is>
      </c>
    </row>
    <row r="421">
      <c r="A421" t="inlineStr">
        <is>
          <t>FB-00420</t>
        </is>
      </c>
      <c r="B421" t="inlineStr">
        <is>
          <t>CUST-0179</t>
        </is>
      </c>
      <c r="C421" t="inlineStr">
        <is>
          <t>2026-01-30</t>
        </is>
      </c>
      <c r="D421" t="inlineStr">
        <is>
          <t>In-App Feedback</t>
        </is>
      </c>
      <c r="E421" t="inlineStr">
        <is>
          <t>Enterprise</t>
        </is>
      </c>
      <c r="F421" t="inlineStr">
        <is>
          <t>Enterprise</t>
        </is>
      </c>
      <c r="G421" t="inlineStr">
        <is>
          <t>Workflow Automation</t>
        </is>
      </c>
      <c r="H421" t="inlineStr">
        <is>
          <t>Bug</t>
        </is>
      </c>
      <c r="I421" t="inlineStr">
        <is>
          <t>Feedback from our monthly review. Several automation misfires left deals stuck in the wrong stage. It affects our weekly pipeline review process every cycle.</t>
        </is>
      </c>
      <c r="J421" t="inlineStr">
        <is>
          <t>Neutral</t>
        </is>
      </c>
      <c r="K421" t="inlineStr">
        <is>
          <t>Medium</t>
        </is>
      </c>
      <c r="L421" t="inlineStr">
        <is>
          <t>Workflow Slowdown</t>
        </is>
      </c>
    </row>
    <row r="422">
      <c r="A422" t="inlineStr">
        <is>
          <t>FB-00421</t>
        </is>
      </c>
      <c r="B422" t="inlineStr">
        <is>
          <t>CUST-0264</t>
        </is>
      </c>
      <c r="C422" t="inlineStr">
        <is>
          <t>2026-01-30</t>
        </is>
      </c>
      <c r="D422" t="inlineStr">
        <is>
          <t>Feature Request</t>
        </is>
      </c>
      <c r="E422" t="inlineStr">
        <is>
          <t>Professional</t>
        </is>
      </c>
      <c r="F422" t="inlineStr">
        <is>
          <t>Mid-Market</t>
        </is>
      </c>
      <c r="G422" t="inlineStr">
        <is>
          <t xml:space="preserve"> Contact Management</t>
        </is>
      </c>
      <c r="H422" t="inlineStr">
        <is>
          <t>Feature Request</t>
        </is>
      </c>
      <c r="I422" t="inlineStr">
        <is>
          <t>Overall we like the product. We need contact de-duplication tooling because our database has years of overlapping records. It happens about 5 times a week for our team of 94.</t>
        </is>
      </c>
      <c r="J422" t="inlineStr">
        <is>
          <t>Positive</t>
        </is>
      </c>
      <c r="K422" t="inlineStr">
        <is>
          <t>Low</t>
        </is>
      </c>
      <c r="L422" t="inlineStr">
        <is>
          <t>Workflow Slowdown</t>
        </is>
      </c>
    </row>
    <row r="423">
      <c r="A423" t="inlineStr">
        <is>
          <t>FB-00422</t>
        </is>
      </c>
      <c r="B423" t="inlineStr">
        <is>
          <t>CUST-0175</t>
        </is>
      </c>
      <c r="C423" t="inlineStr">
        <is>
          <t>2026-01-30</t>
        </is>
      </c>
      <c r="D423" t="inlineStr">
        <is>
          <t>Support Ticket</t>
        </is>
      </c>
      <c r="E423" t="inlineStr">
        <is>
          <t>Professional</t>
        </is>
      </c>
      <c r="F423" t="inlineStr">
        <is>
          <t>Mid-Market</t>
        </is>
      </c>
      <c r="G423" t="inlineStr">
        <is>
          <t>Workflow Automation</t>
        </is>
      </c>
      <c r="H423" t="inlineStr">
        <is>
          <t>Usability Issue</t>
        </is>
      </c>
      <c r="I423" t="inlineStr">
        <is>
          <t>Escalating on behalf of our ops lead. Our new admins struggle with the automation canvas; there is no guidance or validation. Our RevOps lead flagged it while onboarding 31 new users. We need a fix before renewal.</t>
        </is>
      </c>
      <c r="J423" t="inlineStr">
        <is>
          <t>Negative</t>
        </is>
      </c>
      <c r="K423" t="inlineStr">
        <is>
          <t>High</t>
        </is>
      </c>
      <c r="L423" t="inlineStr">
        <is>
          <t>Blocks Key Task</t>
        </is>
      </c>
    </row>
    <row r="424">
      <c r="A424" t="inlineStr">
        <is>
          <t>FB-00423</t>
        </is>
      </c>
      <c r="B424" t="inlineStr">
        <is>
          <t>CUST-0055</t>
        </is>
      </c>
      <c r="C424" t="inlineStr">
        <is>
          <t>2026-01-30</t>
        </is>
      </c>
      <c r="D424" t="inlineStr">
        <is>
          <t>Support Ticket</t>
        </is>
      </c>
      <c r="E424" t="inlineStr">
        <is>
          <t>Professional</t>
        </is>
      </c>
      <c r="F424" t="inlineStr">
        <is>
          <t>Mid-Market</t>
        </is>
      </c>
      <c r="G424" t="inlineStr">
        <is>
          <t xml:space="preserve"> Contact Management</t>
        </is>
      </c>
      <c r="H424" t="inlineStr">
        <is>
          <t>Bug</t>
        </is>
      </c>
      <c r="I424" t="inlineStr">
        <is>
          <t>Escalating on behalf of our ops lead. The spreadsheet import silently skipped rows and we only noticed days later. It happens about 5 times a week for our team of 112. Please look into it soon.</t>
        </is>
      </c>
      <c r="J424" t="inlineStr">
        <is>
          <t>Negative</t>
        </is>
      </c>
      <c r="K424" t="inlineStr">
        <is>
          <t>Low</t>
        </is>
      </c>
      <c r="L424" t="inlineStr">
        <is>
          <t>Minor Inconvenience</t>
        </is>
      </c>
    </row>
    <row r="425">
      <c r="A425" t="inlineStr">
        <is>
          <t>FB-00424</t>
        </is>
      </c>
      <c r="B425" t="inlineStr">
        <is>
          <t>CUST-0207</t>
        </is>
      </c>
      <c r="C425" t="inlineStr">
        <is>
          <t>2026-01-31</t>
        </is>
      </c>
      <c r="D425" t="inlineStr">
        <is>
          <t>Customer Survey</t>
        </is>
      </c>
      <c r="E425" t="inlineStr">
        <is>
          <t>Professional</t>
        </is>
      </c>
      <c r="F425" t="inlineStr">
        <is>
          <t>Mid-Market</t>
        </is>
      </c>
      <c r="G425" t="inlineStr">
        <is>
          <t>User Interface</t>
        </is>
      </c>
      <c r="H425" t="inlineStr">
        <is>
          <t>Feature Request</t>
        </is>
      </c>
      <c r="I425" t="inlineStr">
        <is>
          <t>Sharing this from our team. Please prioritize offline mobile access; the mobile web view is hard to use. Happy to join a feedback call.</t>
        </is>
      </c>
      <c r="J425" t="inlineStr">
        <is>
          <t>Neutral</t>
        </is>
      </c>
      <c r="K425" t="inlineStr">
        <is>
          <t>Low</t>
        </is>
      </c>
      <c r="L425" t="inlineStr">
        <is>
          <t>Minor Inconvenience</t>
        </is>
      </c>
    </row>
    <row r="426">
      <c r="A426" t="inlineStr">
        <is>
          <t>FB-00425</t>
        </is>
      </c>
      <c r="B426" t="inlineStr">
        <is>
          <t>CUST-0209</t>
        </is>
      </c>
      <c r="C426" t="inlineStr">
        <is>
          <t>2026-01-31</t>
        </is>
      </c>
      <c r="D426" t="inlineStr">
        <is>
          <t>Feature Request</t>
        </is>
      </c>
      <c r="E426" t="inlineStr">
        <is>
          <t>Professional</t>
        </is>
      </c>
      <c r="F426" t="inlineStr">
        <is>
          <t>Enterprise</t>
        </is>
      </c>
      <c r="G426" t="inlineStr">
        <is>
          <t>Lead Management</t>
        </is>
      </c>
      <c r="H426" t="inlineStr">
        <is>
          <t>feature request</t>
        </is>
      </c>
      <c r="I426" t="inlineStr">
        <is>
          <t>Quick note from our admin. We need automated lead scoring so reps can focus on the prospects most likely to close. Happy to join a feedback call.</t>
        </is>
      </c>
      <c r="J426" t="inlineStr">
        <is>
          <t>Neutral</t>
        </is>
      </c>
      <c r="K426" t="inlineStr">
        <is>
          <t>High</t>
        </is>
      </c>
      <c r="L426" t="inlineStr">
        <is>
          <t>Minor Inconvenience</t>
        </is>
      </c>
    </row>
    <row r="427">
      <c r="A427" t="inlineStr">
        <is>
          <t>FB-00426</t>
        </is>
      </c>
      <c r="B427" t="inlineStr">
        <is>
          <t>CUST-0214</t>
        </is>
      </c>
      <c r="C427" t="inlineStr">
        <is>
          <t>2026-01-31</t>
        </is>
      </c>
      <c r="D427" t="inlineStr">
        <is>
          <t>Customer Survey</t>
        </is>
      </c>
      <c r="E427" t="inlineStr">
        <is>
          <t>Starter</t>
        </is>
      </c>
      <c r="F427" t="inlineStr">
        <is>
          <t>SMB</t>
        </is>
      </c>
      <c r="G427" t="inlineStr">
        <is>
          <t>User Interface</t>
        </is>
      </c>
      <c r="H427" t="inlineStr">
        <is>
          <t xml:space="preserve">Usability Issue </t>
        </is>
      </c>
      <c r="I427" t="inlineStr">
        <is>
          <t>FYI for the product team. The settings navigation changed and nobody told us where things moved. We estimate we lose roughly 7 hours a month on this. Let us know if you need examples.</t>
        </is>
      </c>
      <c r="J427" t="inlineStr">
        <is>
          <t>Neutral</t>
        </is>
      </c>
      <c r="K427" t="inlineStr">
        <is>
          <t>Medium</t>
        </is>
      </c>
      <c r="L427" t="inlineStr">
        <is>
          <t>Workflow Slowdown</t>
        </is>
      </c>
    </row>
    <row r="428">
      <c r="A428" t="inlineStr">
        <is>
          <t>FB-00427</t>
        </is>
      </c>
      <c r="B428" t="inlineStr">
        <is>
          <t>CUST-0197</t>
        </is>
      </c>
      <c r="C428" t="inlineStr">
        <is>
          <t>2026-01-31</t>
        </is>
      </c>
      <c r="D428" t="inlineStr">
        <is>
          <t>Feature Request</t>
        </is>
      </c>
      <c r="E428" t="inlineStr">
        <is>
          <t>Professional</t>
        </is>
      </c>
      <c r="F428" t="inlineStr">
        <is>
          <t>Mid-Market</t>
        </is>
      </c>
      <c r="G428" t="inlineStr">
        <is>
          <t>Contact Management</t>
        </is>
      </c>
      <c r="H428" t="inlineStr">
        <is>
          <t>Feature Request</t>
        </is>
      </c>
      <c r="I428" t="inlineStr">
        <is>
          <t>Overall we like the product. Is there any plan for a tool to merge duplicate contacts? Merging one record at a time is not realistic. Thanks to the team.</t>
        </is>
      </c>
      <c r="J428" t="inlineStr">
        <is>
          <t>Positive</t>
        </is>
      </c>
      <c r="K428" t="inlineStr">
        <is>
          <t>Low</t>
        </is>
      </c>
      <c r="L428" t="inlineStr">
        <is>
          <t>Minor Inconvenience</t>
        </is>
      </c>
    </row>
    <row r="429">
      <c r="A429" t="inlineStr">
        <is>
          <t>FB-00428</t>
        </is>
      </c>
      <c r="B429" t="inlineStr">
        <is>
          <t>CUST-0284</t>
        </is>
      </c>
      <c r="C429" t="inlineStr">
        <is>
          <t>2026-01-31</t>
        </is>
      </c>
      <c r="D429" t="inlineStr">
        <is>
          <t>In-App Feedback</t>
        </is>
      </c>
      <c r="E429" t="inlineStr">
        <is>
          <t>Enterprise</t>
        </is>
      </c>
      <c r="F429" t="inlineStr">
        <is>
          <t>Enterprise</t>
        </is>
      </c>
      <c r="G429" t="inlineStr">
        <is>
          <t>Reporting</t>
        </is>
      </c>
      <c r="H429" t="inlineStr">
        <is>
          <t>Feature Request</t>
        </is>
      </c>
      <c r="I429" t="inlineStr">
        <is>
          <t>Raising this again after our last business review. Please add a custom report builder; today an analyst rebuilds the same report every week. Please look into it soon.</t>
        </is>
      </c>
      <c r="J429" t="inlineStr">
        <is>
          <t>Negative</t>
        </is>
      </c>
      <c r="K429" t="inlineStr">
        <is>
          <t>Medium</t>
        </is>
      </c>
      <c r="L429" t="inlineStr">
        <is>
          <t>Workflow Slowdown</t>
        </is>
      </c>
    </row>
    <row r="430">
      <c r="A430" t="inlineStr">
        <is>
          <t>FB-00429</t>
        </is>
      </c>
      <c r="B430" t="inlineStr">
        <is>
          <t>CUST-0260</t>
        </is>
      </c>
      <c r="C430" t="inlineStr">
        <is>
          <t>2026-02-01</t>
        </is>
      </c>
      <c r="D430" t="inlineStr">
        <is>
          <t>In-App Feedback</t>
        </is>
      </c>
      <c r="E430" t="inlineStr">
        <is>
          <t>Starter</t>
        </is>
      </c>
      <c r="F430" t="inlineStr">
        <is>
          <t>SMB</t>
        </is>
      </c>
      <c r="G430" t="inlineStr">
        <is>
          <t>Contact Management</t>
        </is>
      </c>
      <c r="H430" t="inlineStr">
        <is>
          <t>Bug</t>
        </is>
      </c>
      <c r="I430" t="inlineStr">
        <is>
          <t>Our team keeps running into this. The spreadsheet import rejects files with accented characters in names. We estimate we lose roughly 33 hours a month on this.</t>
        </is>
      </c>
      <c r="J430" t="inlineStr">
        <is>
          <t>Negative</t>
        </is>
      </c>
      <c r="K430" t="inlineStr">
        <is>
          <t>Medium</t>
        </is>
      </c>
      <c r="L430" t="inlineStr">
        <is>
          <t>Workflow Slowdown</t>
        </is>
      </c>
    </row>
    <row r="431">
      <c r="A431" t="inlineStr">
        <is>
          <t>FB-00430</t>
        </is>
      </c>
      <c r="B431" t="inlineStr">
        <is>
          <t>CUST-0091</t>
        </is>
      </c>
      <c r="C431" t="inlineStr">
        <is>
          <t>2026-02-01</t>
        </is>
      </c>
      <c r="D431" t="inlineStr">
        <is>
          <t>In-App Feedback</t>
        </is>
      </c>
      <c r="E431" t="inlineStr">
        <is>
          <t>Professional</t>
        </is>
      </c>
      <c r="F431" t="inlineStr">
        <is>
          <t>SMB</t>
        </is>
      </c>
      <c r="G431" t="inlineStr">
        <is>
          <t>Integrations</t>
        </is>
      </c>
      <c r="H431" t="inlineStr">
        <is>
          <t>Integration Issue</t>
        </is>
      </c>
      <c r="I431" t="inlineStr">
        <is>
          <t>Feedback from our monthly review. We keep hitting API rate limits during nightly syncs with our data warehouse. We estimate we lose roughly 17 hours a month on this. Let us know if you need examples.</t>
        </is>
      </c>
      <c r="J431" t="inlineStr">
        <is>
          <t>Neutral</t>
        </is>
      </c>
      <c r="K431" t="inlineStr">
        <is>
          <t>Critical</t>
        </is>
      </c>
      <c r="L431" t="inlineStr">
        <is>
          <t>Blocks Key Task</t>
        </is>
      </c>
    </row>
    <row r="432">
      <c r="A432" t="inlineStr">
        <is>
          <t>FB-00431</t>
        </is>
      </c>
      <c r="B432" t="inlineStr">
        <is>
          <t>CUST-0293</t>
        </is>
      </c>
      <c r="C432" t="inlineStr">
        <is>
          <t>2026-02-01</t>
        </is>
      </c>
      <c r="D432" t="inlineStr">
        <is>
          <t>In-App Feedback</t>
        </is>
      </c>
      <c r="E432" t="inlineStr">
        <is>
          <t>Enterprise</t>
        </is>
      </c>
      <c r="F432" t="inlineStr">
        <is>
          <t>Enterprise</t>
        </is>
      </c>
      <c r="G432" t="inlineStr">
        <is>
          <t>Integrations</t>
        </is>
      </c>
      <c r="H432" t="inlineStr">
        <is>
          <t>Integration Issue</t>
        </is>
      </c>
      <c r="I432" t="inlineStr">
        <is>
          <t>Not what we expected for the price. Our integration partner flagged API rate limits as a risk for the project. We need a fix before renewal.</t>
        </is>
      </c>
      <c r="J432" t="inlineStr">
        <is>
          <t>Negative</t>
        </is>
      </c>
      <c r="K432" t="inlineStr">
        <is>
          <t>High</t>
        </is>
      </c>
      <c r="L432" t="inlineStr">
        <is>
          <t>Blocks Key Task</t>
        </is>
      </c>
    </row>
    <row r="433">
      <c r="A433" t="inlineStr">
        <is>
          <t>FB-00432</t>
        </is>
      </c>
      <c r="B433" t="inlineStr">
        <is>
          <t>CUST-0366</t>
        </is>
      </c>
      <c r="C433" t="inlineStr">
        <is>
          <t>2026-02-02</t>
        </is>
      </c>
      <c r="D433" t="inlineStr">
        <is>
          <t>Support Ticket</t>
        </is>
      </c>
      <c r="E433" t="inlineStr">
        <is>
          <t>Professional</t>
        </is>
      </c>
      <c r="F433" t="inlineStr">
        <is>
          <t>Mid-Market</t>
        </is>
      </c>
      <c r="G433" t="inlineStr">
        <is>
          <t>Contact Management</t>
        </is>
      </c>
      <c r="H433" t="inlineStr">
        <is>
          <t>Performance Issue</t>
        </is>
      </c>
      <c r="I433" t="inlineStr">
        <is>
          <t>Noting this during onboarding. We avoid contact list filtering during calls because it takes too long. So far 118 people on our side have reported it. Happy to join a feedback call.</t>
        </is>
      </c>
      <c r="J433" t="inlineStr">
        <is>
          <t>Neutral</t>
        </is>
      </c>
      <c r="K433" t="inlineStr">
        <is>
          <t>Low</t>
        </is>
      </c>
      <c r="L433" t="inlineStr">
        <is>
          <t>Minor Inconvenience</t>
        </is>
      </c>
    </row>
    <row r="434">
      <c r="A434" t="inlineStr">
        <is>
          <t>FB-00433</t>
        </is>
      </c>
      <c r="B434" t="inlineStr">
        <is>
          <t>CUST-0216</t>
        </is>
      </c>
      <c r="C434" t="inlineStr">
        <is>
          <t>2026-02-02</t>
        </is>
      </c>
      <c r="D434" t="inlineStr">
        <is>
          <t>In-App Feedback</t>
        </is>
      </c>
      <c r="E434" t="inlineStr">
        <is>
          <t>Starter</t>
        </is>
      </c>
      <c r="F434" t="inlineStr">
        <is>
          <t>Mid-Market</t>
        </is>
      </c>
      <c r="G434" t="inlineStr">
        <is>
          <t>User Interface</t>
        </is>
      </c>
      <c r="H434" t="inlineStr">
        <is>
          <t>Usability Issue</t>
        </is>
      </c>
      <c r="I434" t="inlineStr">
        <is>
          <t>Too many clicks to reach common screens because of the page layout. Is there a workaround?</t>
        </is>
      </c>
      <c r="J434" t="inlineStr">
        <is>
          <t>Negative</t>
        </is>
      </c>
      <c r="K434" t="inlineStr">
        <is>
          <t>Medium</t>
        </is>
      </c>
      <c r="L434" t="inlineStr">
        <is>
          <t>Minor Inconvenience</t>
        </is>
      </c>
    </row>
    <row r="435">
      <c r="A435" t="inlineStr">
        <is>
          <t>FB-00434</t>
        </is>
      </c>
      <c r="B435" t="inlineStr">
        <is>
          <t>CUST-0258</t>
        </is>
      </c>
      <c r="C435" t="inlineStr">
        <is>
          <t>2026-02-03</t>
        </is>
      </c>
      <c r="D435" t="inlineStr">
        <is>
          <t>Support Ticket</t>
        </is>
      </c>
      <c r="E435" t="inlineStr">
        <is>
          <t>Professional</t>
        </is>
      </c>
      <c r="F435" t="inlineStr">
        <is>
          <t>Mid-Market</t>
        </is>
      </c>
      <c r="G435" t="inlineStr">
        <is>
          <t>Workflow Automation</t>
        </is>
      </c>
      <c r="H435" t="inlineStr">
        <is>
          <t>Bug</t>
        </is>
      </c>
      <c r="I435" t="inlineStr">
        <is>
          <t>We found workflow runs failing silently only because a customer complained. We estimate we lose roughly 33 hours a month on this.</t>
        </is>
      </c>
      <c r="J435" t="inlineStr">
        <is>
          <t>Neutral</t>
        </is>
      </c>
      <c r="K435" t="inlineStr">
        <is>
          <t>High</t>
        </is>
      </c>
      <c r="L435" t="inlineStr">
        <is>
          <t>Blocks Key Task</t>
        </is>
      </c>
    </row>
    <row r="436">
      <c r="A436" t="inlineStr">
        <is>
          <t>FB-00435</t>
        </is>
      </c>
      <c r="B436" t="inlineStr">
        <is>
          <t>CUST-0138</t>
        </is>
      </c>
      <c r="C436" t="inlineStr">
        <is>
          <t>2026-02-03</t>
        </is>
      </c>
      <c r="D436" t="inlineStr">
        <is>
          <t>Customer Survey</t>
        </is>
      </c>
      <c r="E436" t="inlineStr">
        <is>
          <t>Starter</t>
        </is>
      </c>
      <c r="F436" t="inlineStr">
        <is>
          <t>SMB</t>
        </is>
      </c>
      <c r="G436" t="inlineStr">
        <is>
          <t>Contact Management</t>
        </is>
      </c>
      <c r="H436" t="inlineStr">
        <is>
          <t>Bug</t>
        </is>
      </c>
      <c r="I436" t="inlineStr">
        <is>
          <t>Escalating on behalf of our ops lead. The contact CSV import fails halfway through with a generic error and no row-level detail. Our marketing ops owner flagged it while onboarding 46 new users.</t>
        </is>
      </c>
      <c r="J436" t="inlineStr">
        <is>
          <t>Negative</t>
        </is>
      </c>
      <c r="K436" t="inlineStr">
        <is>
          <t>High</t>
        </is>
      </c>
      <c r="L436" t="inlineStr">
        <is>
          <t>Blocks Key Task</t>
        </is>
      </c>
    </row>
    <row r="437">
      <c r="A437" t="inlineStr">
        <is>
          <t>FB-00436</t>
        </is>
      </c>
      <c r="B437" t="inlineStr">
        <is>
          <t>CUST-0108</t>
        </is>
      </c>
      <c r="C437" t="inlineStr">
        <is>
          <t>2026-02-04</t>
        </is>
      </c>
      <c r="D437" t="inlineStr">
        <is>
          <t>Customer Survey</t>
        </is>
      </c>
      <c r="E437" t="inlineStr">
        <is>
          <t>Enterprise</t>
        </is>
      </c>
      <c r="F437" t="inlineStr">
        <is>
          <t>Mid-Market</t>
        </is>
      </c>
      <c r="G437" t="inlineStr">
        <is>
          <t>Integrations</t>
        </is>
      </c>
      <c r="H437" t="inlineStr">
        <is>
          <t>Integration Issue</t>
        </is>
      </c>
      <c r="I437" t="inlineStr">
        <is>
          <t>We keep hitting webhook delivery during nightly syncs with our data warehouse. It happens about 34 times a week for our team of 68.</t>
        </is>
      </c>
      <c r="J437" t="inlineStr">
        <is>
          <t>Neutral</t>
        </is>
      </c>
      <c r="K437" t="inlineStr">
        <is>
          <t>Medium</t>
        </is>
      </c>
      <c r="L437" t="inlineStr">
        <is>
          <t>Workflow Slowdown</t>
        </is>
      </c>
    </row>
    <row r="438">
      <c r="A438" t="inlineStr">
        <is>
          <t>FB-00437</t>
        </is>
      </c>
      <c r="B438" t="inlineStr">
        <is>
          <t>CUST-0402</t>
        </is>
      </c>
      <c r="C438" t="inlineStr">
        <is>
          <t>2026-02-04</t>
        </is>
      </c>
      <c r="D438" t="inlineStr">
        <is>
          <t>In-App Feedback</t>
        </is>
      </c>
      <c r="E438" t="inlineStr">
        <is>
          <t>Professional</t>
        </is>
      </c>
      <c r="F438" t="inlineStr">
        <is>
          <t>Mid-Market</t>
        </is>
      </c>
      <c r="G438" t="inlineStr">
        <is>
          <t>Workflow Automation</t>
        </is>
      </c>
      <c r="H438" t="inlineStr">
        <is>
          <t>Bug</t>
        </is>
      </c>
      <c r="I438" t="inlineStr">
        <is>
          <t>Not what we expected for the price. Several workflow runs failing silently left deals stuck in the wrong stage. Our marketing ops owner flagged it while onboarding 85 new users.</t>
        </is>
      </c>
      <c r="J438" t="inlineStr">
        <is>
          <t>Negative</t>
        </is>
      </c>
      <c r="K438" t="inlineStr">
        <is>
          <t>Low</t>
        </is>
      </c>
      <c r="L438" t="inlineStr">
        <is>
          <t>Minor Inconvenience</t>
        </is>
      </c>
    </row>
    <row r="439">
      <c r="A439" t="inlineStr">
        <is>
          <t>FB-00438</t>
        </is>
      </c>
      <c r="B439" t="inlineStr">
        <is>
          <t>CUST-0116</t>
        </is>
      </c>
      <c r="C439" t="inlineStr">
        <is>
          <t>2026-02-04</t>
        </is>
      </c>
      <c r="D439" t="inlineStr">
        <is>
          <t>Feature Request</t>
        </is>
      </c>
      <c r="E439" t="inlineStr">
        <is>
          <t>Professional</t>
        </is>
      </c>
      <c r="F439" t="inlineStr">
        <is>
          <t>SMB</t>
        </is>
      </c>
      <c r="G439" t="inlineStr">
        <is>
          <t>User Interface</t>
        </is>
      </c>
      <c r="H439" t="inlineStr">
        <is>
          <t>Feature Request</t>
        </is>
      </c>
      <c r="I439" t="inlineStr">
        <is>
          <t>Please add multi-select actions; changing records one at a time wastes hours. Our marketing ops owner flagged it while onboarding 100 new users. Happy to join a feedback call.</t>
        </is>
      </c>
      <c r="J439" t="inlineStr">
        <is>
          <t>Neutral</t>
        </is>
      </c>
      <c r="K439" t="inlineStr">
        <is>
          <t>Low</t>
        </is>
      </c>
      <c r="L439" t="inlineStr">
        <is>
          <t>Workflow Slowdown</t>
        </is>
      </c>
    </row>
    <row r="440">
      <c r="A440" t="inlineStr">
        <is>
          <t>FB-00439</t>
        </is>
      </c>
      <c r="B440" t="inlineStr">
        <is>
          <t>CUST-0176</t>
        </is>
      </c>
      <c r="C440" t="inlineStr">
        <is>
          <t>2026-02-04</t>
        </is>
      </c>
      <c r="D440" t="inlineStr">
        <is>
          <t>Customer Survey</t>
        </is>
      </c>
      <c r="E440" t="inlineStr">
        <is>
          <t xml:space="preserve"> Starter</t>
        </is>
      </c>
      <c r="F440" t="inlineStr">
        <is>
          <t>SMB</t>
        </is>
      </c>
      <c r="G440" t="inlineStr">
        <is>
          <t>User Interface</t>
        </is>
      </c>
      <c r="H440" t="inlineStr">
        <is>
          <t>Usability Issue</t>
        </is>
      </c>
      <c r="I440" t="inlineStr">
        <is>
          <t>Raising this again after our last business review. Too many clicks to reach common screens because of the navigation menu. We need a fix before renewal.</t>
        </is>
      </c>
      <c r="J440" t="inlineStr">
        <is>
          <t>Negative</t>
        </is>
      </c>
      <c r="K440" t="inlineStr">
        <is>
          <t>Medium</t>
        </is>
      </c>
      <c r="L440" t="inlineStr">
        <is>
          <t>Workflow Slowdown</t>
        </is>
      </c>
    </row>
    <row r="441">
      <c r="A441" t="inlineStr">
        <is>
          <t>FB-00440</t>
        </is>
      </c>
      <c r="B441" t="inlineStr">
        <is>
          <t>CUST-0349</t>
        </is>
      </c>
      <c r="C441" t="inlineStr">
        <is>
          <t>04-Feb-2026</t>
        </is>
      </c>
      <c r="D441" t="inlineStr">
        <is>
          <t>Customer Survey</t>
        </is>
      </c>
      <c r="E441" t="inlineStr">
        <is>
          <t>Professional</t>
        </is>
      </c>
      <c r="F441" t="inlineStr">
        <is>
          <t>Mid-Market</t>
        </is>
      </c>
      <c r="G441" t="inlineStr">
        <is>
          <t>Lead Management</t>
        </is>
      </c>
      <c r="H441" t="inlineStr">
        <is>
          <t>Usability Issue</t>
        </is>
      </c>
      <c r="I441" t="inlineStr">
        <is>
          <t>Frustrated with this one. We can't combine region and deal size in the round-robin lead assignment. So far 65 people on our side have reported it. Is there a workaround?</t>
        </is>
      </c>
      <c r="J441" t="inlineStr">
        <is>
          <t>Negative</t>
        </is>
      </c>
      <c r="K441" t="inlineStr">
        <is>
          <t>Low</t>
        </is>
      </c>
      <c r="L441" t="inlineStr">
        <is>
          <t>Minor Inconvenience</t>
        </is>
      </c>
    </row>
    <row r="442">
      <c r="A442" t="inlineStr">
        <is>
          <t>FB-00441</t>
        </is>
      </c>
      <c r="B442" t="inlineStr">
        <is>
          <t>CUST-0315</t>
        </is>
      </c>
      <c r="C442" t="inlineStr">
        <is>
          <t>2026-02-05</t>
        </is>
      </c>
      <c r="D442" t="inlineStr">
        <is>
          <t>Feature Request</t>
        </is>
      </c>
      <c r="E442" t="inlineStr">
        <is>
          <t>Professional</t>
        </is>
      </c>
      <c r="F442" t="inlineStr">
        <is>
          <t>SMB</t>
        </is>
      </c>
      <c r="G442" t="inlineStr">
        <is>
          <t>User Interface</t>
        </is>
      </c>
      <c r="H442" t="inlineStr">
        <is>
          <t>Usability Issue</t>
        </is>
      </c>
      <c r="I442" t="inlineStr">
        <is>
          <t>Not what we expected for the price. Too many clicks to reach common screens because of the settings navigation. Support suggested logging it here.</t>
        </is>
      </c>
      <c r="J442" t="inlineStr">
        <is>
          <t>Negative</t>
        </is>
      </c>
      <c r="K442" t="inlineStr">
        <is>
          <t>Low</t>
        </is>
      </c>
      <c r="L442" t="inlineStr">
        <is>
          <t>Workflow Slowdown</t>
        </is>
      </c>
    </row>
    <row r="443">
      <c r="A443" t="inlineStr">
        <is>
          <t>FB-00442</t>
        </is>
      </c>
      <c r="B443" t="inlineStr">
        <is>
          <t>CUST-0262</t>
        </is>
      </c>
      <c r="C443" t="inlineStr">
        <is>
          <t>2026-02-05</t>
        </is>
      </c>
      <c r="D443" t="inlineStr">
        <is>
          <t>In-App Feedback</t>
        </is>
      </c>
      <c r="E443" t="inlineStr">
        <is>
          <t>Professional</t>
        </is>
      </c>
      <c r="F443" t="inlineStr">
        <is>
          <t>Mid-Market</t>
        </is>
      </c>
      <c r="G443" t="inlineStr">
        <is>
          <t>Lead Management</t>
        </is>
      </c>
      <c r="H443" t="inlineStr">
        <is>
          <t>Bug</t>
        </is>
      </c>
      <c r="I443" t="inlineStr">
        <is>
          <t>There are duplicated leads across our pipeline views and nobody knows which record is the source of truth. We estimate we lose roughly 42 hours a month on this. Support suggested logging it here.</t>
        </is>
      </c>
      <c r="J443" t="inlineStr">
        <is>
          <t>Negative</t>
        </is>
      </c>
      <c r="K443" t="inlineStr">
        <is>
          <t>High</t>
        </is>
      </c>
      <c r="L443" t="inlineStr">
        <is>
          <t>Blocks Key Task</t>
        </is>
      </c>
    </row>
    <row r="444">
      <c r="A444" t="inlineStr">
        <is>
          <t>FB-00443</t>
        </is>
      </c>
      <c r="B444" t="inlineStr">
        <is>
          <t>CUST-0210</t>
        </is>
      </c>
      <c r="C444" t="inlineStr">
        <is>
          <t>2026-02-06</t>
        </is>
      </c>
      <c r="D444" t="inlineStr">
        <is>
          <t>In-App Feedback</t>
        </is>
      </c>
      <c r="E444" t="inlineStr">
        <is>
          <t>Professional</t>
        </is>
      </c>
      <c r="F444" t="inlineStr">
        <is>
          <t>Mid-Market</t>
        </is>
      </c>
      <c r="G444" t="inlineStr">
        <is>
          <t>Reporting</t>
        </is>
      </c>
      <c r="H444" t="inlineStr">
        <is>
          <t>Bug</t>
        </is>
      </c>
      <c r="I444" t="inlineStr">
        <is>
          <t>Great support experience recently. The Excel export cuts off rows after a few thousand records. It affects our quarterly planning process every cycle. Thanks to the team.</t>
        </is>
      </c>
      <c r="J444" t="inlineStr">
        <is>
          <t>Positive</t>
        </is>
      </c>
      <c r="K444" t="inlineStr">
        <is>
          <t>Medium</t>
        </is>
      </c>
      <c r="L444" t="inlineStr">
        <is>
          <t>Workflow Slowdown</t>
        </is>
      </c>
    </row>
    <row r="445">
      <c r="A445" t="inlineStr">
        <is>
          <t>FB-00444</t>
        </is>
      </c>
      <c r="B445" t="inlineStr">
        <is>
          <t>CUST-0413</t>
        </is>
      </c>
      <c r="C445" t="inlineStr">
        <is>
          <t>06-Feb-2026</t>
        </is>
      </c>
      <c r="D445" t="inlineStr">
        <is>
          <t>In-App Feedback</t>
        </is>
      </c>
      <c r="E445" t="inlineStr">
        <is>
          <t>Professional</t>
        </is>
      </c>
      <c r="F445" t="inlineStr">
        <is>
          <t>SMB</t>
        </is>
      </c>
      <c r="G445" t="inlineStr">
        <is>
          <t>Lead Management</t>
        </is>
      </c>
      <c r="H445" t="inlineStr">
        <is>
          <t>Feature Request</t>
        </is>
      </c>
      <c r="I445" t="inlineStr">
        <is>
          <t>Please add automated lead scoring based on engagement, company size and recent activity. Let us know if you need examples.</t>
        </is>
      </c>
      <c r="J445" t="inlineStr">
        <is>
          <t>Neutral</t>
        </is>
      </c>
      <c r="K445" t="inlineStr">
        <is>
          <t>Medium</t>
        </is>
      </c>
      <c r="L445" t="inlineStr">
        <is>
          <t>Minor Inconvenience</t>
        </is>
      </c>
    </row>
    <row r="446">
      <c r="A446" t="inlineStr">
        <is>
          <t>FB-00445</t>
        </is>
      </c>
      <c r="B446" t="inlineStr">
        <is>
          <t>CUST-0006</t>
        </is>
      </c>
      <c r="C446" t="inlineStr">
        <is>
          <t>2026-02-06</t>
        </is>
      </c>
      <c r="D446" t="inlineStr">
        <is>
          <t>Support Ticket</t>
        </is>
      </c>
      <c r="E446" t="inlineStr">
        <is>
          <t>Starter</t>
        </is>
      </c>
      <c r="F446" t="inlineStr">
        <is>
          <t>Mid-Market</t>
        </is>
      </c>
      <c r="G446" t="inlineStr">
        <is>
          <t>Contact Management</t>
        </is>
      </c>
      <c r="H446" t="inlineStr">
        <is>
          <t>Bug</t>
        </is>
      </c>
      <c r="I446" t="inlineStr">
        <is>
          <t>Our contact CSV import scrambles phone and email columns even after we map them correctly.</t>
        </is>
      </c>
      <c r="J446" t="inlineStr">
        <is>
          <t>Negative</t>
        </is>
      </c>
      <c r="K446" t="inlineStr">
        <is>
          <t>Critical</t>
        </is>
      </c>
      <c r="L446" t="inlineStr">
        <is>
          <t>Revenue/Operations Risk</t>
        </is>
      </c>
    </row>
    <row r="447">
      <c r="A447" t="inlineStr">
        <is>
          <t>FB-00446</t>
        </is>
      </c>
      <c r="B447" t="inlineStr">
        <is>
          <t>CUST-0102</t>
        </is>
      </c>
      <c r="C447" t="inlineStr">
        <is>
          <t>07-Feb-2026</t>
        </is>
      </c>
      <c r="D447" t="inlineStr">
        <is>
          <t>Feature Request</t>
        </is>
      </c>
      <c r="E447" t="inlineStr">
        <is>
          <t>Professional</t>
        </is>
      </c>
      <c r="F447" t="inlineStr">
        <is>
          <t>Mid-Market</t>
        </is>
      </c>
      <c r="G447" t="inlineStr">
        <is>
          <t>Reporting</t>
        </is>
      </c>
      <c r="H447" t="inlineStr">
        <is>
          <t>Performance Issue</t>
        </is>
      </c>
      <c r="I447" t="inlineStr">
        <is>
          <t>This has been a recurring problem for us. Execs gave up on the report load time and ask for screenshots instead. We estimate we lose roughly 7 hours a month on this. Is there a workaround?</t>
        </is>
      </c>
      <c r="J447" t="inlineStr">
        <is>
          <t>Negative</t>
        </is>
      </c>
      <c r="K447" t="inlineStr">
        <is>
          <t>Low</t>
        </is>
      </c>
      <c r="L447" t="inlineStr">
        <is>
          <t>Minor Inconvenience</t>
        </is>
      </c>
    </row>
    <row r="448">
      <c r="A448" t="inlineStr">
        <is>
          <t>FB-00447</t>
        </is>
      </c>
      <c r="B448" t="inlineStr">
        <is>
          <t>CUST-0030</t>
        </is>
      </c>
      <c r="C448" t="inlineStr">
        <is>
          <t>2026-02-07</t>
        </is>
      </c>
      <c r="D448" t="inlineStr">
        <is>
          <t>Support Ticket</t>
        </is>
      </c>
      <c r="E448" t="inlineStr">
        <is>
          <t>Professional</t>
        </is>
      </c>
      <c r="F448" t="inlineStr">
        <is>
          <t>Mid-Market</t>
        </is>
      </c>
      <c r="G448" t="inlineStr">
        <is>
          <t>Integrations</t>
        </is>
      </c>
      <c r="H448" t="inlineStr">
        <is>
          <t>Integration Issue</t>
        </is>
      </c>
      <c r="I448" t="inlineStr">
        <is>
          <t>Escalating on behalf of our ops lead. API timeouts is unreliable and there is no retry or log we can inspect. It affects our month-end reporting process every cycle. Support suggested logging it here.</t>
        </is>
      </c>
      <c r="J448" t="inlineStr">
        <is>
          <t>Negative</t>
        </is>
      </c>
      <c r="K448" t="inlineStr">
        <is>
          <t>Medium</t>
        </is>
      </c>
      <c r="L448" t="inlineStr">
        <is>
          <t>Minor Inconvenience</t>
        </is>
      </c>
    </row>
    <row r="449">
      <c r="A449" t="inlineStr">
        <is>
          <t>FB-00448</t>
        </is>
      </c>
      <c r="B449" t="inlineStr">
        <is>
          <t>CUST-0284</t>
        </is>
      </c>
      <c r="C449" t="inlineStr">
        <is>
          <t>2026-02-07</t>
        </is>
      </c>
      <c r="D449" t="inlineStr">
        <is>
          <t>Support Ticket</t>
        </is>
      </c>
      <c r="E449" t="inlineStr">
        <is>
          <t>Enterprise</t>
        </is>
      </c>
      <c r="F449" t="inlineStr">
        <is>
          <t>Enterprise</t>
        </is>
      </c>
      <c r="G449" t="inlineStr">
        <is>
          <t>Integrations</t>
        </is>
      </c>
      <c r="H449" t="inlineStr">
        <is>
          <t>Integration Issue</t>
        </is>
      </c>
      <c r="I449" t="inlineStr">
        <is>
          <t>Escalating on behalf of our ops lead. We keep hitting webhook delivery during nightly syncs with our data warehouse. Our admin flagged it while onboarding 16 new users. Support suggested logging it here.</t>
        </is>
      </c>
      <c r="J449" t="inlineStr">
        <is>
          <t>Negative</t>
        </is>
      </c>
      <c r="K449" t="inlineStr">
        <is>
          <t>High</t>
        </is>
      </c>
      <c r="L449" t="inlineStr">
        <is>
          <t>Workflow Slowdown</t>
        </is>
      </c>
    </row>
    <row r="450">
      <c r="A450" t="inlineStr">
        <is>
          <t>FB-00449</t>
        </is>
      </c>
      <c r="B450" t="inlineStr">
        <is>
          <t>CUST-0204</t>
        </is>
      </c>
      <c r="C450" t="inlineStr">
        <is>
          <t>2026-02-07</t>
        </is>
      </c>
      <c r="D450" t="inlineStr">
        <is>
          <t>In-App Feedback</t>
        </is>
      </c>
      <c r="E450" t="inlineStr">
        <is>
          <t>Enterprise</t>
        </is>
      </c>
      <c r="F450" t="inlineStr">
        <is>
          <t>Enterprise</t>
        </is>
      </c>
      <c r="G450" t="inlineStr">
        <is>
          <t>Workflow Automation</t>
        </is>
      </c>
      <c r="H450" t="inlineStr">
        <is>
          <t>Bug</t>
        </is>
      </c>
      <c r="I450" t="inlineStr">
        <is>
          <t>Feedback from our monthly review. Several workflow failures left deals stuck in the wrong stage. We estimate we lose roughly 47 hours a month on this. Let us know if you need examples.</t>
        </is>
      </c>
      <c r="J450" t="inlineStr">
        <is>
          <t>Neutral</t>
        </is>
      </c>
      <c r="K450" t="inlineStr">
        <is>
          <t>Critical</t>
        </is>
      </c>
      <c r="L450" t="inlineStr">
        <is>
          <t>Revenue/Operations Risk</t>
        </is>
      </c>
    </row>
    <row r="451">
      <c r="A451" t="inlineStr">
        <is>
          <t>FB-00450</t>
        </is>
      </c>
      <c r="B451" t="inlineStr">
        <is>
          <t>CUST-0196</t>
        </is>
      </c>
      <c r="C451" t="inlineStr">
        <is>
          <t>2026-02-07</t>
        </is>
      </c>
      <c r="D451" t="inlineStr">
        <is>
          <t>In-App Feedback</t>
        </is>
      </c>
      <c r="E451" t="inlineStr">
        <is>
          <t>Enterprise</t>
        </is>
      </c>
      <c r="F451" t="inlineStr">
        <is>
          <t>Enterprise</t>
        </is>
      </c>
      <c r="G451" t="inlineStr">
        <is>
          <t>Reporting</t>
        </is>
      </c>
      <c r="H451" t="inlineStr">
        <is>
          <t>Performance Issue</t>
        </is>
      </c>
      <c r="I451" t="inlineStr">
        <is>
          <t>Noting this during onboarding. Execs gave up on the report load time and ask for screenshots instead. It happens about 24 times a week for our team of 5.</t>
        </is>
      </c>
      <c r="J451" t="inlineStr">
        <is>
          <t>Neutral</t>
        </is>
      </c>
      <c r="K451" t="inlineStr">
        <is>
          <t>High</t>
        </is>
      </c>
      <c r="L451" t="inlineStr">
        <is>
          <t>Blocks Key Task</t>
        </is>
      </c>
    </row>
    <row r="452">
      <c r="A452" t="inlineStr">
        <is>
          <t>FB-00451</t>
        </is>
      </c>
      <c r="B452" t="inlineStr">
        <is>
          <t>CUST-0196</t>
        </is>
      </c>
      <c r="C452" t="inlineStr">
        <is>
          <t>2026-02-08</t>
        </is>
      </c>
      <c r="D452" t="inlineStr">
        <is>
          <t>Support Ticket</t>
        </is>
      </c>
      <c r="E452" t="inlineStr">
        <is>
          <t>Enterprise</t>
        </is>
      </c>
      <c r="F452" t="inlineStr">
        <is>
          <t>Enterprise</t>
        </is>
      </c>
      <c r="G452" t="inlineStr">
        <is>
          <t>Contact Management</t>
        </is>
      </c>
      <c r="H452" t="inlineStr">
        <is>
          <t>Performance Issue</t>
        </is>
      </c>
      <c r="I452" t="inlineStr">
        <is>
          <t>Our team keeps running into this. Combining several conditions in contact list filtering makes the page hang. We estimate we lose roughly 6 hours a month on this. Please look into it soon.</t>
        </is>
      </c>
      <c r="J452" t="inlineStr">
        <is>
          <t>Negative</t>
        </is>
      </c>
      <c r="K452" t="inlineStr">
        <is>
          <t>Low</t>
        </is>
      </c>
      <c r="L452" t="inlineStr">
        <is>
          <t>Minor Inconvenience</t>
        </is>
      </c>
    </row>
    <row r="453">
      <c r="A453" t="inlineStr">
        <is>
          <t>FB-00452</t>
        </is>
      </c>
      <c r="B453" t="inlineStr">
        <is>
          <t>CUST-0211</t>
        </is>
      </c>
      <c r="C453" t="inlineStr">
        <is>
          <t>2026-02-08</t>
        </is>
      </c>
      <c r="D453" t="inlineStr">
        <is>
          <t>Customer Survey</t>
        </is>
      </c>
      <c r="E453" t="inlineStr">
        <is>
          <t>Enterprise</t>
        </is>
      </c>
      <c r="F453" t="inlineStr">
        <is>
          <t>Mid-Market</t>
        </is>
      </c>
      <c r="G453" t="inlineStr">
        <is>
          <t>Integrations</t>
        </is>
      </c>
      <c r="H453" t="inlineStr">
        <is>
          <t>Feature Request</t>
        </is>
      </c>
      <c r="I453" t="inlineStr">
        <is>
          <t>Lack of a marketing automation connector is a gap versus other CRMs we evaluated. Our RevOps lead flagged it while onboarding 27 new users.</t>
        </is>
      </c>
      <c r="J453" t="inlineStr">
        <is>
          <t>Neutral</t>
        </is>
      </c>
      <c r="K453" t="inlineStr">
        <is>
          <t>Medium</t>
        </is>
      </c>
      <c r="L453" t="inlineStr">
        <is>
          <t>Blocks Key Task</t>
        </is>
      </c>
    </row>
    <row r="454">
      <c r="A454" t="inlineStr">
        <is>
          <t>FB-00453</t>
        </is>
      </c>
      <c r="B454" t="inlineStr">
        <is>
          <t>CUST-0398</t>
        </is>
      </c>
      <c r="C454" t="inlineStr">
        <is>
          <t>2026-02-08</t>
        </is>
      </c>
      <c r="D454" t="inlineStr">
        <is>
          <t>Support Ticket</t>
        </is>
      </c>
      <c r="E454" t="inlineStr">
        <is>
          <t>Enterprise</t>
        </is>
      </c>
      <c r="F454" t="inlineStr">
        <is>
          <t>Enterprise</t>
        </is>
      </c>
      <c r="G454" t="inlineStr">
        <is>
          <t>Integrations</t>
        </is>
      </c>
      <c r="H454" t="inlineStr">
        <is>
          <t>Integration Issue</t>
        </is>
      </c>
      <c r="I454" t="inlineStr">
        <is>
          <t>Our team keeps running into this. Our email sync keeps disconnecting and activities are missing from the contact timeline. Please look into it soon.</t>
        </is>
      </c>
      <c r="J454" t="inlineStr">
        <is>
          <t>Negative</t>
        </is>
      </c>
      <c r="K454" t="inlineStr">
        <is>
          <t>High</t>
        </is>
      </c>
      <c r="L454" t="inlineStr">
        <is>
          <t>Blocks Key Task</t>
        </is>
      </c>
    </row>
    <row r="455">
      <c r="A455" t="inlineStr">
        <is>
          <t>FB-00454</t>
        </is>
      </c>
      <c r="B455" t="inlineStr">
        <is>
          <t>CUST-0400</t>
        </is>
      </c>
      <c r="C455" t="inlineStr">
        <is>
          <t>2026-02-08</t>
        </is>
      </c>
      <c r="D455" t="inlineStr">
        <is>
          <t>Feature Request</t>
        </is>
      </c>
      <c r="E455" t="inlineStr">
        <is>
          <t>Starter</t>
        </is>
      </c>
      <c r="F455" t="inlineStr">
        <is>
          <t>SMB</t>
        </is>
      </c>
      <c r="G455" t="inlineStr">
        <is>
          <t>User Interface</t>
        </is>
      </c>
      <c r="H455" t="inlineStr">
        <is>
          <t>Feature Request</t>
        </is>
      </c>
      <c r="I455" t="inlineStr">
        <is>
          <t>Please prioritize mobile call logging; the mobile web view is hard to use.</t>
        </is>
      </c>
      <c r="J455" t="inlineStr">
        <is>
          <t>Neutral</t>
        </is>
      </c>
      <c r="K455" t="inlineStr">
        <is>
          <t>Low</t>
        </is>
      </c>
      <c r="L455" t="inlineStr">
        <is>
          <t>Minor Inconvenience</t>
        </is>
      </c>
    </row>
    <row r="456">
      <c r="A456" t="inlineStr">
        <is>
          <t>FB-00455</t>
        </is>
      </c>
      <c r="B456" t="inlineStr">
        <is>
          <t>CUST-0302</t>
        </is>
      </c>
      <c r="C456" t="inlineStr">
        <is>
          <t>2026-02-09</t>
        </is>
      </c>
      <c r="D456" t="inlineStr">
        <is>
          <t>In-App Feedback</t>
        </is>
      </c>
      <c r="E456" t="inlineStr">
        <is>
          <t>Enterprise</t>
        </is>
      </c>
      <c r="F456" t="inlineStr">
        <is>
          <t>Mid-Market</t>
        </is>
      </c>
      <c r="G456" t="inlineStr">
        <is>
          <t>Integrations</t>
        </is>
      </c>
      <c r="H456" t="inlineStr">
        <is>
          <t>Feature Request</t>
        </is>
      </c>
      <c r="I456" t="inlineStr">
        <is>
          <t>Requesting a native Slack integration to remove manual re-entry.</t>
        </is>
      </c>
      <c r="J456" t="inlineStr">
        <is>
          <t>Positive</t>
        </is>
      </c>
      <c r="K456" t="inlineStr">
        <is>
          <t>Low</t>
        </is>
      </c>
      <c r="L456" t="inlineStr">
        <is>
          <t>Minor Inconvenience</t>
        </is>
      </c>
    </row>
    <row r="457">
      <c r="A457" t="inlineStr">
        <is>
          <t>FB-00456</t>
        </is>
      </c>
      <c r="B457" t="inlineStr">
        <is>
          <t>CUST-0324</t>
        </is>
      </c>
      <c r="C457" t="inlineStr">
        <is>
          <t>2026-02-09</t>
        </is>
      </c>
      <c r="D457" t="inlineStr">
        <is>
          <t>In-App Feedback</t>
        </is>
      </c>
      <c r="E457" t="inlineStr">
        <is>
          <t>Starter</t>
        </is>
      </c>
      <c r="F457" t="inlineStr">
        <is>
          <t>SMB</t>
        </is>
      </c>
      <c r="G457" t="inlineStr">
        <is>
          <t>Integrations</t>
        </is>
      </c>
      <c r="H457" t="inlineStr">
        <is>
          <t>Integration Issue</t>
        </is>
      </c>
      <c r="I457" t="inlineStr">
        <is>
          <t>Not what we expected for the price. Our email sync keeps disconnecting and activities are missing from the contact timeline. We estimate we lose roughly 45 hours a month on this. We need a fix before renewal.</t>
        </is>
      </c>
      <c r="J457" t="inlineStr">
        <is>
          <t>Negative</t>
        </is>
      </c>
      <c r="K457" t="inlineStr">
        <is>
          <t>Low</t>
        </is>
      </c>
      <c r="L457" t="inlineStr">
        <is>
          <t>Workflow Slowdown</t>
        </is>
      </c>
    </row>
    <row r="458">
      <c r="A458" t="inlineStr">
        <is>
          <t>FB-00457</t>
        </is>
      </c>
      <c r="B458" t="inlineStr">
        <is>
          <t>CUST-0282</t>
        </is>
      </c>
      <c r="C458" t="inlineStr">
        <is>
          <t>2026-02-09</t>
        </is>
      </c>
      <c r="D458" t="inlineStr">
        <is>
          <t>Feature Request</t>
        </is>
      </c>
      <c r="E458" t="inlineStr">
        <is>
          <t>Starter</t>
        </is>
      </c>
      <c r="F458" t="inlineStr">
        <is>
          <t>SMB</t>
        </is>
      </c>
      <c r="G458" t="inlineStr">
        <is>
          <t>User Interface</t>
        </is>
      </c>
      <c r="H458" t="inlineStr">
        <is>
          <t>Feature Request</t>
        </is>
      </c>
      <c r="I458" t="inlineStr">
        <is>
          <t>Feedback from our monthly review. Our field reps need offline mobile access to update deals between visits. It happens about 38 times a week for our team of 76.</t>
        </is>
      </c>
      <c r="J458" t="inlineStr">
        <is>
          <t>Neutral</t>
        </is>
      </c>
      <c r="K458" t="inlineStr">
        <is>
          <t>Medium</t>
        </is>
      </c>
      <c r="L458" t="inlineStr">
        <is>
          <t>Blocks Key Task</t>
        </is>
      </c>
    </row>
    <row r="459">
      <c r="A459" t="inlineStr">
        <is>
          <t>FB-00458</t>
        </is>
      </c>
      <c r="B459" t="inlineStr">
        <is>
          <t>CUST-0293</t>
        </is>
      </c>
      <c r="C459" t="inlineStr">
        <is>
          <t>2026-02-09</t>
        </is>
      </c>
      <c r="D459" t="inlineStr">
        <is>
          <t>Support Ticket</t>
        </is>
      </c>
      <c r="E459" t="inlineStr">
        <is>
          <t>Enterprise</t>
        </is>
      </c>
      <c r="F459" t="inlineStr">
        <is>
          <t>Enterprise</t>
        </is>
      </c>
      <c r="G459" t="inlineStr">
        <is>
          <t>Integrations</t>
        </is>
      </c>
      <c r="H459" t="inlineStr">
        <is>
          <t>Integration Issue</t>
        </is>
      </c>
      <c r="I459" t="inlineStr">
        <is>
          <t>This has been a recurring problem for us. After the token expires, email sync stops with no warning. So far 22 people on our side have reported it. Is there a workaround?</t>
        </is>
      </c>
      <c r="J459" t="inlineStr">
        <is>
          <t>Negative</t>
        </is>
      </c>
      <c r="K459" t="inlineStr">
        <is>
          <t>Medium</t>
        </is>
      </c>
      <c r="L459" t="inlineStr">
        <is>
          <t>Workflow Slowdown</t>
        </is>
      </c>
    </row>
    <row r="460">
      <c r="A460" t="inlineStr">
        <is>
          <t>FB-00459</t>
        </is>
      </c>
      <c r="B460" t="inlineStr">
        <is>
          <t>CUST-0380</t>
        </is>
      </c>
      <c r="C460" t="inlineStr">
        <is>
          <t>2026-02-10</t>
        </is>
      </c>
      <c r="D460" t="inlineStr">
        <is>
          <t>In-App Feedback</t>
        </is>
      </c>
      <c r="E460" t="inlineStr">
        <is>
          <t>Professional</t>
        </is>
      </c>
      <c r="F460" t="inlineStr">
        <is>
          <t>Mid-Market</t>
        </is>
      </c>
      <c r="G460" t="inlineStr">
        <is>
          <t>Reporting</t>
        </is>
      </c>
      <c r="H460" t="inlineStr">
        <is>
          <t>Feature Request</t>
        </is>
      </c>
      <c r="I460" t="inlineStr">
        <is>
          <t>Happy with most of the product. Please add report scheduling; today an analyst rebuilds the same report every week. It affects our onboarding process every cycle. Keep up the good work.</t>
        </is>
      </c>
      <c r="J460" t="inlineStr">
        <is>
          <t>Positive</t>
        </is>
      </c>
      <c r="K460" t="inlineStr">
        <is>
          <t>Low</t>
        </is>
      </c>
      <c r="L460" t="inlineStr">
        <is>
          <t>Minor Inconvenience</t>
        </is>
      </c>
    </row>
    <row r="461">
      <c r="A461" t="inlineStr">
        <is>
          <t>FB-00460</t>
        </is>
      </c>
      <c r="B461" t="inlineStr">
        <is>
          <t>CUST-0157</t>
        </is>
      </c>
      <c r="C461" t="inlineStr">
        <is>
          <t>2026-02-10</t>
        </is>
      </c>
      <c r="D461" t="inlineStr">
        <is>
          <t>In-App Feedback</t>
        </is>
      </c>
      <c r="E461" t="inlineStr">
        <is>
          <t>Starter</t>
        </is>
      </c>
      <c r="F461" t="inlineStr">
        <is>
          <t>SMB</t>
        </is>
      </c>
      <c r="G461" t="inlineStr">
        <is>
          <t>Workflow Automation</t>
        </is>
      </c>
      <c r="H461" t="inlineStr">
        <is>
          <t>Bug</t>
        </is>
      </c>
      <c r="I461" t="inlineStr">
        <is>
          <t>Raising this again after our last business review. Several workflow failures left deals stuck in the wrong stage. It affects our quarterly planning process every cycle. Please look into it soon.</t>
        </is>
      </c>
      <c r="J461" t="inlineStr">
        <is>
          <t>Negative</t>
        </is>
      </c>
      <c r="K461" t="inlineStr">
        <is>
          <t>Critical</t>
        </is>
      </c>
      <c r="L461" t="inlineStr">
        <is>
          <t>Revenue/Operations Risk</t>
        </is>
      </c>
    </row>
    <row r="462">
      <c r="A462" t="inlineStr">
        <is>
          <t>FB-00461</t>
        </is>
      </c>
      <c r="B462" t="inlineStr">
        <is>
          <t>CUST-0142</t>
        </is>
      </c>
      <c r="C462" t="inlineStr">
        <is>
          <t>2026-02-10</t>
        </is>
      </c>
      <c r="D462" t="inlineStr">
        <is>
          <t>Support Ticket</t>
        </is>
      </c>
      <c r="E462" t="inlineStr">
        <is>
          <t>Professional</t>
        </is>
      </c>
      <c r="F462" t="inlineStr">
        <is>
          <t>Enterprise</t>
        </is>
      </c>
      <c r="G462" t="inlineStr">
        <is>
          <t>Workflow Automation</t>
        </is>
      </c>
      <c r="H462" t="inlineStr">
        <is>
          <t>Bug</t>
        </is>
      </c>
      <c r="I462" t="inlineStr">
        <is>
          <t>Noting this during onboarding. Since the last release we've had automation misfires and tasks are being created twice. Happy to join a feedback call.</t>
        </is>
      </c>
      <c r="J462" t="inlineStr">
        <is>
          <t>Neutral</t>
        </is>
      </c>
      <c r="K462" t="inlineStr">
        <is>
          <t>Medium</t>
        </is>
      </c>
      <c r="L462" t="inlineStr">
        <is>
          <t>Workflow Slowdown</t>
        </is>
      </c>
    </row>
    <row r="463">
      <c r="A463" t="inlineStr">
        <is>
          <t>FB-00462</t>
        </is>
      </c>
      <c r="B463" t="inlineStr">
        <is>
          <t>CUST-0165</t>
        </is>
      </c>
      <c r="C463" t="inlineStr">
        <is>
          <t>2026-02-10</t>
        </is>
      </c>
      <c r="D463" t="inlineStr">
        <is>
          <t>Support Ticket</t>
        </is>
      </c>
      <c r="E463" t="inlineStr">
        <is>
          <t>Enterprise</t>
        </is>
      </c>
      <c r="F463" t="inlineStr">
        <is>
          <t>Mid-Market</t>
        </is>
      </c>
      <c r="G463" t="inlineStr">
        <is>
          <t>Workflow Automation</t>
        </is>
      </c>
      <c r="H463" t="inlineStr">
        <is>
          <t>Bug</t>
        </is>
      </c>
      <c r="I463" t="inlineStr">
        <is>
          <t>Escalating on behalf of our ops lead. We are hitting automation misfires: emails don't send and nobody gets notified. Our RevOps lead flagged it while onboarding 15 new users. Is there a workaround?</t>
        </is>
      </c>
      <c r="J463" t="inlineStr">
        <is>
          <t>Negative</t>
        </is>
      </c>
      <c r="K463" t="inlineStr">
        <is>
          <t>High</t>
        </is>
      </c>
      <c r="L463" t="inlineStr">
        <is>
          <t>Workflow Slowdown</t>
        </is>
      </c>
    </row>
    <row r="464">
      <c r="A464" t="inlineStr">
        <is>
          <t>FB-00463</t>
        </is>
      </c>
      <c r="B464" t="inlineStr">
        <is>
          <t>CUST-0269</t>
        </is>
      </c>
      <c r="C464" t="inlineStr">
        <is>
          <t>2026-02-11</t>
        </is>
      </c>
      <c r="D464" t="inlineStr">
        <is>
          <t>Feature Request</t>
        </is>
      </c>
      <c r="E464" t="inlineStr">
        <is>
          <t>Professional</t>
        </is>
      </c>
      <c r="F464" t="inlineStr">
        <is>
          <t>SMB</t>
        </is>
      </c>
      <c r="G464" t="inlineStr">
        <is>
          <t>User Interface</t>
        </is>
      </c>
      <c r="H464" t="inlineStr">
        <is>
          <t>Feature Request</t>
        </is>
      </c>
      <c r="I464" t="inlineStr">
        <is>
          <t>We lose notes whenever reps are away from a desk without offline mobile access. Happy to beta test.</t>
        </is>
      </c>
      <c r="J464" t="inlineStr">
        <is>
          <t>Positive</t>
        </is>
      </c>
      <c r="K464" t="inlineStr">
        <is>
          <t>Medium</t>
        </is>
      </c>
      <c r="L464" t="inlineStr">
        <is>
          <t>Blocks Key Task</t>
        </is>
      </c>
    </row>
    <row r="465">
      <c r="A465" t="inlineStr">
        <is>
          <t>FB-00464</t>
        </is>
      </c>
      <c r="B465" t="inlineStr">
        <is>
          <t>CUST-0087</t>
        </is>
      </c>
      <c r="C465" t="inlineStr">
        <is>
          <t>2026-02-11</t>
        </is>
      </c>
      <c r="D465" t="inlineStr">
        <is>
          <t>Feature Request</t>
        </is>
      </c>
      <c r="E465" t="inlineStr">
        <is>
          <t>Professional</t>
        </is>
      </c>
      <c r="F465" t="inlineStr">
        <is>
          <t>SMB</t>
        </is>
      </c>
      <c r="G465" t="inlineStr">
        <is>
          <t>Contact Management</t>
        </is>
      </c>
      <c r="H465" t="inlineStr">
        <is>
          <t>Feature Request</t>
        </is>
      </c>
      <c r="I465" t="inlineStr">
        <is>
          <t>FYI for the product team. A bulk contact merge that keeps activity history would save our ops team hours. We estimate we lose roughly 35 hours a month on this.</t>
        </is>
      </c>
      <c r="J465" t="inlineStr">
        <is>
          <t>Neutral</t>
        </is>
      </c>
      <c r="K465" t="inlineStr">
        <is>
          <t>Low</t>
        </is>
      </c>
      <c r="L465" t="inlineStr">
        <is>
          <t>Minor Inconvenience</t>
        </is>
      </c>
    </row>
    <row r="466">
      <c r="A466" t="inlineStr">
        <is>
          <t>FB-00465</t>
        </is>
      </c>
      <c r="B466" t="inlineStr">
        <is>
          <t>CUST-0197</t>
        </is>
      </c>
      <c r="C466" t="inlineStr">
        <is>
          <t>2026-02-11</t>
        </is>
      </c>
      <c r="D466" t="inlineStr">
        <is>
          <t>In-App Feedback</t>
        </is>
      </c>
      <c r="E466" t="inlineStr">
        <is>
          <t>Professional</t>
        </is>
      </c>
      <c r="F466" t="inlineStr">
        <is>
          <t>Mid-Market</t>
        </is>
      </c>
      <c r="G466" t="inlineStr">
        <is>
          <t xml:space="preserve"> Contact Management</t>
        </is>
      </c>
      <c r="H466" t="inlineStr">
        <is>
          <t>Bug</t>
        </is>
      </c>
      <c r="I466" t="inlineStr">
        <is>
          <t>Our team keeps running into this. The spreadsheet import fails halfway through with a generic error and no row-level detail. So far 33 people on our side have reported it. Please look into it soon.</t>
        </is>
      </c>
      <c r="J466" t="inlineStr">
        <is>
          <t>Negative</t>
        </is>
      </c>
      <c r="K466" t="inlineStr">
        <is>
          <t>Critical</t>
        </is>
      </c>
      <c r="L466" t="inlineStr">
        <is>
          <t>Revenue/Operations Risk</t>
        </is>
      </c>
    </row>
    <row r="467">
      <c r="A467" t="inlineStr">
        <is>
          <t>FB-00466</t>
        </is>
      </c>
      <c r="B467" t="inlineStr">
        <is>
          <t>CUST-0128</t>
        </is>
      </c>
      <c r="C467" t="inlineStr">
        <is>
          <t>2026-02-11</t>
        </is>
      </c>
      <c r="D467" t="inlineStr">
        <is>
          <t>Support Ticket</t>
        </is>
      </c>
      <c r="E467" t="inlineStr">
        <is>
          <t>Professional</t>
        </is>
      </c>
      <c r="F467" t="inlineStr">
        <is>
          <t>SMB</t>
        </is>
      </c>
      <c r="G467" t="inlineStr">
        <is>
          <t>Contact Management</t>
        </is>
      </c>
      <c r="H467" t="inlineStr">
        <is>
          <t>Bug</t>
        </is>
      </c>
      <c r="I467" t="inlineStr">
        <is>
          <t>This has been a recurring problem for us. The spreadsheet import silently skipped rows and we only noticed days later. Support suggested logging it here.</t>
        </is>
      </c>
      <c r="J467" t="inlineStr">
        <is>
          <t>Negative</t>
        </is>
      </c>
      <c r="K467" t="inlineStr">
        <is>
          <t>Medium</t>
        </is>
      </c>
      <c r="L467" t="inlineStr">
        <is>
          <t>Workflow Slowdown</t>
        </is>
      </c>
    </row>
    <row r="468">
      <c r="A468" t="inlineStr">
        <is>
          <t>FB-00467</t>
        </is>
      </c>
      <c r="B468" t="inlineStr">
        <is>
          <t>CUST-0156</t>
        </is>
      </c>
      <c r="C468" t="inlineStr">
        <is>
          <t>2026-02-11</t>
        </is>
      </c>
      <c r="D468" t="inlineStr">
        <is>
          <t>Feature Request</t>
        </is>
      </c>
      <c r="E468" t="inlineStr">
        <is>
          <t>Starter</t>
        </is>
      </c>
      <c r="F468" t="inlineStr">
        <is>
          <t>SMB</t>
        </is>
      </c>
      <c r="G468" t="inlineStr">
        <is>
          <t>Reporting</t>
        </is>
      </c>
      <c r="H468" t="inlineStr">
        <is>
          <t>Feature Request</t>
        </is>
      </c>
      <c r="I468" t="inlineStr">
        <is>
          <t>Recent updates have been a nice improvement. Requesting scheduled report emails so leadership gets numbers without logging in. Our customer success lead flagged it while onboarding 56 new users.</t>
        </is>
      </c>
      <c r="J468" t="inlineStr">
        <is>
          <t>Positive</t>
        </is>
      </c>
      <c r="K468" t="inlineStr">
        <is>
          <t>Low</t>
        </is>
      </c>
      <c r="L468" t="inlineStr">
        <is>
          <t>Minor Inconvenience</t>
        </is>
      </c>
    </row>
    <row r="469">
      <c r="A469" t="inlineStr">
        <is>
          <t>FB-00468</t>
        </is>
      </c>
      <c r="B469" t="inlineStr">
        <is>
          <t>CUST-0340</t>
        </is>
      </c>
      <c r="C469" t="inlineStr">
        <is>
          <t>2026-02-11</t>
        </is>
      </c>
      <c r="D469" t="inlineStr">
        <is>
          <t>In-App Feedback</t>
        </is>
      </c>
      <c r="E469" t="inlineStr">
        <is>
          <t>Professional</t>
        </is>
      </c>
      <c r="F469" t="inlineStr">
        <is>
          <t>Mid-Market</t>
        </is>
      </c>
      <c r="G469" t="inlineStr">
        <is>
          <t>Workflow Automation</t>
        </is>
      </c>
      <c r="H469" t="inlineStr">
        <is>
          <t>Feature Request</t>
        </is>
      </c>
      <c r="I469" t="inlineStr">
        <is>
          <t>Quick note from our admin. Competitors ship prebuilt automations; we are rebuilding the same flows from scratch. It happens about 34 times a week for our team of 90. Happy to join a feedback call.</t>
        </is>
      </c>
      <c r="J469" t="inlineStr">
        <is>
          <t>Neutral</t>
        </is>
      </c>
      <c r="K469" t="inlineStr">
        <is>
          <t>low</t>
        </is>
      </c>
      <c r="L469" t="inlineStr">
        <is>
          <t>Workflow Slowdown</t>
        </is>
      </c>
    </row>
    <row r="470">
      <c r="A470" t="inlineStr">
        <is>
          <t>FB-00469</t>
        </is>
      </c>
      <c r="B470" t="inlineStr">
        <is>
          <t>CUST-0116</t>
        </is>
      </c>
      <c r="C470" t="inlineStr">
        <is>
          <t>2026-02-11</t>
        </is>
      </c>
      <c r="D470" t="inlineStr">
        <is>
          <t>In-App Feedback</t>
        </is>
      </c>
      <c r="E470" t="inlineStr">
        <is>
          <t>Professional</t>
        </is>
      </c>
      <c r="F470" t="inlineStr">
        <is>
          <t>SMB</t>
        </is>
      </c>
      <c r="G470" t="inlineStr">
        <is>
          <t>Workflow Automation</t>
        </is>
      </c>
      <c r="H470" t="inlineStr">
        <is>
          <t>Bug</t>
        </is>
      </c>
      <c r="I470" t="inlineStr">
        <is>
          <t>Several automation misfires left deals stuck in the wrong stage. It happens about 31 times a week for our team of 40. Support suggested logging it here.</t>
        </is>
      </c>
      <c r="J470" t="inlineStr">
        <is>
          <t>Negative</t>
        </is>
      </c>
      <c r="K470" t="inlineStr">
        <is>
          <t>High</t>
        </is>
      </c>
      <c r="L470" t="inlineStr">
        <is>
          <t>Blocks Key Task</t>
        </is>
      </c>
    </row>
    <row r="471">
      <c r="A471" t="inlineStr">
        <is>
          <t>FB-00470</t>
        </is>
      </c>
      <c r="B471" t="inlineStr">
        <is>
          <t>CUST-0069</t>
        </is>
      </c>
      <c r="C471" t="inlineStr">
        <is>
          <t>2026-02-11</t>
        </is>
      </c>
      <c r="D471" t="inlineStr">
        <is>
          <t>In-App Feedback</t>
        </is>
      </c>
      <c r="E471" t="inlineStr">
        <is>
          <t>Starter</t>
        </is>
      </c>
      <c r="F471" t="inlineStr">
        <is>
          <t>Mid-Market</t>
        </is>
      </c>
      <c r="G471" t="inlineStr">
        <is>
          <t>Reporting</t>
        </is>
      </c>
      <c r="H471" t="inlineStr">
        <is>
          <t>Bug</t>
        </is>
      </c>
      <c r="I471" t="inlineStr">
        <is>
          <t>Our team keeps running into this. The Excel export cuts off rows after a few thousand records. It affects our onboarding process every cycle.</t>
        </is>
      </c>
      <c r="J471" t="inlineStr">
        <is>
          <t>Negative</t>
        </is>
      </c>
      <c r="K471" t="inlineStr">
        <is>
          <t>Medium</t>
        </is>
      </c>
      <c r="L471" t="inlineStr">
        <is>
          <t>Blocks Key Task</t>
        </is>
      </c>
    </row>
    <row r="472">
      <c r="A472" t="inlineStr">
        <is>
          <t>FB-00471</t>
        </is>
      </c>
      <c r="B472" t="inlineStr">
        <is>
          <t>CUST-0313</t>
        </is>
      </c>
      <c r="C472" t="inlineStr">
        <is>
          <t>2026-02-11</t>
        </is>
      </c>
      <c r="D472" t="inlineStr">
        <is>
          <t>Support Ticket</t>
        </is>
      </c>
      <c r="E472" t="inlineStr">
        <is>
          <t xml:space="preserve">Starter </t>
        </is>
      </c>
      <c r="F472" t="inlineStr">
        <is>
          <t>SMB</t>
        </is>
      </c>
      <c r="G472" t="inlineStr">
        <is>
          <t>Contact Management</t>
        </is>
      </c>
      <c r="H472" t="inlineStr">
        <is>
          <t>Bug</t>
        </is>
      </c>
      <c r="I472" t="inlineStr">
        <is>
          <t>The contact CSV import silently skipped rows and we only noticed days later. Our marketing ops owner flagged it while onboarding 116 new users. Is there a workaround?</t>
        </is>
      </c>
      <c r="J472" t="inlineStr">
        <is>
          <t>Negative</t>
        </is>
      </c>
      <c r="K472" t="inlineStr">
        <is>
          <t>High</t>
        </is>
      </c>
      <c r="L472" t="inlineStr">
        <is>
          <t>Workflow Slowdown</t>
        </is>
      </c>
    </row>
    <row r="473">
      <c r="A473" t="inlineStr">
        <is>
          <t>FB-00472</t>
        </is>
      </c>
      <c r="B473" t="inlineStr">
        <is>
          <t>CUST-0129</t>
        </is>
      </c>
      <c r="C473" t="inlineStr">
        <is>
          <t>2026-02-12</t>
        </is>
      </c>
      <c r="D473" t="inlineStr">
        <is>
          <t>Customer Survey</t>
        </is>
      </c>
      <c r="E473" t="inlineStr">
        <is>
          <t>Professional</t>
        </is>
      </c>
      <c r="F473" t="inlineStr">
        <is>
          <t>Enterprise</t>
        </is>
      </c>
      <c r="G473" t="inlineStr">
        <is>
          <t>Contact Management</t>
        </is>
      </c>
      <c r="H473" t="inlineStr">
        <is>
          <t>Feature Request</t>
        </is>
      </c>
      <c r="I473" t="inlineStr">
        <is>
          <t>Feedback from our monthly review. We need a tool to merge duplicate contacts because our database has years of overlapping records. Let us know if you need examples.</t>
        </is>
      </c>
      <c r="J473" t="inlineStr">
        <is>
          <t>Neutral</t>
        </is>
      </c>
      <c r="K473" t="inlineStr">
        <is>
          <t>Low</t>
        </is>
      </c>
      <c r="L473" t="inlineStr">
        <is>
          <t>Workflow Slowdown</t>
        </is>
      </c>
    </row>
    <row r="474">
      <c r="A474" t="inlineStr">
        <is>
          <t>FB-00473</t>
        </is>
      </c>
      <c r="B474" t="inlineStr">
        <is>
          <t>CUST-0113</t>
        </is>
      </c>
      <c r="C474" t="inlineStr">
        <is>
          <t>2026-02-13</t>
        </is>
      </c>
      <c r="D474" t="inlineStr">
        <is>
          <t>Feature Request</t>
        </is>
      </c>
      <c r="E474" t="inlineStr">
        <is>
          <t>Professional</t>
        </is>
      </c>
      <c r="F474" t="inlineStr">
        <is>
          <t>Mid-Market</t>
        </is>
      </c>
      <c r="G474" t="inlineStr">
        <is>
          <t>Contact Management</t>
        </is>
      </c>
      <c r="H474" t="inlineStr">
        <is>
          <t>Feature Request</t>
        </is>
      </c>
      <c r="I474" t="inlineStr">
        <is>
          <t>Great support experience recently. A bulk contact merge that keeps activity history would save our ops team hours. So far 67 people on our side have reported it. Keep up the good work.</t>
        </is>
      </c>
      <c r="J474" t="inlineStr">
        <is>
          <t>Positive</t>
        </is>
      </c>
      <c r="K474" t="inlineStr">
        <is>
          <t>Low</t>
        </is>
      </c>
      <c r="L474" t="inlineStr">
        <is>
          <t>Minor Inconvenience</t>
        </is>
      </c>
    </row>
    <row r="475">
      <c r="A475" t="inlineStr">
        <is>
          <t>FB-00474</t>
        </is>
      </c>
      <c r="B475" t="inlineStr">
        <is>
          <t>CUST-0320</t>
        </is>
      </c>
      <c r="C475" t="inlineStr">
        <is>
          <t>2026-02-13</t>
        </is>
      </c>
      <c r="D475" t="inlineStr">
        <is>
          <t>Support Ticket</t>
        </is>
      </c>
      <c r="E475" t="inlineStr">
        <is>
          <t>Professional</t>
        </is>
      </c>
      <c r="F475" t="inlineStr">
        <is>
          <t>Mid-Market</t>
        </is>
      </c>
      <c r="G475" t="inlineStr">
        <is>
          <t>Workflow Automation</t>
        </is>
      </c>
      <c r="H475" t="inlineStr">
        <is>
          <t>Bug</t>
        </is>
      </c>
      <c r="I475" t="inlineStr">
        <is>
          <t>We are hitting workflow runs failing silently: emails don't send and nobody gets notified. It happens about 31 times a week for our team of 103. Please look into it soon.</t>
        </is>
      </c>
      <c r="J475" t="inlineStr">
        <is>
          <t>Negative</t>
        </is>
      </c>
      <c r="K475" t="inlineStr">
        <is>
          <t>High</t>
        </is>
      </c>
      <c r="L475" t="inlineStr">
        <is>
          <t>Blocks Key Task</t>
        </is>
      </c>
    </row>
    <row r="476">
      <c r="A476" t="inlineStr">
        <is>
          <t>FB-00475</t>
        </is>
      </c>
      <c r="B476" t="inlineStr">
        <is>
          <t>CUST-0175</t>
        </is>
      </c>
      <c r="C476" t="inlineStr">
        <is>
          <t>2026-02-14</t>
        </is>
      </c>
      <c r="D476" t="inlineStr">
        <is>
          <t>Feature Request</t>
        </is>
      </c>
      <c r="E476" t="inlineStr">
        <is>
          <t>Professional</t>
        </is>
      </c>
      <c r="F476" t="inlineStr">
        <is>
          <t>Mid-Market</t>
        </is>
      </c>
      <c r="G476" t="inlineStr">
        <is>
          <t>User Interface</t>
        </is>
      </c>
      <c r="H476" t="inlineStr">
        <is>
          <t>Feature Request</t>
        </is>
      </c>
      <c r="I476" t="inlineStr">
        <is>
          <t>Feedback from our monthly review. Please add multi-select actions; changing records one at a time wastes hours. We estimate we lose roughly 48 hours a month on this.</t>
        </is>
      </c>
      <c r="J476" t="inlineStr">
        <is>
          <t>Neutral</t>
        </is>
      </c>
      <c r="K476" t="inlineStr">
        <is>
          <t>Low</t>
        </is>
      </c>
      <c r="L476" t="inlineStr">
        <is>
          <t>Minor Inconvenience</t>
        </is>
      </c>
    </row>
    <row r="477">
      <c r="A477" t="inlineStr">
        <is>
          <t>FB-00476</t>
        </is>
      </c>
      <c r="B477" t="inlineStr">
        <is>
          <t>CUST-0420</t>
        </is>
      </c>
      <c r="C477" t="inlineStr">
        <is>
          <t>2026-02-14</t>
        </is>
      </c>
      <c r="D477" t="inlineStr">
        <is>
          <t>In-App Feedback</t>
        </is>
      </c>
      <c r="E477" t="inlineStr">
        <is>
          <t>Enterprise</t>
        </is>
      </c>
      <c r="F477" t="inlineStr">
        <is>
          <t>Enterprise</t>
        </is>
      </c>
      <c r="G477" t="inlineStr">
        <is>
          <t>Workflow Automation</t>
        </is>
      </c>
      <c r="H477" t="inlineStr">
        <is>
          <t>Bug</t>
        </is>
      </c>
      <c r="I477" t="inlineStr">
        <is>
          <t>Sharing this from our team. Since the last release we've had workflow failures and tasks are being created twice. We estimate we lose roughly 34 hours a month on this.</t>
        </is>
      </c>
      <c r="J477" t="inlineStr">
        <is>
          <t>Neutral</t>
        </is>
      </c>
      <c r="K477" t="inlineStr">
        <is>
          <t>Medium</t>
        </is>
      </c>
      <c r="L477" t="inlineStr">
        <is>
          <t>Workflow Slowdown</t>
        </is>
      </c>
    </row>
    <row r="478">
      <c r="A478" t="inlineStr">
        <is>
          <t>FB-00477</t>
        </is>
      </c>
      <c r="B478" t="inlineStr">
        <is>
          <t>CUST-0394</t>
        </is>
      </c>
      <c r="C478" t="inlineStr">
        <is>
          <t>2026-02-14</t>
        </is>
      </c>
      <c r="D478" t="inlineStr">
        <is>
          <t xml:space="preserve"> Support Ticket</t>
        </is>
      </c>
      <c r="E478" t="inlineStr">
        <is>
          <t>Enterprise</t>
        </is>
      </c>
      <c r="F478" t="inlineStr">
        <is>
          <t>Enterprise</t>
        </is>
      </c>
      <c r="G478" t="inlineStr">
        <is>
          <t>Reporting</t>
        </is>
      </c>
      <c r="H478" t="inlineStr">
        <is>
          <t>Bug</t>
        </is>
      </c>
      <c r="I478" t="inlineStr">
        <is>
          <t>FYI for the product team. The CSV export of reports cuts off rows after a few thousand records. We estimate we lose roughly 34 hours a month on this.</t>
        </is>
      </c>
      <c r="J478" t="inlineStr">
        <is>
          <t>Neutral</t>
        </is>
      </c>
      <c r="K478" t="inlineStr">
        <is>
          <t>Medium</t>
        </is>
      </c>
      <c r="L478" t="inlineStr">
        <is>
          <t>Workflow Slowdown</t>
        </is>
      </c>
    </row>
    <row r="479">
      <c r="A479" t="inlineStr">
        <is>
          <t>FB-00478</t>
        </is>
      </c>
      <c r="B479" t="inlineStr">
        <is>
          <t>CUST-0187</t>
        </is>
      </c>
      <c r="C479" t="inlineStr">
        <is>
          <t>2026-02-14</t>
        </is>
      </c>
      <c r="D479" t="inlineStr">
        <is>
          <t>Support Ticket</t>
        </is>
      </c>
      <c r="E479" t="inlineStr">
        <is>
          <t>Enterprise</t>
        </is>
      </c>
      <c r="F479" t="inlineStr">
        <is>
          <t>Mid-Market</t>
        </is>
      </c>
      <c r="G479" t="inlineStr">
        <is>
          <t>Reporting</t>
        </is>
      </c>
      <c r="H479" t="inlineStr">
        <is>
          <t>Performance Issue</t>
        </is>
      </c>
      <c r="I479" t="inlineStr">
        <is>
          <t>Escalating on behalf of our ops lead. Our dashboard refresh spins for a minute before showing any chart. Our finance analyst flagged it while onboarding 19 new users. We need a fix before renewal.</t>
        </is>
      </c>
      <c r="J479" t="inlineStr">
        <is>
          <t>Negative</t>
        </is>
      </c>
      <c r="K479" t="inlineStr">
        <is>
          <t>Medium</t>
        </is>
      </c>
      <c r="L479" t="inlineStr">
        <is>
          <t>Blocks Key Task</t>
        </is>
      </c>
    </row>
    <row r="480">
      <c r="A480" t="inlineStr">
        <is>
          <t>FB-00479</t>
        </is>
      </c>
      <c r="B480" t="inlineStr">
        <is>
          <t>CUST-0293</t>
        </is>
      </c>
      <c r="C480" t="inlineStr">
        <is>
          <t>2026-02-14</t>
        </is>
      </c>
      <c r="D480" t="inlineStr">
        <is>
          <t>Customer Survey</t>
        </is>
      </c>
      <c r="E480" t="inlineStr">
        <is>
          <t>Enterprise</t>
        </is>
      </c>
      <c r="F480" t="inlineStr">
        <is>
          <t xml:space="preserve">Enterprise </t>
        </is>
      </c>
      <c r="G480" t="inlineStr">
        <is>
          <t>Workflow Automation</t>
        </is>
      </c>
      <c r="H480" t="inlineStr">
        <is>
          <t>Feature Request</t>
        </is>
      </c>
      <c r="I480" t="inlineStr">
        <is>
          <t>Feedback from our monthly review. We'd adopt automation faster with workflow templates we could customize. So far 76 people on our side have reported it. Let us know if you need examples.</t>
        </is>
      </c>
      <c r="J480" t="inlineStr">
        <is>
          <t>Neutral</t>
        </is>
      </c>
      <c r="K480" t="inlineStr">
        <is>
          <t>Low</t>
        </is>
      </c>
      <c r="L480" t="inlineStr">
        <is>
          <t>Minor Inconvenience</t>
        </is>
      </c>
    </row>
    <row r="481">
      <c r="A481" t="inlineStr">
        <is>
          <t>FB-00480</t>
        </is>
      </c>
      <c r="B481" t="inlineStr">
        <is>
          <t>CUST-0334</t>
        </is>
      </c>
      <c r="C481" t="inlineStr">
        <is>
          <t>2026-02-14</t>
        </is>
      </c>
      <c r="D481" t="inlineStr">
        <is>
          <t>Support Ticket</t>
        </is>
      </c>
      <c r="E481" t="inlineStr">
        <is>
          <t>Enterprise</t>
        </is>
      </c>
      <c r="F481" t="inlineStr">
        <is>
          <t>SMB</t>
        </is>
      </c>
      <c r="G481" t="inlineStr">
        <is>
          <t>User Interface</t>
        </is>
      </c>
      <c r="H481" t="inlineStr">
        <is>
          <t>Performance Issue</t>
        </is>
      </c>
      <c r="I481" t="inlineStr">
        <is>
          <t>The UI freezing gets worse in the afternoon. It happens about 13 times a week for our team of 96. Thanks to the team.</t>
        </is>
      </c>
      <c r="J481" t="inlineStr">
        <is>
          <t>Positive</t>
        </is>
      </c>
      <c r="K481" t="inlineStr">
        <is>
          <t>Medium</t>
        </is>
      </c>
      <c r="L481" t="inlineStr">
        <is>
          <t>Workflow Slowdown</t>
        </is>
      </c>
    </row>
    <row r="482">
      <c r="A482" t="inlineStr">
        <is>
          <t>FB-00481</t>
        </is>
      </c>
      <c r="B482" t="inlineStr">
        <is>
          <t>CUST-0075</t>
        </is>
      </c>
      <c r="C482" t="inlineStr">
        <is>
          <t>2026-02-15</t>
        </is>
      </c>
      <c r="D482" t="inlineStr">
        <is>
          <t>Support Ticket</t>
        </is>
      </c>
      <c r="E482" t="inlineStr">
        <is>
          <t>Professional</t>
        </is>
      </c>
      <c r="F482" t="inlineStr">
        <is>
          <t>Enterprise</t>
        </is>
      </c>
      <c r="G482" t="inlineStr">
        <is>
          <t>Lead Management</t>
        </is>
      </c>
      <c r="H482" t="inlineStr">
        <is>
          <t>Bug</t>
        </is>
      </c>
      <c r="I482" t="inlineStr">
        <is>
          <t>This has been a recurring problem for us. There are duplicate lead records across our pipeline views and nobody knows which record is the source of truth. It happens about 7 times a week for our team of 10. Support suggested logging it here.</t>
        </is>
      </c>
      <c r="J482" t="inlineStr">
        <is>
          <t>Negative</t>
        </is>
      </c>
      <c r="K482" t="inlineStr">
        <is>
          <t>High</t>
        </is>
      </c>
      <c r="L482" t="inlineStr">
        <is>
          <t>Blocks Key Task</t>
        </is>
      </c>
    </row>
    <row r="483">
      <c r="A483" t="inlineStr">
        <is>
          <t>FB-00482</t>
        </is>
      </c>
      <c r="B483" t="inlineStr">
        <is>
          <t>CUST-0054</t>
        </is>
      </c>
      <c r="C483" t="inlineStr">
        <is>
          <t>2026-02-15</t>
        </is>
      </c>
      <c r="D483" t="inlineStr">
        <is>
          <t>Support Ticket</t>
        </is>
      </c>
      <c r="E483" t="inlineStr">
        <is>
          <t>Enterprise</t>
        </is>
      </c>
      <c r="F483" t="inlineStr">
        <is>
          <t>Enterprise</t>
        </is>
      </c>
      <c r="G483" t="inlineStr">
        <is>
          <t>Workflow Automation</t>
        </is>
      </c>
      <c r="H483" t="inlineStr">
        <is>
          <t>Bug</t>
        </is>
      </c>
      <c r="I483" t="inlineStr">
        <is>
          <t>Not what we expected for the price. We are hitting workflow failures: emails don't send and nobody gets notified. Support suggested logging it here.</t>
        </is>
      </c>
      <c r="J483" t="inlineStr">
        <is>
          <t>Negative</t>
        </is>
      </c>
      <c r="K483" t="inlineStr">
        <is>
          <t>High</t>
        </is>
      </c>
      <c r="L483" t="inlineStr">
        <is>
          <t>Minor Inconvenience</t>
        </is>
      </c>
    </row>
    <row r="484">
      <c r="A484" t="inlineStr">
        <is>
          <t>FB-00483</t>
        </is>
      </c>
      <c r="B484" t="inlineStr">
        <is>
          <t>CUST-0405</t>
        </is>
      </c>
      <c r="C484" t="inlineStr">
        <is>
          <t>2026-02-15</t>
        </is>
      </c>
      <c r="D484" t="inlineStr">
        <is>
          <t xml:space="preserve">In-App Feedback </t>
        </is>
      </c>
      <c r="E484" t="inlineStr">
        <is>
          <t>Starter</t>
        </is>
      </c>
      <c r="F484" t="inlineStr">
        <is>
          <t>SMB</t>
        </is>
      </c>
      <c r="G484" t="inlineStr">
        <is>
          <t>User Interface</t>
        </is>
      </c>
      <c r="H484" t="inlineStr">
        <is>
          <t>Usability Issue</t>
        </is>
      </c>
      <c r="I484" t="inlineStr">
        <is>
          <t>New hires get lost in the settings navigation; it takes weeks to learn. Happy to join a feedback call.</t>
        </is>
      </c>
      <c r="J484" t="inlineStr">
        <is>
          <t>Neutral</t>
        </is>
      </c>
      <c r="K484" t="inlineStr">
        <is>
          <t>Medium</t>
        </is>
      </c>
      <c r="L484" t="inlineStr">
        <is>
          <t>Blocks Key Task</t>
        </is>
      </c>
    </row>
    <row r="485">
      <c r="A485" t="inlineStr">
        <is>
          <t>FB-00484</t>
        </is>
      </c>
      <c r="B485" t="inlineStr">
        <is>
          <t>CUST-0171</t>
        </is>
      </c>
      <c r="C485" t="inlineStr">
        <is>
          <t>2026-02-15</t>
        </is>
      </c>
      <c r="D485" t="inlineStr">
        <is>
          <t>Feature Request</t>
        </is>
      </c>
      <c r="E485" t="inlineStr">
        <is>
          <t>Professional</t>
        </is>
      </c>
      <c r="F485" t="inlineStr">
        <is>
          <t>Mid-Market</t>
        </is>
      </c>
      <c r="G485" t="inlineStr">
        <is>
          <t>Contact Management</t>
        </is>
      </c>
      <c r="H485" t="inlineStr">
        <is>
          <t>Feature Request</t>
        </is>
      </c>
      <c r="I485" t="inlineStr">
        <is>
          <t>Please build a tool to merge duplicate contacts with a preview of what will be combined. Let us know if you need examples.</t>
        </is>
      </c>
      <c r="J485" t="inlineStr">
        <is>
          <t>Neutral</t>
        </is>
      </c>
      <c r="K485" t="inlineStr">
        <is>
          <t>Medium</t>
        </is>
      </c>
      <c r="L485" t="inlineStr">
        <is>
          <t>Blocks Key Task</t>
        </is>
      </c>
    </row>
    <row r="486">
      <c r="A486" t="inlineStr">
        <is>
          <t>FB-00485</t>
        </is>
      </c>
      <c r="B486" t="inlineStr">
        <is>
          <t>CUST-0205</t>
        </is>
      </c>
      <c r="C486" t="inlineStr">
        <is>
          <t>2026-02-16</t>
        </is>
      </c>
      <c r="D486" t="inlineStr">
        <is>
          <t>Feature Request</t>
        </is>
      </c>
      <c r="E486" t="inlineStr">
        <is>
          <t>Enterprise</t>
        </is>
      </c>
      <c r="F486" t="inlineStr">
        <is>
          <t>Enterprise</t>
        </is>
      </c>
      <c r="G486" t="inlineStr">
        <is>
          <t>Workflow Automation</t>
        </is>
      </c>
      <c r="H486" t="inlineStr">
        <is>
          <t>Feature Request</t>
        </is>
      </c>
      <c r="I486" t="inlineStr">
        <is>
          <t>Not what we expected for the price. Requesting multi-level approvals; today approvals happen over chat. Support suggested logging it here.</t>
        </is>
      </c>
      <c r="J486" t="inlineStr">
        <is>
          <t>Negative</t>
        </is>
      </c>
      <c r="K486" t="inlineStr">
        <is>
          <t>Low</t>
        </is>
      </c>
      <c r="L486" t="inlineStr">
        <is>
          <t>Blocks Key Task</t>
        </is>
      </c>
    </row>
    <row r="487">
      <c r="A487" t="inlineStr">
        <is>
          <t>FB-00486</t>
        </is>
      </c>
      <c r="B487" t="inlineStr">
        <is>
          <t>CUST-0322</t>
        </is>
      </c>
      <c r="C487" t="inlineStr">
        <is>
          <t>2026-02-16</t>
        </is>
      </c>
      <c r="D487" t="inlineStr">
        <is>
          <t>In-App Feedback</t>
        </is>
      </c>
      <c r="E487" t="inlineStr">
        <is>
          <t>Starter</t>
        </is>
      </c>
      <c r="F487" t="inlineStr">
        <is>
          <t>SMB</t>
        </is>
      </c>
      <c r="G487" t="inlineStr">
        <is>
          <t>Workflow Automation</t>
        </is>
      </c>
      <c r="H487" t="inlineStr">
        <is>
          <t>Usability Issue</t>
        </is>
      </c>
      <c r="I487" t="inlineStr">
        <is>
          <t>Raising this again after our last business review. The workflow builder is hard to follow once a flow has more than a handful of steps. Our sales manager flagged it while onboarding 85 new users.</t>
        </is>
      </c>
      <c r="J487" t="inlineStr">
        <is>
          <t>Negative</t>
        </is>
      </c>
      <c r="K487" t="inlineStr">
        <is>
          <t>High</t>
        </is>
      </c>
      <c r="L487" t="inlineStr">
        <is>
          <t>Workflow Slowdown</t>
        </is>
      </c>
    </row>
    <row r="488">
      <c r="A488" t="inlineStr">
        <is>
          <t>FB-00487</t>
        </is>
      </c>
      <c r="B488" t="inlineStr">
        <is>
          <t>CUST-0203</t>
        </is>
      </c>
      <c r="C488" t="inlineStr">
        <is>
          <t>17-Feb-2026</t>
        </is>
      </c>
      <c r="D488" t="inlineStr">
        <is>
          <t>Feature Request</t>
        </is>
      </c>
      <c r="E488" t="inlineStr">
        <is>
          <t>Professional</t>
        </is>
      </c>
      <c r="F488" t="inlineStr">
        <is>
          <t>Mid-Market</t>
        </is>
      </c>
      <c r="G488" t="inlineStr">
        <is>
          <t>Integrations</t>
        </is>
      </c>
      <c r="H488" t="inlineStr">
        <is>
          <t>Feature Request</t>
        </is>
      </c>
      <c r="I488" t="inlineStr">
        <is>
          <t>Quick note from our admin. Lack of a marketing automation connector is a gap versus other CRMs we evaluated. It affects our quarterly planning process every cycle. Happy to join a feedback call.</t>
        </is>
      </c>
      <c r="J488" t="inlineStr">
        <is>
          <t>Neutral</t>
        </is>
      </c>
      <c r="K488" t="inlineStr">
        <is>
          <t>Low</t>
        </is>
      </c>
      <c r="L488" t="inlineStr">
        <is>
          <t>Minor Inconvenience</t>
        </is>
      </c>
    </row>
    <row r="489">
      <c r="A489" t="inlineStr">
        <is>
          <t>FB-00488</t>
        </is>
      </c>
      <c r="B489" t="inlineStr">
        <is>
          <t>CUST-0250</t>
        </is>
      </c>
      <c r="C489" t="inlineStr">
        <is>
          <t>2026-02-17</t>
        </is>
      </c>
      <c r="D489" t="inlineStr">
        <is>
          <t>Support Ticket</t>
        </is>
      </c>
      <c r="E489" t="inlineStr">
        <is>
          <t>Professional</t>
        </is>
      </c>
      <c r="F489" t="inlineStr">
        <is>
          <t>Mid-Market</t>
        </is>
      </c>
      <c r="G489" t="inlineStr">
        <is>
          <t>User Interface</t>
        </is>
      </c>
      <c r="H489" t="inlineStr">
        <is>
          <t>Feature Request</t>
        </is>
      </c>
      <c r="I489" t="inlineStr">
        <is>
          <t>We lose notes whenever reps are away from a desk without a mobile app.</t>
        </is>
      </c>
      <c r="J489" t="inlineStr">
        <is>
          <t>Neutral</t>
        </is>
      </c>
      <c r="K489" t="inlineStr">
        <is>
          <t>Low</t>
        </is>
      </c>
      <c r="L489" t="inlineStr">
        <is>
          <t>Workflow Slowdown</t>
        </is>
      </c>
    </row>
    <row r="490">
      <c r="A490" t="inlineStr">
        <is>
          <t>FB-00489</t>
        </is>
      </c>
      <c r="B490" t="inlineStr">
        <is>
          <t>CUST-0291</t>
        </is>
      </c>
      <c r="C490" t="inlineStr">
        <is>
          <t>2026-02-17</t>
        </is>
      </c>
      <c r="D490" t="inlineStr">
        <is>
          <t>Feature Request</t>
        </is>
      </c>
      <c r="E490" t="inlineStr">
        <is>
          <t>Starter</t>
        </is>
      </c>
      <c r="F490" t="inlineStr">
        <is>
          <t>SMB</t>
        </is>
      </c>
      <c r="G490" t="inlineStr">
        <is>
          <t>Workflow Automation</t>
        </is>
      </c>
      <c r="H490" t="inlineStr">
        <is>
          <t>Feature Request</t>
        </is>
      </c>
      <c r="I490" t="inlineStr">
        <is>
          <t>Happy with most of the product. Please provide prebuilt automations for common processes like onboarding and renewals. Our RevOps lead flagged it while onboarding 62 new users. Thanks to the team.</t>
        </is>
      </c>
      <c r="J490" t="inlineStr">
        <is>
          <t>Positive</t>
        </is>
      </c>
      <c r="K490" t="inlineStr">
        <is>
          <t>Low</t>
        </is>
      </c>
      <c r="L490" t="inlineStr">
        <is>
          <t>Minor Inconvenience</t>
        </is>
      </c>
    </row>
    <row r="491">
      <c r="A491" t="inlineStr">
        <is>
          <t>FB-00490</t>
        </is>
      </c>
      <c r="B491" t="inlineStr">
        <is>
          <t>CUST-0269</t>
        </is>
      </c>
      <c r="C491" t="inlineStr">
        <is>
          <t>17-Feb-2026</t>
        </is>
      </c>
      <c r="D491" t="inlineStr">
        <is>
          <t>Support Ticket</t>
        </is>
      </c>
      <c r="E491" t="inlineStr">
        <is>
          <t>Professional</t>
        </is>
      </c>
      <c r="F491" t="inlineStr">
        <is>
          <t>SMB</t>
        </is>
      </c>
      <c r="G491" t="inlineStr">
        <is>
          <t>Workflow Automation</t>
        </is>
      </c>
      <c r="H491" t="inlineStr">
        <is>
          <t>Usability Issue</t>
        </is>
      </c>
      <c r="I491" t="inlineStr">
        <is>
          <t>Frustrated with this one. The workflow editor doesn't let us copy steps between flows. Support suggested logging it here.</t>
        </is>
      </c>
      <c r="J491" t="inlineStr">
        <is>
          <t>Negative</t>
        </is>
      </c>
      <c r="K491" t="inlineStr">
        <is>
          <t>low</t>
        </is>
      </c>
      <c r="L491" t="inlineStr">
        <is>
          <t>Workflow Slowdown</t>
        </is>
      </c>
    </row>
    <row r="492">
      <c r="A492" t="inlineStr">
        <is>
          <t>FB-00491</t>
        </is>
      </c>
      <c r="B492" t="inlineStr">
        <is>
          <t>CUST-0204</t>
        </is>
      </c>
      <c r="C492" t="inlineStr">
        <is>
          <t>2026-02-17</t>
        </is>
      </c>
      <c r="D492" t="inlineStr">
        <is>
          <t>In-App Feedback</t>
        </is>
      </c>
      <c r="E492" t="inlineStr">
        <is>
          <t>Enterprise</t>
        </is>
      </c>
      <c r="F492" t="inlineStr">
        <is>
          <t>Enterprise</t>
        </is>
      </c>
      <c r="G492" t="inlineStr">
        <is>
          <t xml:space="preserve">Reporting </t>
        </is>
      </c>
      <c r="H492" t="inlineStr">
        <is>
          <t>Performance Issue</t>
        </is>
      </c>
      <c r="I492" t="inlineStr">
        <is>
          <t>Not what we expected for the price. Dashboard refresh got noticeably worse over the last few months. It happens about 3 times a week for our team of 106.</t>
        </is>
      </c>
      <c r="J492" t="inlineStr">
        <is>
          <t>Negative</t>
        </is>
      </c>
      <c r="K492" t="inlineStr">
        <is>
          <t>High</t>
        </is>
      </c>
      <c r="L492" t="inlineStr">
        <is>
          <t>Blocks Key Task</t>
        </is>
      </c>
    </row>
    <row r="493">
      <c r="A493" t="inlineStr">
        <is>
          <t>FB-00492</t>
        </is>
      </c>
      <c r="B493" t="inlineStr">
        <is>
          <t>CUST-0129</t>
        </is>
      </c>
      <c r="C493" t="inlineStr">
        <is>
          <t>2026-02-17</t>
        </is>
      </c>
      <c r="D493" t="inlineStr">
        <is>
          <t>Customer Survey</t>
        </is>
      </c>
      <c r="E493" t="inlineStr">
        <is>
          <t>Professional</t>
        </is>
      </c>
      <c r="F493" t="inlineStr">
        <is>
          <t>Enterprise</t>
        </is>
      </c>
      <c r="G493" t="inlineStr">
        <is>
          <t>Integrations</t>
        </is>
      </c>
      <c r="H493" t="inlineStr">
        <is>
          <t>Integration Issue</t>
        </is>
      </c>
      <c r="I493" t="inlineStr">
        <is>
          <t>We keep hitting API timeouts during nightly syncs with our data warehouse. It happens about 36 times a week for our team of 36. Is there a workaround?</t>
        </is>
      </c>
      <c r="J493" t="inlineStr">
        <is>
          <t>Negative</t>
        </is>
      </c>
      <c r="K493" t="inlineStr">
        <is>
          <t>High</t>
        </is>
      </c>
      <c r="L493" t="inlineStr">
        <is>
          <t>Blocks Key Task</t>
        </is>
      </c>
    </row>
    <row r="494">
      <c r="A494" t="inlineStr">
        <is>
          <t>FB-00493</t>
        </is>
      </c>
      <c r="B494" t="inlineStr">
        <is>
          <t>CUST-0322</t>
        </is>
      </c>
      <c r="C494" t="inlineStr">
        <is>
          <t>2026-02-17</t>
        </is>
      </c>
      <c r="D494" t="inlineStr">
        <is>
          <t>Support Ticket</t>
        </is>
      </c>
      <c r="E494" t="inlineStr">
        <is>
          <t>STARTER</t>
        </is>
      </c>
      <c r="F494" t="inlineStr">
        <is>
          <t>SMB</t>
        </is>
      </c>
      <c r="G494" t="inlineStr">
        <is>
          <t>lead management</t>
        </is>
      </c>
      <c r="H494" t="inlineStr">
        <is>
          <t>Bug</t>
        </is>
      </c>
      <c r="I494" t="inlineStr">
        <is>
          <t>We are seeing duplicate lead records when a lead arrives from both the website and a trade-show list. So far 42 people on our side have reported it. Support suggested logging it here.</t>
        </is>
      </c>
      <c r="J494" t="inlineStr">
        <is>
          <t>Negative</t>
        </is>
      </c>
      <c r="K494" t="inlineStr">
        <is>
          <t>High</t>
        </is>
      </c>
      <c r="L494" t="inlineStr">
        <is>
          <t>Blocks Key Task</t>
        </is>
      </c>
    </row>
    <row r="495">
      <c r="A495" t="inlineStr">
        <is>
          <t>FB-00494</t>
        </is>
      </c>
      <c r="B495" t="inlineStr">
        <is>
          <t>CUST-0157</t>
        </is>
      </c>
      <c r="C495" t="inlineStr">
        <is>
          <t>2026-02-18</t>
        </is>
      </c>
      <c r="D495" t="inlineStr">
        <is>
          <t>Feature Request</t>
        </is>
      </c>
      <c r="E495" t="inlineStr">
        <is>
          <t>Starter</t>
        </is>
      </c>
      <c r="F495" t="inlineStr">
        <is>
          <t>SMB</t>
        </is>
      </c>
      <c r="G495" t="inlineStr">
        <is>
          <t>User Interface</t>
        </is>
      </c>
      <c r="H495" t="inlineStr">
        <is>
          <t>Feature Request</t>
        </is>
      </c>
      <c r="I495" t="inlineStr">
        <is>
          <t>Our team keeps running into this. Please prioritize a mobile app; the mobile web view is hard to use. It affects our renewal process every cycle.</t>
        </is>
      </c>
      <c r="J495" t="inlineStr">
        <is>
          <t>Negative</t>
        </is>
      </c>
      <c r="K495" t="inlineStr">
        <is>
          <t>High</t>
        </is>
      </c>
      <c r="L495" t="inlineStr">
        <is>
          <t>Revenue/Operations Risk</t>
        </is>
      </c>
    </row>
    <row r="496">
      <c r="A496" t="inlineStr">
        <is>
          <t>FB-00495</t>
        </is>
      </c>
      <c r="B496" t="inlineStr">
        <is>
          <t>CUST-0293</t>
        </is>
      </c>
      <c r="C496" t="inlineStr">
        <is>
          <t>2026-02-18</t>
        </is>
      </c>
      <c r="D496" t="inlineStr">
        <is>
          <t>Feature Request</t>
        </is>
      </c>
      <c r="E496" t="inlineStr">
        <is>
          <t>Enterprise</t>
        </is>
      </c>
      <c r="F496" t="inlineStr">
        <is>
          <t>Enterprise</t>
        </is>
      </c>
      <c r="G496" t="inlineStr">
        <is>
          <t>Workflow Automation</t>
        </is>
      </c>
      <c r="H496" t="inlineStr">
        <is>
          <t>Bug</t>
        </is>
      </c>
      <c r="I496" t="inlineStr">
        <is>
          <t>Our team keeps running into this. We found automation misfires only because a customer complained. Please look into it soon.</t>
        </is>
      </c>
      <c r="J496" t="inlineStr">
        <is>
          <t>Negative</t>
        </is>
      </c>
      <c r="K496" t="inlineStr">
        <is>
          <t>High</t>
        </is>
      </c>
      <c r="L496" t="inlineStr">
        <is>
          <t>Blocks Key Task</t>
        </is>
      </c>
    </row>
    <row r="497">
      <c r="A497" t="inlineStr">
        <is>
          <t>FB-00496</t>
        </is>
      </c>
      <c r="B497" t="inlineStr">
        <is>
          <t>CUST-0204</t>
        </is>
      </c>
      <c r="C497" t="inlineStr">
        <is>
          <t>2026-02-18</t>
        </is>
      </c>
      <c r="D497" t="inlineStr">
        <is>
          <t>Customer Survey</t>
        </is>
      </c>
      <c r="E497" t="inlineStr">
        <is>
          <t>Enterprise</t>
        </is>
      </c>
      <c r="F497" t="inlineStr">
        <is>
          <t>Enterprise</t>
        </is>
      </c>
      <c r="G497" t="inlineStr">
        <is>
          <t>Lead Management</t>
        </is>
      </c>
      <c r="H497" t="inlineStr">
        <is>
          <t>Usability Issue</t>
        </is>
      </c>
      <c r="I497" t="inlineStr">
        <is>
          <t>Not what we expected for the price. It is hard to understand how lead assignment settings decide who owns a lead. We estimate we lose roughly 23 hours a month on this. Please look into it soon.</t>
        </is>
      </c>
      <c r="J497" t="inlineStr">
        <is>
          <t>Negative</t>
        </is>
      </c>
      <c r="K497" t="inlineStr">
        <is>
          <t>Medium</t>
        </is>
      </c>
      <c r="L497" t="inlineStr">
        <is>
          <t>Blocks Key Task</t>
        </is>
      </c>
    </row>
    <row r="498">
      <c r="A498" t="inlineStr">
        <is>
          <t>FB-00497</t>
        </is>
      </c>
      <c r="B498" t="inlineStr">
        <is>
          <t>CUST-0284</t>
        </is>
      </c>
      <c r="C498" t="inlineStr">
        <is>
          <t>2026-02-18</t>
        </is>
      </c>
      <c r="D498" t="inlineStr">
        <is>
          <t>In-App Feedback</t>
        </is>
      </c>
      <c r="E498" t="inlineStr">
        <is>
          <t>Enterprise</t>
        </is>
      </c>
      <c r="F498" t="inlineStr">
        <is>
          <t>Enterprise</t>
        </is>
      </c>
      <c r="G498" t="inlineStr">
        <is>
          <t>Reporting</t>
        </is>
      </c>
      <c r="H498" t="inlineStr">
        <is>
          <t>Feature Request</t>
        </is>
      </c>
      <c r="I498" t="inlineStr">
        <is>
          <t>Noting this during onboarding. Please add scheduled report emails; today an analyst rebuilds the same report every week. It happens about 31 times a week for our team of 21.</t>
        </is>
      </c>
      <c r="J498" t="inlineStr">
        <is>
          <t>Neutral</t>
        </is>
      </c>
      <c r="K498" t="inlineStr">
        <is>
          <t>Low</t>
        </is>
      </c>
      <c r="L498" t="inlineStr">
        <is>
          <t>Workflow Slowdown</t>
        </is>
      </c>
    </row>
    <row r="499">
      <c r="A499" t="inlineStr">
        <is>
          <t>FB-00498</t>
        </is>
      </c>
      <c r="B499" t="inlineStr">
        <is>
          <t>CUST-0408</t>
        </is>
      </c>
      <c r="C499" t="inlineStr">
        <is>
          <t>2026-02-19</t>
        </is>
      </c>
      <c r="D499" t="inlineStr">
        <is>
          <t>In-App Feedback</t>
        </is>
      </c>
      <c r="E499" t="inlineStr">
        <is>
          <t>Starter</t>
        </is>
      </c>
      <c r="F499" t="inlineStr">
        <is>
          <t>SMB</t>
        </is>
      </c>
      <c r="G499" t="inlineStr">
        <is>
          <t>Contact Management</t>
        </is>
      </c>
      <c r="H499" t="inlineStr">
        <is>
          <t>Performance Issue</t>
        </is>
      </c>
      <c r="I499" t="inlineStr">
        <is>
          <t>Quick note from our admin. We avoid saved contact filters during calls because it takes too long. Let us know if you need examples.</t>
        </is>
      </c>
      <c r="J499" t="inlineStr">
        <is>
          <t>Neutral</t>
        </is>
      </c>
      <c r="K499" t="inlineStr">
        <is>
          <t>Medium</t>
        </is>
      </c>
      <c r="L499" t="inlineStr">
        <is>
          <t>Blocks Key Task</t>
        </is>
      </c>
    </row>
    <row r="500">
      <c r="A500" t="inlineStr">
        <is>
          <t>FB-00499</t>
        </is>
      </c>
      <c r="B500" t="inlineStr">
        <is>
          <t>CUST-0165</t>
        </is>
      </c>
      <c r="C500" t="inlineStr">
        <is>
          <t>2026-02-19</t>
        </is>
      </c>
      <c r="D500" t="inlineStr">
        <is>
          <t>Feature Request</t>
        </is>
      </c>
      <c r="E500" t="inlineStr">
        <is>
          <t>Enterprise</t>
        </is>
      </c>
      <c r="F500" t="inlineStr">
        <is>
          <t>Mid-Market</t>
        </is>
      </c>
      <c r="G500" t="inlineStr">
        <is>
          <t>Contact Management</t>
        </is>
      </c>
      <c r="H500" t="inlineStr">
        <is>
          <t>Feature Request</t>
        </is>
      </c>
      <c r="I500" t="inlineStr">
        <is>
          <t>Noting this during onboarding. We need a bulk contact merge because our database has years of overlapping records. It affects our month-end reporting process every cycle. Let us know if you need examples.</t>
        </is>
      </c>
      <c r="J500" t="inlineStr">
        <is>
          <t>Neutral</t>
        </is>
      </c>
      <c r="K500" t="inlineStr">
        <is>
          <t>Low</t>
        </is>
      </c>
      <c r="L500" t="inlineStr">
        <is>
          <t>Workflow Slowdown</t>
        </is>
      </c>
    </row>
    <row r="501">
      <c r="A501" t="inlineStr">
        <is>
          <t>FB-00500</t>
        </is>
      </c>
      <c r="B501" t="inlineStr">
        <is>
          <t>CUST-0108</t>
        </is>
      </c>
      <c r="C501" t="inlineStr">
        <is>
          <t>2026-02-19</t>
        </is>
      </c>
      <c r="D501" t="inlineStr">
        <is>
          <t>Customer Survey</t>
        </is>
      </c>
      <c r="E501" t="inlineStr">
        <is>
          <t>Enterprise</t>
        </is>
      </c>
      <c r="F501" t="inlineStr">
        <is>
          <t>Mid-Market</t>
        </is>
      </c>
      <c r="G501" t="inlineStr">
        <is>
          <t>Reporting</t>
        </is>
      </c>
      <c r="H501" t="inlineStr">
        <is>
          <t>Performance Issue</t>
        </is>
      </c>
      <c r="I501" t="inlineStr">
        <is>
          <t>Quick note from our admin. Our report load time spins for a minute before showing any chart. It affects our renewal process every cycle.</t>
        </is>
      </c>
      <c r="J501" t="inlineStr">
        <is>
          <t>Neutral</t>
        </is>
      </c>
      <c r="K501" t="inlineStr">
        <is>
          <t>Medium</t>
        </is>
      </c>
      <c r="L501" t="inlineStr">
        <is>
          <t>Workflow Slowdown</t>
        </is>
      </c>
    </row>
    <row r="502">
      <c r="A502" t="inlineStr">
        <is>
          <t>FB-00501</t>
        </is>
      </c>
      <c r="B502" t="inlineStr">
        <is>
          <t>CUST-0198</t>
        </is>
      </c>
      <c r="C502" t="inlineStr">
        <is>
          <t>2026-02-20</t>
        </is>
      </c>
      <c r="D502" t="inlineStr">
        <is>
          <t>In-App Feedback</t>
        </is>
      </c>
      <c r="E502" t="inlineStr">
        <is>
          <t>Starter</t>
        </is>
      </c>
      <c r="F502" t="inlineStr">
        <is>
          <t>SMB</t>
        </is>
      </c>
      <c r="G502" t="inlineStr">
        <is>
          <t>Lead Management</t>
        </is>
      </c>
      <c r="H502" t="inlineStr">
        <is>
          <t>Usability Issue</t>
        </is>
      </c>
      <c r="I502" t="inlineStr">
        <is>
          <t>This has been a recurring problem for us. Setting up round-robin lead assignment takes too many steps and the options don't cover territories. So far 117 people on our side have reported it. Support suggested logging it here.</t>
        </is>
      </c>
      <c r="J502" t="inlineStr">
        <is>
          <t>Negative</t>
        </is>
      </c>
      <c r="K502" t="inlineStr">
        <is>
          <t>High</t>
        </is>
      </c>
      <c r="L502" t="inlineStr">
        <is>
          <t>Workflow Slowdown</t>
        </is>
      </c>
    </row>
    <row r="503">
      <c r="A503" t="inlineStr">
        <is>
          <t>FB-00502</t>
        </is>
      </c>
      <c r="B503" t="inlineStr">
        <is>
          <t>CUST-0042</t>
        </is>
      </c>
      <c r="C503" t="inlineStr">
        <is>
          <t>2026-02-20</t>
        </is>
      </c>
      <c r="D503" t="inlineStr">
        <is>
          <t>Support Ticket</t>
        </is>
      </c>
      <c r="E503" t="inlineStr">
        <is>
          <t>Professional</t>
        </is>
      </c>
      <c r="F503" t="inlineStr">
        <is>
          <t>Mid-Market</t>
        </is>
      </c>
      <c r="G503" t="inlineStr">
        <is>
          <t>Lead Management</t>
        </is>
      </c>
      <c r="H503" t="inlineStr">
        <is>
          <t>Bug</t>
        </is>
      </c>
      <c r="I503" t="inlineStr">
        <is>
          <t>We are seeing lead de-duplication failures when a lead arrives from both the website and a trade-show list. It affects our lead handoff process every cycle. We need a fix before renewal.</t>
        </is>
      </c>
      <c r="J503" t="inlineStr">
        <is>
          <t>Negative</t>
        </is>
      </c>
      <c r="K503" t="inlineStr">
        <is>
          <t>Critical</t>
        </is>
      </c>
      <c r="L503" t="inlineStr">
        <is>
          <t>Blocks Key Task</t>
        </is>
      </c>
    </row>
    <row r="504">
      <c r="A504" t="inlineStr">
        <is>
          <t>FB-00503</t>
        </is>
      </c>
      <c r="B504" t="inlineStr">
        <is>
          <t>CUST-0320</t>
        </is>
      </c>
      <c r="C504" t="inlineStr">
        <is>
          <t>2026-02-20</t>
        </is>
      </c>
      <c r="D504" t="inlineStr">
        <is>
          <t>Customer Survey</t>
        </is>
      </c>
      <c r="E504" t="inlineStr">
        <is>
          <t>Professional</t>
        </is>
      </c>
      <c r="F504" t="inlineStr">
        <is>
          <t>Mid-Market</t>
        </is>
      </c>
      <c r="G504" t="inlineStr">
        <is>
          <t>Reporting</t>
        </is>
      </c>
      <c r="H504" t="inlineStr">
        <is>
          <t>Bug</t>
        </is>
      </c>
      <c r="I504" t="inlineStr">
        <is>
          <t>Happy with most of the product. Finance can't rely on the CSV export of reports; totals don't match the screen. Our finance analyst flagged it while onboarding 4 new users. Thanks to the team.</t>
        </is>
      </c>
      <c r="J504" t="inlineStr">
        <is>
          <t>Positive</t>
        </is>
      </c>
      <c r="K504" t="inlineStr">
        <is>
          <t>High</t>
        </is>
      </c>
      <c r="L504" t="inlineStr">
        <is>
          <t>Workflow Slowdown</t>
        </is>
      </c>
    </row>
    <row r="505">
      <c r="A505" t="inlineStr">
        <is>
          <t>FB-00504</t>
        </is>
      </c>
      <c r="B505" t="inlineStr">
        <is>
          <t>CUST-0293</t>
        </is>
      </c>
      <c r="C505" t="inlineStr">
        <is>
          <t>2026-02-20</t>
        </is>
      </c>
      <c r="D505" t="inlineStr">
        <is>
          <t>Support Ticket</t>
        </is>
      </c>
      <c r="E505" t="inlineStr">
        <is>
          <t>Enterprise</t>
        </is>
      </c>
      <c r="F505" t="inlineStr">
        <is>
          <t>Enterprise</t>
        </is>
      </c>
      <c r="G505" t="inlineStr">
        <is>
          <t>Workflow Automation</t>
        </is>
      </c>
      <c r="H505" t="inlineStr">
        <is>
          <t>Bug</t>
        </is>
      </c>
      <c r="I505" t="inlineStr">
        <is>
          <t>Quick note from our admin. Several workflow runs failing silently left deals stuck in the wrong stage. So far 90 people on our side have reported it.</t>
        </is>
      </c>
      <c r="J505" t="inlineStr">
        <is>
          <t>Neutral</t>
        </is>
      </c>
      <c r="K505" t="inlineStr">
        <is>
          <t>Low</t>
        </is>
      </c>
      <c r="L505" t="inlineStr">
        <is>
          <t>Minor Inconvenience</t>
        </is>
      </c>
    </row>
    <row r="506">
      <c r="A506" t="inlineStr">
        <is>
          <t>FB-00505</t>
        </is>
      </c>
      <c r="B506" t="inlineStr">
        <is>
          <t>CUST-0034</t>
        </is>
      </c>
      <c r="C506" t="inlineStr">
        <is>
          <t>2026-02-20</t>
        </is>
      </c>
      <c r="D506" t="inlineStr">
        <is>
          <t>In-App Feedback</t>
        </is>
      </c>
      <c r="E506" t="inlineStr">
        <is>
          <t>Professional</t>
        </is>
      </c>
      <c r="F506" t="inlineStr">
        <is>
          <t>Mid-Market</t>
        </is>
      </c>
      <c r="G506" t="inlineStr">
        <is>
          <t>Workflow Automation</t>
        </is>
      </c>
      <c r="H506" t="inlineStr">
        <is>
          <t>Usability Issue</t>
        </is>
      </c>
      <c r="I506" t="inlineStr">
        <is>
          <t>Our new admins struggle with the automation canvas; there is no guidance or validation. We estimate we lose roughly 25 hours a month on this.</t>
        </is>
      </c>
      <c r="J506" t="inlineStr">
        <is>
          <t>Neutral</t>
        </is>
      </c>
      <c r="K506" t="inlineStr">
        <is>
          <t>Low</t>
        </is>
      </c>
      <c r="L506" t="inlineStr">
        <is>
          <t>Blocks Key Task</t>
        </is>
      </c>
    </row>
    <row r="507">
      <c r="A507" t="inlineStr">
        <is>
          <t>FB-00506</t>
        </is>
      </c>
      <c r="B507" t="inlineStr">
        <is>
          <t>CUST-0107</t>
        </is>
      </c>
      <c r="C507" t="inlineStr">
        <is>
          <t>2026-02-20</t>
        </is>
      </c>
      <c r="D507" t="inlineStr">
        <is>
          <t>Customer Survey</t>
        </is>
      </c>
      <c r="E507" t="inlineStr">
        <is>
          <t>Starter</t>
        </is>
      </c>
      <c r="F507" t="inlineStr">
        <is>
          <t>SMB</t>
        </is>
      </c>
      <c r="G507" t="inlineStr">
        <is>
          <t>Lead Management</t>
        </is>
      </c>
      <c r="H507" t="inlineStr">
        <is>
          <t>Feature Request</t>
        </is>
      </c>
      <c r="I507" t="inlineStr">
        <is>
          <t>Sharing this from our team. Would love to see automated lead scoring that marketing and sales can both tune. Our RevOps lead flagged it while onboarding 39 new users.</t>
        </is>
      </c>
      <c r="J507" t="inlineStr">
        <is>
          <t>Neutral</t>
        </is>
      </c>
      <c r="K507" t="inlineStr">
        <is>
          <t>Low</t>
        </is>
      </c>
      <c r="L507" t="inlineStr">
        <is>
          <t>Minor Inconvenience</t>
        </is>
      </c>
    </row>
    <row r="508">
      <c r="A508" t="inlineStr">
        <is>
          <t>FB-00507</t>
        </is>
      </c>
      <c r="B508" t="inlineStr">
        <is>
          <t>CUST-0284</t>
        </is>
      </c>
      <c r="C508" t="inlineStr">
        <is>
          <t>2026-02-20</t>
        </is>
      </c>
      <c r="D508" t="inlineStr">
        <is>
          <t>Support Ticket</t>
        </is>
      </c>
      <c r="E508" t="inlineStr">
        <is>
          <t>Enterprise</t>
        </is>
      </c>
      <c r="F508" t="inlineStr">
        <is>
          <t>Enterprise</t>
        </is>
      </c>
      <c r="G508" t="inlineStr">
        <is>
          <t>Reporting</t>
        </is>
      </c>
      <c r="H508" t="inlineStr">
        <is>
          <t>Performance Issue</t>
        </is>
      </c>
      <c r="I508" t="inlineStr">
        <is>
          <t>Great support experience recently. Dashboard loading got noticeably worse over the last few months.</t>
        </is>
      </c>
      <c r="J508" t="inlineStr">
        <is>
          <t>Positive</t>
        </is>
      </c>
      <c r="K508" t="inlineStr">
        <is>
          <t>Low</t>
        </is>
      </c>
      <c r="L508" t="inlineStr">
        <is>
          <t>Workflow Slowdown</t>
        </is>
      </c>
    </row>
    <row r="509">
      <c r="A509" t="inlineStr">
        <is>
          <t>FB-00508</t>
        </is>
      </c>
      <c r="B509" t="inlineStr">
        <is>
          <t>CUST-0284</t>
        </is>
      </c>
      <c r="C509" t="inlineStr">
        <is>
          <t>2026-02-20</t>
        </is>
      </c>
      <c r="D509" t="inlineStr">
        <is>
          <t>In-App Feedback</t>
        </is>
      </c>
      <c r="E509" t="inlineStr">
        <is>
          <t>Enterprise</t>
        </is>
      </c>
      <c r="F509" t="inlineStr">
        <is>
          <t>Enterprise</t>
        </is>
      </c>
      <c r="G509" t="inlineStr">
        <is>
          <t>Contact Management</t>
        </is>
      </c>
      <c r="H509" t="inlineStr">
        <is>
          <t>Bug</t>
        </is>
      </c>
      <c r="I509" t="inlineStr">
        <is>
          <t>FYI for the product team. Our import field mapping scrambles phone and email columns even after we map them correctly. We estimate we lose roughly 33 hours a month on this. Happy to join a feedback call.</t>
        </is>
      </c>
      <c r="J509" t="inlineStr">
        <is>
          <t>Neutral</t>
        </is>
      </c>
      <c r="K509" t="inlineStr">
        <is>
          <t>High</t>
        </is>
      </c>
      <c r="L509" t="inlineStr">
        <is>
          <t>Blocks Key Task</t>
        </is>
      </c>
    </row>
    <row r="510">
      <c r="A510" t="inlineStr">
        <is>
          <t>FB-00509</t>
        </is>
      </c>
      <c r="B510" t="inlineStr">
        <is>
          <t>CUST-0206</t>
        </is>
      </c>
      <c r="C510" t="inlineStr">
        <is>
          <t>2026-02-20</t>
        </is>
      </c>
      <c r="D510" t="inlineStr">
        <is>
          <t>In-App Feedback</t>
        </is>
      </c>
      <c r="E510" t="inlineStr">
        <is>
          <t>Professional</t>
        </is>
      </c>
      <c r="F510" t="inlineStr">
        <is>
          <t>Mid-Market</t>
        </is>
      </c>
      <c r="G510" t="inlineStr">
        <is>
          <t>Lead Management</t>
        </is>
      </c>
      <c r="H510" t="inlineStr">
        <is>
          <t>Bug</t>
        </is>
      </c>
      <c r="I510" t="inlineStr">
        <is>
          <t>Not what we expected for the price. Web form submissions keep creating duplicate lead records, and reps end up calling the same prospect twice. It affects our lead handoff process every cycle.</t>
        </is>
      </c>
      <c r="J510" t="inlineStr">
        <is>
          <t>Negative</t>
        </is>
      </c>
      <c r="K510" t="inlineStr">
        <is>
          <t>Medium</t>
        </is>
      </c>
      <c r="L510" t="inlineStr">
        <is>
          <t>Minor Inconvenience</t>
        </is>
      </c>
    </row>
    <row r="511">
      <c r="A511" t="inlineStr">
        <is>
          <t>FB-00510</t>
        </is>
      </c>
      <c r="B511" t="inlineStr">
        <is>
          <t>CUST-0286</t>
        </is>
      </c>
      <c r="C511" t="inlineStr">
        <is>
          <t>2026-02-21</t>
        </is>
      </c>
      <c r="D511" t="inlineStr">
        <is>
          <t>Feature Request</t>
        </is>
      </c>
      <c r="E511" t="inlineStr">
        <is>
          <t>Enterprise</t>
        </is>
      </c>
      <c r="F511" t="inlineStr">
        <is>
          <t>Enterprise</t>
        </is>
      </c>
      <c r="G511" t="inlineStr">
        <is>
          <t>Contact Management</t>
        </is>
      </c>
      <c r="H511" t="inlineStr">
        <is>
          <t>Feature Request</t>
        </is>
      </c>
      <c r="I511" t="inlineStr">
        <is>
          <t>FYI for the product team. Please build contact de-duplication tooling with a preview of what will be combined. Our sales manager flagged it while onboarding 79 new users.</t>
        </is>
      </c>
      <c r="J511" t="inlineStr">
        <is>
          <t>Neutral</t>
        </is>
      </c>
      <c r="K511" t="inlineStr">
        <is>
          <t>Low</t>
        </is>
      </c>
      <c r="L511" t="inlineStr">
        <is>
          <t>Minor Inconvenience</t>
        </is>
      </c>
    </row>
    <row r="512">
      <c r="A512" t="inlineStr">
        <is>
          <t>FB-00511</t>
        </is>
      </c>
      <c r="B512" t="inlineStr">
        <is>
          <t>CUST-0234</t>
        </is>
      </c>
      <c r="C512" t="inlineStr">
        <is>
          <t>2026-02-21</t>
        </is>
      </c>
      <c r="D512" t="inlineStr">
        <is>
          <t>Customer Survey</t>
        </is>
      </c>
      <c r="E512" t="inlineStr">
        <is>
          <t>Enterprise</t>
        </is>
      </c>
      <c r="F512" t="inlineStr">
        <is>
          <t>SMB</t>
        </is>
      </c>
      <c r="G512" t="inlineStr">
        <is>
          <t>Lead Management</t>
        </is>
      </c>
      <c r="H512" t="inlineStr">
        <is>
          <t>Performance Issue</t>
        </is>
      </c>
      <c r="I512" t="inlineStr">
        <is>
          <t>Feedback from our monthly review. Reps have stopped using the board because of lead view load times. Our customer success lead flagged it while onboarding 81 new users. Let us know if you need examples.</t>
        </is>
      </c>
      <c r="J512" t="inlineStr">
        <is>
          <t>Neutral</t>
        </is>
      </c>
      <c r="K512" t="inlineStr">
        <is>
          <t>Low</t>
        </is>
      </c>
      <c r="L512" t="inlineStr">
        <is>
          <t>Minor Inconvenience</t>
        </is>
      </c>
    </row>
    <row r="513">
      <c r="A513" t="inlineStr">
        <is>
          <t>FB-00512</t>
        </is>
      </c>
      <c r="B513" t="inlineStr">
        <is>
          <t>CUST-0092</t>
        </is>
      </c>
      <c r="C513" t="inlineStr">
        <is>
          <t>2026-02-21</t>
        </is>
      </c>
      <c r="D513" t="inlineStr">
        <is>
          <t>Customer Survey</t>
        </is>
      </c>
      <c r="E513" t="inlineStr">
        <is>
          <t>Professional</t>
        </is>
      </c>
      <c r="F513" t="inlineStr">
        <is>
          <t>Mid-Market</t>
        </is>
      </c>
      <c r="G513" t="inlineStr">
        <is>
          <t>Workflow Automation</t>
        </is>
      </c>
      <c r="H513" t="inlineStr">
        <is>
          <t>Feature Request</t>
        </is>
      </c>
      <c r="I513" t="inlineStr">
        <is>
          <t>Noting this during onboarding. We'd adopt automation faster with prebuilt automations we could customize. It affects our month-end reporting process every cycle. Let us know if you need examples.</t>
        </is>
      </c>
      <c r="J513" t="inlineStr">
        <is>
          <t>Neutral</t>
        </is>
      </c>
      <c r="K513" t="inlineStr">
        <is>
          <t>Medium</t>
        </is>
      </c>
      <c r="L513" t="inlineStr">
        <is>
          <t>Minor Inconvenience</t>
        </is>
      </c>
    </row>
    <row r="514">
      <c r="A514" t="inlineStr">
        <is>
          <t>FB-00513</t>
        </is>
      </c>
      <c r="B514" t="inlineStr">
        <is>
          <t>CUST-0048</t>
        </is>
      </c>
      <c r="C514" t="inlineStr">
        <is>
          <t>2026-02-21</t>
        </is>
      </c>
      <c r="D514" t="inlineStr">
        <is>
          <t>Support Ticket</t>
        </is>
      </c>
      <c r="E514" t="inlineStr">
        <is>
          <t>Starter</t>
        </is>
      </c>
      <c r="F514" t="inlineStr">
        <is>
          <t>SMB</t>
        </is>
      </c>
      <c r="G514" t="inlineStr">
        <is>
          <t>User Interface</t>
        </is>
      </c>
      <c r="H514" t="inlineStr">
        <is>
          <t>Usability Issue</t>
        </is>
      </c>
      <c r="I514" t="inlineStr">
        <is>
          <t>Too many clicks to reach common screens because of the page layout. It happens about 23 times a week for our team of 11. We need a fix before renewal.</t>
        </is>
      </c>
      <c r="J514" t="inlineStr">
        <is>
          <t>Negative</t>
        </is>
      </c>
      <c r="K514" t="inlineStr">
        <is>
          <t>Low</t>
        </is>
      </c>
      <c r="L514" t="inlineStr">
        <is>
          <t>Minor Inconvenience</t>
        </is>
      </c>
    </row>
    <row r="515">
      <c r="A515" t="inlineStr">
        <is>
          <t>FB-00514</t>
        </is>
      </c>
      <c r="B515" t="inlineStr">
        <is>
          <t>CUST-0382</t>
        </is>
      </c>
      <c r="C515" t="inlineStr">
        <is>
          <t>2026-02-21</t>
        </is>
      </c>
      <c r="D515" t="inlineStr">
        <is>
          <t>Support Ticket</t>
        </is>
      </c>
      <c r="E515" t="inlineStr">
        <is>
          <t>Starter</t>
        </is>
      </c>
      <c r="F515" t="inlineStr">
        <is>
          <t>SMB</t>
        </is>
      </c>
      <c r="G515" t="inlineStr">
        <is>
          <t>Contact Management</t>
        </is>
      </c>
      <c r="H515" t="inlineStr">
        <is>
          <t>Bug</t>
        </is>
      </c>
      <c r="I515" t="inlineStr">
        <is>
          <t>Frustrated with this one. The import field mapping rejects files with accented characters in names. So far 22 people on our side have reported it. Support suggested logging it here.</t>
        </is>
      </c>
      <c r="J515" t="inlineStr">
        <is>
          <t>Negative</t>
        </is>
      </c>
      <c r="K515" t="inlineStr">
        <is>
          <t>Medium</t>
        </is>
      </c>
      <c r="L515" t="inlineStr">
        <is>
          <t>Workflow Slowdown</t>
        </is>
      </c>
    </row>
    <row r="516">
      <c r="A516" t="inlineStr">
        <is>
          <t>FB-00515</t>
        </is>
      </c>
      <c r="B516" t="inlineStr">
        <is>
          <t>CUST-0262</t>
        </is>
      </c>
      <c r="C516" t="inlineStr">
        <is>
          <t>2026-02-21</t>
        </is>
      </c>
      <c r="D516" t="inlineStr">
        <is>
          <t>Customer Survey</t>
        </is>
      </c>
      <c r="E516" t="inlineStr">
        <is>
          <t xml:space="preserve"> Professional</t>
        </is>
      </c>
      <c r="F516" t="inlineStr">
        <is>
          <t>Mid-Market</t>
        </is>
      </c>
      <c r="G516" t="inlineStr">
        <is>
          <t>INTEGRATIONS</t>
        </is>
      </c>
      <c r="H516" t="inlineStr">
        <is>
          <t>Feature Request</t>
        </is>
      </c>
      <c r="I516" t="inlineStr">
        <is>
          <t>Feedback from our monthly review. Requesting a marketing automation connector to remove manual re-entry. It affects our quarterly planning process every cycle.</t>
        </is>
      </c>
      <c r="J516" t="inlineStr">
        <is>
          <t>Neutral</t>
        </is>
      </c>
      <c r="K516" t="inlineStr">
        <is>
          <t>High</t>
        </is>
      </c>
      <c r="L516" t="inlineStr">
        <is>
          <t>Revenue/Operations Risk</t>
        </is>
      </c>
    </row>
    <row r="517">
      <c r="A517" t="inlineStr">
        <is>
          <t>FB-00516</t>
        </is>
      </c>
      <c r="B517" t="inlineStr">
        <is>
          <t>CUST-0420</t>
        </is>
      </c>
      <c r="C517" t="inlineStr">
        <is>
          <t>2026-02-21</t>
        </is>
      </c>
      <c r="D517" t="inlineStr">
        <is>
          <t>In-App Feedback</t>
        </is>
      </c>
      <c r="E517" t="inlineStr">
        <is>
          <t>Enterprise</t>
        </is>
      </c>
      <c r="F517" t="inlineStr">
        <is>
          <t>Enterprise</t>
        </is>
      </c>
      <c r="G517" t="inlineStr">
        <is>
          <t>Integrations</t>
        </is>
      </c>
      <c r="H517" t="inlineStr">
        <is>
          <t>Integration Issue</t>
        </is>
      </c>
      <c r="I517" t="inlineStr">
        <is>
          <t>This has been a recurring problem for us. We keep hitting webhook delivery during nightly syncs with our data warehouse. We estimate we lose roughly 32 hours a month on this. We need a fix before renewal.</t>
        </is>
      </c>
      <c r="J517" t="inlineStr">
        <is>
          <t>Negative</t>
        </is>
      </c>
      <c r="K517" t="inlineStr">
        <is>
          <t>Medium</t>
        </is>
      </c>
      <c r="L517" t="inlineStr">
        <is>
          <t>Blocks Key Task</t>
        </is>
      </c>
    </row>
    <row r="518">
      <c r="A518" t="inlineStr">
        <is>
          <t>FB-00517</t>
        </is>
      </c>
      <c r="B518" t="inlineStr">
        <is>
          <t>CUST-0231</t>
        </is>
      </c>
      <c r="C518" t="inlineStr">
        <is>
          <t>2026-02-22</t>
        </is>
      </c>
      <c r="D518" t="inlineStr">
        <is>
          <t>Support Ticket</t>
        </is>
      </c>
      <c r="E518" t="inlineStr">
        <is>
          <t>Enterprise</t>
        </is>
      </c>
      <c r="F518" t="inlineStr">
        <is>
          <t>Enterprise</t>
        </is>
      </c>
      <c r="G518" t="inlineStr">
        <is>
          <t>Workflow Automation</t>
        </is>
      </c>
      <c r="H518" t="inlineStr">
        <is>
          <t>Bug</t>
        </is>
      </c>
      <c r="I518" t="inlineStr">
        <is>
          <t>Since the last release we've had workflow failures and tasks are being created twice. It happens about 32 times a week for our team of 9. We need a fix before renewal.</t>
        </is>
      </c>
      <c r="J518" t="inlineStr">
        <is>
          <t>Negative</t>
        </is>
      </c>
      <c r="K518" t="inlineStr">
        <is>
          <t>High</t>
        </is>
      </c>
      <c r="L518" t="inlineStr">
        <is>
          <t>Blocks Key Task</t>
        </is>
      </c>
    </row>
    <row r="519">
      <c r="A519" t="inlineStr">
        <is>
          <t>FB-00518</t>
        </is>
      </c>
      <c r="B519" t="inlineStr">
        <is>
          <t>CUST-0149</t>
        </is>
      </c>
      <c r="C519" t="inlineStr">
        <is>
          <t>2026-02-22</t>
        </is>
      </c>
      <c r="D519" t="inlineStr">
        <is>
          <t>Support Ticket</t>
        </is>
      </c>
      <c r="E519" t="inlineStr">
        <is>
          <t>Professional</t>
        </is>
      </c>
      <c r="F519" t="inlineStr">
        <is>
          <t>Mid-Market</t>
        </is>
      </c>
      <c r="G519" t="inlineStr">
        <is>
          <t>Lead Management</t>
        </is>
      </c>
      <c r="H519" t="inlineStr">
        <is>
          <t>Bug</t>
        </is>
      </c>
      <c r="I519" t="inlineStr">
        <is>
          <t>Noting this during onboarding. We are seeing lead de-duplication failures when a lead arrives from both the website and a trade-show list. We estimate we lose roughly 55 hours a month on this.</t>
        </is>
      </c>
      <c r="J519" t="inlineStr">
        <is>
          <t>Neutral</t>
        </is>
      </c>
      <c r="K519" t="inlineStr">
        <is>
          <t>High</t>
        </is>
      </c>
      <c r="L519" t="inlineStr">
        <is>
          <t>Blocks Key Task</t>
        </is>
      </c>
    </row>
    <row r="520">
      <c r="A520" t="inlineStr">
        <is>
          <t>FB-00519</t>
        </is>
      </c>
      <c r="B520" t="inlineStr">
        <is>
          <t>CUST-0284</t>
        </is>
      </c>
      <c r="C520" t="inlineStr">
        <is>
          <t>22-Feb-2026</t>
        </is>
      </c>
      <c r="D520" t="inlineStr">
        <is>
          <t>Support Ticket</t>
        </is>
      </c>
      <c r="E520" t="inlineStr">
        <is>
          <t>Enterprise</t>
        </is>
      </c>
      <c r="F520" t="inlineStr">
        <is>
          <t>Enterprise</t>
        </is>
      </c>
      <c r="G520" t="inlineStr">
        <is>
          <t>Workflow Automation</t>
        </is>
      </c>
      <c r="H520" t="inlineStr">
        <is>
          <t>Bug</t>
        </is>
      </c>
      <c r="I520" t="inlineStr">
        <is>
          <t>This has been a recurring problem for us. We are hitting workflow runs failing silently: emails don't send and nobody gets notified. It affects our month-end reporting process every cycle. Please look into it soon.</t>
        </is>
      </c>
      <c r="J520" t="inlineStr">
        <is>
          <t>Negative</t>
        </is>
      </c>
      <c r="K520" t="inlineStr">
        <is>
          <t>High</t>
        </is>
      </c>
      <c r="L520" t="inlineStr">
        <is>
          <t>Blocks Key Task</t>
        </is>
      </c>
    </row>
    <row r="521">
      <c r="A521" t="inlineStr">
        <is>
          <t>FB-00520</t>
        </is>
      </c>
      <c r="B521" t="inlineStr">
        <is>
          <t>CUST-0385</t>
        </is>
      </c>
      <c r="C521" t="inlineStr">
        <is>
          <t>2026-02-22</t>
        </is>
      </c>
      <c r="D521" t="inlineStr">
        <is>
          <t>Support Ticket</t>
        </is>
      </c>
      <c r="E521" t="inlineStr">
        <is>
          <t>Starter</t>
        </is>
      </c>
      <c r="F521" t="inlineStr">
        <is>
          <t>SMB</t>
        </is>
      </c>
      <c r="G521" t="inlineStr">
        <is>
          <t>Reporting</t>
        </is>
      </c>
      <c r="H521" t="inlineStr">
        <is>
          <t>Bug</t>
        </is>
      </c>
      <c r="I521" t="inlineStr">
        <is>
          <t>Happy with most of the product. Our CSV export of reports drops formatting and shows dates as numbers. Happy to beta test.</t>
        </is>
      </c>
      <c r="J521" t="inlineStr">
        <is>
          <t>Positive</t>
        </is>
      </c>
      <c r="K521" t="inlineStr">
        <is>
          <t>Low</t>
        </is>
      </c>
      <c r="L521" t="inlineStr">
        <is>
          <t>Minor Inconvenience</t>
        </is>
      </c>
    </row>
    <row r="522">
      <c r="A522" t="inlineStr">
        <is>
          <t>FB-00521</t>
        </is>
      </c>
      <c r="B522" t="inlineStr">
        <is>
          <t>CUST-0035</t>
        </is>
      </c>
      <c r="C522" t="inlineStr">
        <is>
          <t>2026-02-22</t>
        </is>
      </c>
      <c r="D522" t="inlineStr">
        <is>
          <t>Customer Survey</t>
        </is>
      </c>
      <c r="E522" t="inlineStr">
        <is>
          <t>Professional</t>
        </is>
      </c>
      <c r="F522" t="inlineStr">
        <is>
          <t>Enterprise</t>
        </is>
      </c>
      <c r="G522" t="inlineStr">
        <is>
          <t>User Interface</t>
        </is>
      </c>
      <c r="H522" t="inlineStr">
        <is>
          <t>Feature Request</t>
        </is>
      </c>
      <c r="I522" t="inlineStr">
        <is>
          <t>Quick note from our admin. Please prioritize offline mobile access; the mobile web view is hard to use. Our marketing ops owner flagged it while onboarding 70 new users. Let us know if you need examples.</t>
        </is>
      </c>
      <c r="J522" t="inlineStr">
        <is>
          <t>Neutral</t>
        </is>
      </c>
      <c r="K522" t="inlineStr">
        <is>
          <t>Medium</t>
        </is>
      </c>
      <c r="L522" t="inlineStr">
        <is>
          <t>Minor Inconvenience</t>
        </is>
      </c>
    </row>
    <row r="523">
      <c r="A523" t="inlineStr">
        <is>
          <t>FB-00522</t>
        </is>
      </c>
      <c r="B523" t="inlineStr">
        <is>
          <t>CUST-0309</t>
        </is>
      </c>
      <c r="C523" t="inlineStr">
        <is>
          <t>2026-02-22</t>
        </is>
      </c>
      <c r="D523" t="inlineStr">
        <is>
          <t>In-App Feedback</t>
        </is>
      </c>
      <c r="E523" t="inlineStr">
        <is>
          <t>Starter</t>
        </is>
      </c>
      <c r="F523" t="inlineStr">
        <is>
          <t>SMB</t>
        </is>
      </c>
      <c r="G523" t="inlineStr">
        <is>
          <t>Integrations</t>
        </is>
      </c>
      <c r="H523" t="inlineStr">
        <is>
          <t>Integration Issue</t>
        </is>
      </c>
      <c r="I523" t="inlineStr">
        <is>
          <t>Hard to debug: API rate limits fail with vague error codes. So far 31 people on our side have reported it.</t>
        </is>
      </c>
      <c r="J523" t="inlineStr">
        <is>
          <t>Neutral</t>
        </is>
      </c>
      <c r="K523" t="inlineStr">
        <is>
          <t>Medium</t>
        </is>
      </c>
      <c r="L523" t="inlineStr">
        <is>
          <t>Workflow Slowdown</t>
        </is>
      </c>
    </row>
    <row r="524">
      <c r="A524" t="inlineStr">
        <is>
          <t>FB-00523</t>
        </is>
      </c>
      <c r="B524" t="inlineStr">
        <is>
          <t>CUST-0398</t>
        </is>
      </c>
      <c r="C524" t="inlineStr">
        <is>
          <t>2026-02-23</t>
        </is>
      </c>
      <c r="D524" t="inlineStr">
        <is>
          <t>Support Ticket</t>
        </is>
      </c>
      <c r="E524" t="inlineStr">
        <is>
          <t>Enterprise</t>
        </is>
      </c>
      <c r="F524" t="inlineStr">
        <is>
          <t>Enterprise</t>
        </is>
      </c>
      <c r="G524" t="inlineStr">
        <is>
          <t>Integrations</t>
        </is>
      </c>
      <c r="H524" t="inlineStr">
        <is>
          <t>Integration Issue</t>
        </is>
      </c>
      <c r="I524" t="inlineStr">
        <is>
          <t>This has been a recurring problem for us. Our integration partner flagged API rate limits as a risk for the project. It happens about 3 times a week for our team of 23.</t>
        </is>
      </c>
      <c r="J524" t="inlineStr">
        <is>
          <t>Negative</t>
        </is>
      </c>
      <c r="K524" t="inlineStr">
        <is>
          <t>Medium</t>
        </is>
      </c>
      <c r="L524" t="inlineStr">
        <is>
          <t>Workflow Slowdown</t>
        </is>
      </c>
    </row>
    <row r="525">
      <c r="A525" t="inlineStr">
        <is>
          <t>FB-00524</t>
        </is>
      </c>
      <c r="B525" t="inlineStr">
        <is>
          <t>CUST-0231</t>
        </is>
      </c>
      <c r="C525" t="inlineStr">
        <is>
          <t>2026-02-23</t>
        </is>
      </c>
      <c r="D525" t="inlineStr">
        <is>
          <t>Feature Request</t>
        </is>
      </c>
      <c r="E525" t="inlineStr">
        <is>
          <t>Enterprise</t>
        </is>
      </c>
      <c r="F525" t="inlineStr">
        <is>
          <t xml:space="preserve">Enterprise </t>
        </is>
      </c>
      <c r="G525" t="inlineStr">
        <is>
          <t>Integrations</t>
        </is>
      </c>
      <c r="H525" t="inlineStr">
        <is>
          <t>Feature Request</t>
        </is>
      </c>
      <c r="I525" t="inlineStr">
        <is>
          <t>Sharing this from our team. Our security team requires SSO support before we can expand seats. We estimate we lose roughly 40 hours a month on this.</t>
        </is>
      </c>
      <c r="J525" t="inlineStr">
        <is>
          <t>Neutral</t>
        </is>
      </c>
      <c r="K525" t="inlineStr">
        <is>
          <t>Medium</t>
        </is>
      </c>
      <c r="L525" t="inlineStr">
        <is>
          <t>Minor Inconvenience</t>
        </is>
      </c>
    </row>
    <row r="526">
      <c r="A526" t="inlineStr">
        <is>
          <t>FB-00525</t>
        </is>
      </c>
      <c r="B526" t="inlineStr">
        <is>
          <t>CUST-0278</t>
        </is>
      </c>
      <c r="C526" t="inlineStr">
        <is>
          <t>2026-02-23</t>
        </is>
      </c>
      <c r="D526" t="inlineStr">
        <is>
          <t>Support Ticket</t>
        </is>
      </c>
      <c r="E526" t="inlineStr">
        <is>
          <t>Professional</t>
        </is>
      </c>
      <c r="F526" t="inlineStr">
        <is>
          <t>Mid-Market</t>
        </is>
      </c>
      <c r="G526" t="inlineStr">
        <is>
          <t>Workflow Automation</t>
        </is>
      </c>
      <c r="H526" t="inlineStr">
        <is>
          <t>Bug</t>
        </is>
      </c>
      <c r="I526" t="inlineStr">
        <is>
          <t>Since the last release we've had workflow runs failing silently and tasks are being created twice. We estimate we lose roughly 3 hours a month on this. Please look into it soon.</t>
        </is>
      </c>
      <c r="J526" t="inlineStr">
        <is>
          <t>Negative</t>
        </is>
      </c>
      <c r="K526" t="inlineStr">
        <is>
          <t>High</t>
        </is>
      </c>
      <c r="L526" t="inlineStr">
        <is>
          <t>Blocks Key Task</t>
        </is>
      </c>
    </row>
    <row r="527">
      <c r="A527" t="inlineStr">
        <is>
          <t>FB-00526</t>
        </is>
      </c>
      <c r="B527" t="inlineStr">
        <is>
          <t>CUST-0273</t>
        </is>
      </c>
      <c r="C527" t="inlineStr">
        <is>
          <t>2026-02-23</t>
        </is>
      </c>
      <c r="D527" t="inlineStr">
        <is>
          <t>Feature Request</t>
        </is>
      </c>
      <c r="E527" t="inlineStr">
        <is>
          <t>Professional</t>
        </is>
      </c>
      <c r="F527" t="inlineStr">
        <is>
          <t>Mid-Market</t>
        </is>
      </c>
      <c r="G527" t="inlineStr">
        <is>
          <t>Contact Management</t>
        </is>
      </c>
      <c r="H527" t="inlineStr">
        <is>
          <t>Bug</t>
        </is>
      </c>
      <c r="I527" t="inlineStr">
        <is>
          <t>The import field mapping rejects files with accented characters in names. It affects our month-end reporting process every cycle.</t>
        </is>
      </c>
      <c r="J527" t="inlineStr">
        <is>
          <t>Negative</t>
        </is>
      </c>
      <c r="K527" t="inlineStr">
        <is>
          <t>High</t>
        </is>
      </c>
      <c r="L527" t="inlineStr">
        <is>
          <t>Revenue/Operations Risk</t>
        </is>
      </c>
    </row>
    <row r="528">
      <c r="A528" t="inlineStr">
        <is>
          <t>FB-00527</t>
        </is>
      </c>
      <c r="B528" t="inlineStr">
        <is>
          <t>CUST-0146</t>
        </is>
      </c>
      <c r="C528" t="inlineStr">
        <is>
          <t>2026-02-23</t>
        </is>
      </c>
      <c r="D528" t="inlineStr">
        <is>
          <t>Support Ticket</t>
        </is>
      </c>
      <c r="E528" t="inlineStr">
        <is>
          <t>Starter</t>
        </is>
      </c>
      <c r="F528" t="inlineStr">
        <is>
          <t>SMB</t>
        </is>
      </c>
      <c r="G528" t="inlineStr">
        <is>
          <t>reporting</t>
        </is>
      </c>
      <c r="H528" t="inlineStr">
        <is>
          <t>Performance Issue</t>
        </is>
      </c>
      <c r="I528" t="inlineStr">
        <is>
          <t>Our dashboard loading spins for a minute before showing any chart. It affects our month-end reporting process every cycle. Let us know if you need examples.</t>
        </is>
      </c>
      <c r="J528" t="inlineStr">
        <is>
          <t>Neutral</t>
        </is>
      </c>
      <c r="K528" t="inlineStr">
        <is>
          <t>Medium</t>
        </is>
      </c>
      <c r="L528" t="inlineStr">
        <is>
          <t>Minor Inconvenience</t>
        </is>
      </c>
    </row>
    <row r="529">
      <c r="A529" t="inlineStr">
        <is>
          <t>FB-00528</t>
        </is>
      </c>
      <c r="B529" t="inlineStr">
        <is>
          <t>CUST-0015</t>
        </is>
      </c>
      <c r="C529" t="inlineStr">
        <is>
          <t>2026-02-23</t>
        </is>
      </c>
      <c r="D529" t="inlineStr">
        <is>
          <t>Support Ticket</t>
        </is>
      </c>
      <c r="E529" t="inlineStr">
        <is>
          <t>Professional</t>
        </is>
      </c>
      <c r="F529" t="inlineStr">
        <is>
          <t>Mid-Market</t>
        </is>
      </c>
      <c r="G529" t="inlineStr">
        <is>
          <t>Workflow Automation</t>
        </is>
      </c>
      <c r="H529" t="inlineStr">
        <is>
          <t>Bug</t>
        </is>
      </c>
      <c r="I529" t="inlineStr">
        <is>
          <t>FYI for the product team. Since the last release we've had workflow failures and tasks are being created twice. So far 116 people on our side have reported it. Happy to join a feedback call.</t>
        </is>
      </c>
      <c r="J529" t="inlineStr">
        <is>
          <t>Neutral</t>
        </is>
      </c>
      <c r="K529" t="inlineStr">
        <is>
          <t>Medium</t>
        </is>
      </c>
      <c r="L529" t="inlineStr">
        <is>
          <t>Minor Inconvenience</t>
        </is>
      </c>
    </row>
    <row r="530">
      <c r="A530" t="inlineStr">
        <is>
          <t>FB-00529</t>
        </is>
      </c>
      <c r="B530" t="inlineStr">
        <is>
          <t>CUST-0216</t>
        </is>
      </c>
      <c r="C530" t="inlineStr">
        <is>
          <t>2026-02-24</t>
        </is>
      </c>
      <c r="D530" t="inlineStr">
        <is>
          <t>Feature Request</t>
        </is>
      </c>
      <c r="E530" t="inlineStr">
        <is>
          <t>Starter</t>
        </is>
      </c>
      <c r="F530" t="inlineStr">
        <is>
          <t>Mid-Market</t>
        </is>
      </c>
      <c r="G530" t="inlineStr">
        <is>
          <t>Reporting</t>
        </is>
      </c>
      <c r="H530" t="inlineStr">
        <is>
          <t>Feature Request</t>
        </is>
      </c>
      <c r="I530" t="inlineStr">
        <is>
          <t>FYI for the product team. Without a custom report builder we export raw data and rebuild everything elsewhere. We estimate we lose roughly 11 hours a month on this. Let us know if you need examples.</t>
        </is>
      </c>
      <c r="J530" t="inlineStr">
        <is>
          <t>Neutral</t>
        </is>
      </c>
      <c r="K530" t="inlineStr">
        <is>
          <t>Medium</t>
        </is>
      </c>
      <c r="L530" t="inlineStr">
        <is>
          <t>Blocks Key Task</t>
        </is>
      </c>
    </row>
    <row r="531">
      <c r="A531" t="inlineStr">
        <is>
          <t>FB-00530</t>
        </is>
      </c>
      <c r="B531" t="inlineStr">
        <is>
          <t>CUST-0226</t>
        </is>
      </c>
      <c r="C531" t="inlineStr">
        <is>
          <t>2026-02-24</t>
        </is>
      </c>
      <c r="D531" t="inlineStr">
        <is>
          <t>Customer Survey</t>
        </is>
      </c>
      <c r="E531" t="inlineStr">
        <is>
          <t>Professional</t>
        </is>
      </c>
      <c r="F531" t="inlineStr">
        <is>
          <t>Enterprise</t>
        </is>
      </c>
      <c r="G531" t="inlineStr">
        <is>
          <t>Integrations</t>
        </is>
      </c>
      <c r="H531" t="inlineStr">
        <is>
          <t>Integration Issue</t>
        </is>
      </c>
      <c r="I531" t="inlineStr">
        <is>
          <t>Not what we expected for the price. After the token expires, Outlook calendar sync stops with no warning. We need a fix before renewal.</t>
        </is>
      </c>
      <c r="J531" t="inlineStr">
        <is>
          <t>Negative</t>
        </is>
      </c>
      <c r="K531" t="inlineStr">
        <is>
          <t>Medium</t>
        </is>
      </c>
      <c r="L531" t="inlineStr">
        <is>
          <t>Minor Inconvenience</t>
        </is>
      </c>
    </row>
    <row r="532">
      <c r="A532" t="inlineStr">
        <is>
          <t>FB-00531</t>
        </is>
      </c>
      <c r="B532" t="inlineStr">
        <is>
          <t>CUST-0381</t>
        </is>
      </c>
      <c r="C532" t="inlineStr">
        <is>
          <t>2026-02-24</t>
        </is>
      </c>
      <c r="D532" t="inlineStr">
        <is>
          <t>In-App Feedback</t>
        </is>
      </c>
      <c r="E532" t="inlineStr">
        <is>
          <t>Professional</t>
        </is>
      </c>
      <c r="F532" t="inlineStr">
        <is>
          <t>Mid-Market</t>
        </is>
      </c>
      <c r="G532" t="inlineStr">
        <is>
          <t>User Interface</t>
        </is>
      </c>
      <c r="H532" t="inlineStr">
        <is>
          <t>Usability Issue</t>
        </is>
      </c>
      <c r="I532" t="inlineStr">
        <is>
          <t>Feedback from our monthly review. The settings navigation changed and nobody told us where things moved. Let us know if you need examples.</t>
        </is>
      </c>
      <c r="J532" t="inlineStr">
        <is>
          <t>Neutral</t>
        </is>
      </c>
      <c r="K532" t="inlineStr">
        <is>
          <t>Low</t>
        </is>
      </c>
      <c r="L532" t="inlineStr">
        <is>
          <t>Minor Inconvenience</t>
        </is>
      </c>
    </row>
    <row r="533">
      <c r="A533" t="inlineStr">
        <is>
          <t>FB-00532</t>
        </is>
      </c>
      <c r="B533" t="inlineStr">
        <is>
          <t>CUST-0307</t>
        </is>
      </c>
      <c r="C533" t="inlineStr">
        <is>
          <t>2026-02-24</t>
        </is>
      </c>
      <c r="D533" t="inlineStr">
        <is>
          <t>Support Ticket</t>
        </is>
      </c>
      <c r="E533" t="inlineStr">
        <is>
          <t>Starter</t>
        </is>
      </c>
      <c r="F533" t="inlineStr">
        <is>
          <t>SMB</t>
        </is>
      </c>
      <c r="G533" t="inlineStr">
        <is>
          <t>Contact Management</t>
        </is>
      </c>
      <c r="H533" t="inlineStr">
        <is>
          <t>Bug</t>
        </is>
      </c>
      <c r="I533" t="inlineStr">
        <is>
          <t>Escalating on behalf of our ops lead. The contact CSV import fails halfway through with a generic error and no row-level detail. We estimate we lose roughly 7 hours a month on this. Please look into it soon.</t>
        </is>
      </c>
      <c r="J533" t="inlineStr">
        <is>
          <t>Negative</t>
        </is>
      </c>
      <c r="K533" t="inlineStr">
        <is>
          <t>High</t>
        </is>
      </c>
      <c r="L533" t="inlineStr">
        <is>
          <t>Workflow Slowdown</t>
        </is>
      </c>
    </row>
    <row r="534">
      <c r="A534" t="inlineStr">
        <is>
          <t>FB-00533</t>
        </is>
      </c>
      <c r="B534" t="inlineStr">
        <is>
          <t>CUST-0128</t>
        </is>
      </c>
      <c r="C534" t="inlineStr">
        <is>
          <t>2026-02-24</t>
        </is>
      </c>
      <c r="D534" t="inlineStr">
        <is>
          <t>Support Ticket</t>
        </is>
      </c>
      <c r="E534" t="inlineStr">
        <is>
          <t>Professional</t>
        </is>
      </c>
      <c r="F534" t="inlineStr">
        <is>
          <t>SMB</t>
        </is>
      </c>
      <c r="G534" t="inlineStr">
        <is>
          <t>Integrations</t>
        </is>
      </c>
      <c r="H534" t="inlineStr">
        <is>
          <t>Integration Issue</t>
        </is>
      </c>
      <c r="I534" t="inlineStr">
        <is>
          <t>Escalating on behalf of our ops lead. Webhook delivery is unreliable and there is no retry or log we can inspect. It happens about 12 times a week for our team of 63. Support suggested logging it here.</t>
        </is>
      </c>
      <c r="J534" t="inlineStr">
        <is>
          <t>Negative</t>
        </is>
      </c>
      <c r="K534" t="inlineStr">
        <is>
          <t>Low</t>
        </is>
      </c>
      <c r="L534" t="inlineStr">
        <is>
          <t>Minor Inconvenience</t>
        </is>
      </c>
    </row>
    <row r="535">
      <c r="A535" t="inlineStr">
        <is>
          <t>FB-00534</t>
        </is>
      </c>
      <c r="B535" t="inlineStr">
        <is>
          <t>CUST-0306</t>
        </is>
      </c>
      <c r="C535" t="inlineStr">
        <is>
          <t>2026-02-24</t>
        </is>
      </c>
      <c r="D535" t="inlineStr">
        <is>
          <t>Customer Survey</t>
        </is>
      </c>
      <c r="E535" t="inlineStr">
        <is>
          <t>Professional</t>
        </is>
      </c>
      <c r="F535" t="inlineStr">
        <is>
          <t>SMB</t>
        </is>
      </c>
      <c r="G535" t="inlineStr">
        <is>
          <t>Lead Management</t>
        </is>
      </c>
      <c r="H535" t="inlineStr">
        <is>
          <t>Feature Request</t>
        </is>
      </c>
      <c r="I535" t="inlineStr">
        <is>
          <t>Happy with most of the product. Right now reps rank leads by gut feel; lead scoring rules would fix that. So far 114 people on our side have reported it.</t>
        </is>
      </c>
      <c r="J535" t="inlineStr">
        <is>
          <t>Positive</t>
        </is>
      </c>
      <c r="K535" t="inlineStr">
        <is>
          <t>Low</t>
        </is>
      </c>
      <c r="L535" t="inlineStr">
        <is>
          <t>Workflow Slowdown</t>
        </is>
      </c>
    </row>
    <row r="536">
      <c r="A536" t="inlineStr">
        <is>
          <t>FB-00535</t>
        </is>
      </c>
      <c r="B536" t="inlineStr">
        <is>
          <t>CUST-0278</t>
        </is>
      </c>
      <c r="C536" t="inlineStr">
        <is>
          <t>2026-02-25</t>
        </is>
      </c>
      <c r="D536" t="inlineStr">
        <is>
          <t>Support Ticket</t>
        </is>
      </c>
      <c r="E536" t="inlineStr">
        <is>
          <t>Professional</t>
        </is>
      </c>
      <c r="F536" t="inlineStr">
        <is>
          <t>Mid-Market</t>
        </is>
      </c>
      <c r="G536" t="inlineStr">
        <is>
          <t>Reporting</t>
        </is>
      </c>
      <c r="H536" t="inlineStr">
        <is>
          <t xml:space="preserve">Bug </t>
        </is>
      </c>
      <c r="I536" t="inlineStr">
        <is>
          <t>Escalating on behalf of our ops lead. Finance can't rely on the report export; totals don't match the screen. Our customer success lead flagged it while onboarding 62 new users. Is there a workaround?</t>
        </is>
      </c>
      <c r="J536" t="inlineStr">
        <is>
          <t>Negative</t>
        </is>
      </c>
      <c r="K536" t="inlineStr">
        <is>
          <t>Medium</t>
        </is>
      </c>
      <c r="L536" t="inlineStr">
        <is>
          <t>Workflow Slowdown</t>
        </is>
      </c>
    </row>
    <row r="537">
      <c r="A537" t="inlineStr">
        <is>
          <t>FB-00536</t>
        </is>
      </c>
      <c r="B537" t="inlineStr">
        <is>
          <t>CUST-0288</t>
        </is>
      </c>
      <c r="C537" t="inlineStr">
        <is>
          <t>2026-02-25</t>
        </is>
      </c>
      <c r="D537" t="inlineStr">
        <is>
          <t>Feature Request</t>
        </is>
      </c>
      <c r="E537" t="inlineStr">
        <is>
          <t>Professional</t>
        </is>
      </c>
      <c r="F537" t="inlineStr">
        <is>
          <t>Mid-Market</t>
        </is>
      </c>
      <c r="G537" t="inlineStr">
        <is>
          <t>Reporting</t>
        </is>
      </c>
      <c r="H537" t="inlineStr">
        <is>
          <t>Feature Request</t>
        </is>
      </c>
      <c r="I537" t="inlineStr">
        <is>
          <t>Feedback from our monthly review. Please add scheduled report emails; today an analyst rebuilds the same report every week. It happens about 17 times a week for our team of 58. Happy to join a feedback call.</t>
        </is>
      </c>
      <c r="J537" t="inlineStr">
        <is>
          <t>Neutral</t>
        </is>
      </c>
      <c r="K537" t="inlineStr">
        <is>
          <t>Low</t>
        </is>
      </c>
      <c r="L537" t="inlineStr">
        <is>
          <t>Minor Inconvenience</t>
        </is>
      </c>
    </row>
    <row r="538">
      <c r="A538" t="inlineStr">
        <is>
          <t>FB-00537</t>
        </is>
      </c>
      <c r="B538" t="inlineStr">
        <is>
          <t>CUST-0315</t>
        </is>
      </c>
      <c r="C538" t="inlineStr">
        <is>
          <t>2026-02-26</t>
        </is>
      </c>
      <c r="D538" t="inlineStr">
        <is>
          <t>Support Ticket</t>
        </is>
      </c>
      <c r="E538" t="inlineStr">
        <is>
          <t>Professional</t>
        </is>
      </c>
      <c r="F538" t="inlineStr">
        <is>
          <t>SMB</t>
        </is>
      </c>
      <c r="G538" t="inlineStr">
        <is>
          <t>Workflow Automation</t>
        </is>
      </c>
      <c r="H538" t="inlineStr">
        <is>
          <t>Bug</t>
        </is>
      </c>
      <c r="I538" t="inlineStr">
        <is>
          <t>Escalating on behalf of our ops lead. Several workflow runs failing silently left deals stuck in the wrong stage. Please look into it soon.</t>
        </is>
      </c>
      <c r="J538" t="inlineStr">
        <is>
          <t>Negative</t>
        </is>
      </c>
      <c r="K538" t="inlineStr">
        <is>
          <t>Medium</t>
        </is>
      </c>
      <c r="L538" t="inlineStr">
        <is>
          <t>Blocks Key Task</t>
        </is>
      </c>
    </row>
    <row r="539">
      <c r="A539" t="inlineStr">
        <is>
          <t>FB-00538</t>
        </is>
      </c>
      <c r="B539" t="inlineStr">
        <is>
          <t>CUST-0394</t>
        </is>
      </c>
      <c r="C539" t="inlineStr">
        <is>
          <t>2026-02-26</t>
        </is>
      </c>
      <c r="D539" t="inlineStr">
        <is>
          <t>Feature Request</t>
        </is>
      </c>
      <c r="E539" t="inlineStr">
        <is>
          <t>Enterprise</t>
        </is>
      </c>
      <c r="F539" t="inlineStr">
        <is>
          <t>Enterprise</t>
        </is>
      </c>
      <c r="G539" t="inlineStr">
        <is>
          <t>Integrations</t>
        </is>
      </c>
      <c r="H539" t="inlineStr">
        <is>
          <t>Feature Request</t>
        </is>
      </c>
      <c r="I539" t="inlineStr">
        <is>
          <t>Requesting SCIM provisioning for our compliance audit. So far 77 people on our side have reported it.</t>
        </is>
      </c>
      <c r="J539" t="inlineStr">
        <is>
          <t>Negative</t>
        </is>
      </c>
      <c r="K539" t="inlineStr">
        <is>
          <t>Low</t>
        </is>
      </c>
      <c r="L539" t="inlineStr">
        <is>
          <t>Minor Inconvenience</t>
        </is>
      </c>
    </row>
    <row r="540">
      <c r="A540" t="inlineStr">
        <is>
          <t>FB-00539</t>
        </is>
      </c>
      <c r="B540" t="inlineStr">
        <is>
          <t>CUST-0387</t>
        </is>
      </c>
      <c r="C540" t="inlineStr">
        <is>
          <t>2026-02-26</t>
        </is>
      </c>
      <c r="D540" t="inlineStr">
        <is>
          <t>In-App Feedback</t>
        </is>
      </c>
      <c r="E540" t="inlineStr">
        <is>
          <t>STARTER</t>
        </is>
      </c>
      <c r="F540" t="inlineStr">
        <is>
          <t>SMB</t>
        </is>
      </c>
      <c r="G540" t="inlineStr">
        <is>
          <t>Lead Management</t>
        </is>
      </c>
      <c r="H540" t="inlineStr">
        <is>
          <t>Performance Issue</t>
        </is>
      </c>
      <c r="I540" t="inlineStr">
        <is>
          <t>The lead view load times gets very slow once we pass a few thousand open leads. It happens about 38 times a week for our team of 46. Thanks to the team.</t>
        </is>
      </c>
      <c r="J540" t="inlineStr">
        <is>
          <t>Positive</t>
        </is>
      </c>
      <c r="K540" t="inlineStr">
        <is>
          <t>Low</t>
        </is>
      </c>
      <c r="L540" t="inlineStr">
        <is>
          <t>Minor Inconvenience</t>
        </is>
      </c>
    </row>
    <row r="541">
      <c r="A541" t="inlineStr">
        <is>
          <t>FB-00540</t>
        </is>
      </c>
      <c r="B541" t="inlineStr">
        <is>
          <t>CUST-0080</t>
        </is>
      </c>
      <c r="C541" t="inlineStr">
        <is>
          <t>2026-02-26</t>
        </is>
      </c>
      <c r="D541" t="inlineStr">
        <is>
          <t>Support Ticket</t>
        </is>
      </c>
      <c r="E541" t="inlineStr">
        <is>
          <t>Professional</t>
        </is>
      </c>
      <c r="F541" t="inlineStr">
        <is>
          <t>Mid-Market</t>
        </is>
      </c>
      <c r="G541" t="inlineStr">
        <is>
          <t>Workflow Automation</t>
        </is>
      </c>
      <c r="H541" t="inlineStr">
        <is>
          <t>Bug</t>
        </is>
      </c>
      <c r="I541" t="inlineStr">
        <is>
          <t>We are hitting automation misfires: emails don't send and nobody gets notified. So far 11 people on our side have reported it. We need a fix before renewal.</t>
        </is>
      </c>
      <c r="J541" t="inlineStr">
        <is>
          <t>Negative</t>
        </is>
      </c>
      <c r="K541" t="inlineStr">
        <is>
          <t>Medium</t>
        </is>
      </c>
      <c r="L541" t="inlineStr">
        <is>
          <t>Minor Inconvenience</t>
        </is>
      </c>
    </row>
    <row r="542">
      <c r="A542" t="inlineStr">
        <is>
          <t>FB-00541</t>
        </is>
      </c>
      <c r="B542" t="inlineStr">
        <is>
          <t>CUST-0007</t>
        </is>
      </c>
      <c r="C542" t="inlineStr">
        <is>
          <t>2026-02-26</t>
        </is>
      </c>
      <c r="D542" t="inlineStr">
        <is>
          <t>In-App Feedback</t>
        </is>
      </c>
      <c r="E542" t="inlineStr">
        <is>
          <t>Professional</t>
        </is>
      </c>
      <c r="F542" t="inlineStr">
        <is>
          <t>SMB</t>
        </is>
      </c>
      <c r="G542" t="inlineStr">
        <is>
          <t>Lead Management</t>
        </is>
      </c>
      <c r="H542" t="inlineStr">
        <is>
          <t>Feature Request</t>
        </is>
      </c>
      <c r="I542" t="inlineStr">
        <is>
          <t>We need automated lead scoring so reps can focus on the prospects most likely to close. Our sales manager flagged it while onboarding 68 new users. Thanks to the team.</t>
        </is>
      </c>
      <c r="J542" t="inlineStr">
        <is>
          <t>Positive</t>
        </is>
      </c>
      <c r="K542" t="inlineStr">
        <is>
          <t>Low</t>
        </is>
      </c>
      <c r="L542" t="inlineStr">
        <is>
          <t>Minor Inconvenience</t>
        </is>
      </c>
    </row>
    <row r="543">
      <c r="A543" t="inlineStr">
        <is>
          <t>FB-00542</t>
        </is>
      </c>
      <c r="B543" t="inlineStr">
        <is>
          <t>CUST-0067</t>
        </is>
      </c>
      <c r="C543" t="inlineStr">
        <is>
          <t>2026-02-27</t>
        </is>
      </c>
      <c r="D543" t="inlineStr">
        <is>
          <t>In-App Feedback</t>
        </is>
      </c>
      <c r="E543" t="inlineStr">
        <is>
          <t>Professional</t>
        </is>
      </c>
      <c r="F543" t="inlineStr">
        <is>
          <t>Mid-Market</t>
        </is>
      </c>
      <c r="G543" t="inlineStr">
        <is>
          <t>User Interface</t>
        </is>
      </c>
      <c r="H543" t="inlineStr">
        <is>
          <t>Feature Request</t>
        </is>
      </c>
      <c r="I543" t="inlineStr">
        <is>
          <t>Not what we expected for the price. Requesting mobile call logging so reps can log activity right after a meeting. Please look into it soon.</t>
        </is>
      </c>
      <c r="J543" t="inlineStr">
        <is>
          <t>Negative</t>
        </is>
      </c>
      <c r="K543" t="inlineStr">
        <is>
          <t>Low</t>
        </is>
      </c>
      <c r="L543" t="inlineStr">
        <is>
          <t>Minor Inconvenience</t>
        </is>
      </c>
    </row>
    <row r="544">
      <c r="A544" t="inlineStr">
        <is>
          <t>FB-00543</t>
        </is>
      </c>
      <c r="B544" t="inlineStr">
        <is>
          <t>CUST-0195</t>
        </is>
      </c>
      <c r="C544" t="inlineStr">
        <is>
          <t>2026-02-27</t>
        </is>
      </c>
      <c r="D544" t="inlineStr">
        <is>
          <t>SUPPORT TICKET</t>
        </is>
      </c>
      <c r="E544" t="inlineStr">
        <is>
          <t>Professional</t>
        </is>
      </c>
      <c r="F544" t="inlineStr">
        <is>
          <t>SMB</t>
        </is>
      </c>
      <c r="G544" t="inlineStr">
        <is>
          <t>Workflow Automation</t>
        </is>
      </c>
      <c r="H544" t="inlineStr">
        <is>
          <t>Bug</t>
        </is>
      </c>
      <c r="I544" t="inlineStr">
        <is>
          <t>Escalating on behalf of our ops lead. Several workflow runs failing silently left deals stuck in the wrong stage. It happens about 25 times a week for our team of 15.</t>
        </is>
      </c>
      <c r="J544" t="inlineStr">
        <is>
          <t>Negative</t>
        </is>
      </c>
      <c r="K544" t="inlineStr">
        <is>
          <t>Medium</t>
        </is>
      </c>
      <c r="L544" t="inlineStr">
        <is>
          <t>Workflow Slowdown</t>
        </is>
      </c>
    </row>
    <row r="545">
      <c r="A545" t="inlineStr">
        <is>
          <t>FB-00544</t>
        </is>
      </c>
      <c r="B545" t="inlineStr">
        <is>
          <t>CUST-0394</t>
        </is>
      </c>
      <c r="C545" t="inlineStr">
        <is>
          <t>2026-02-27</t>
        </is>
      </c>
      <c r="D545" t="inlineStr">
        <is>
          <t>Support Ticket</t>
        </is>
      </c>
      <c r="E545" t="inlineStr">
        <is>
          <t>Enterprise</t>
        </is>
      </c>
      <c r="F545" t="inlineStr">
        <is>
          <t>Enterprise</t>
        </is>
      </c>
      <c r="G545" t="inlineStr">
        <is>
          <t>Contact Management</t>
        </is>
      </c>
      <c r="H545" t="inlineStr">
        <is>
          <t>Feature Request</t>
        </is>
      </c>
      <c r="I545" t="inlineStr">
        <is>
          <t>Quick note from our admin. Please extend an account hierarchy view; the current limit is too small for our use case. It happens about 31 times a week for our team of 97.</t>
        </is>
      </c>
      <c r="J545" t="inlineStr">
        <is>
          <t xml:space="preserve"> Neutral</t>
        </is>
      </c>
      <c r="K545" t="inlineStr">
        <is>
          <t>Low</t>
        </is>
      </c>
      <c r="L545" t="inlineStr">
        <is>
          <t>Minor Inconvenience</t>
        </is>
      </c>
    </row>
    <row r="546">
      <c r="A546" t="inlineStr">
        <is>
          <t>FB-00545</t>
        </is>
      </c>
      <c r="B546" t="inlineStr">
        <is>
          <t>CUST-0207</t>
        </is>
      </c>
      <c r="C546" t="inlineStr">
        <is>
          <t>2026-02-27</t>
        </is>
      </c>
      <c r="D546" t="inlineStr">
        <is>
          <t>Customer Survey</t>
        </is>
      </c>
      <c r="E546" t="inlineStr">
        <is>
          <t>Professional</t>
        </is>
      </c>
      <c r="F546" t="inlineStr">
        <is>
          <t>Mid-Market</t>
        </is>
      </c>
      <c r="G546" t="inlineStr">
        <is>
          <t>Contact Management</t>
        </is>
      </c>
      <c r="H546" t="inlineStr">
        <is>
          <t>Feature Request</t>
        </is>
      </c>
      <c r="I546" t="inlineStr">
        <is>
          <t>FYI for the product team. Please build contact de-duplication tooling with a preview of what will be combined. So far 93 people on our side have reported it. Let us know if you need examples.</t>
        </is>
      </c>
      <c r="J546" t="inlineStr">
        <is>
          <t>Neutral</t>
        </is>
      </c>
      <c r="K546" t="inlineStr">
        <is>
          <t>Low</t>
        </is>
      </c>
      <c r="L546" t="inlineStr">
        <is>
          <t>Minor Inconvenience</t>
        </is>
      </c>
    </row>
    <row r="547">
      <c r="A547" t="inlineStr">
        <is>
          <t>FB-00546</t>
        </is>
      </c>
      <c r="B547" t="inlineStr">
        <is>
          <t>CUST-0339</t>
        </is>
      </c>
      <c r="C547" t="inlineStr">
        <is>
          <t>2026-02-28</t>
        </is>
      </c>
      <c r="D547" t="inlineStr">
        <is>
          <t>Feature Request</t>
        </is>
      </c>
      <c r="E547" t="inlineStr">
        <is>
          <t>Professional</t>
        </is>
      </c>
      <c r="F547" t="inlineStr">
        <is>
          <t>Mid-Market</t>
        </is>
      </c>
      <c r="G547" t="inlineStr">
        <is>
          <t>User Interface</t>
        </is>
      </c>
      <c r="H547" t="inlineStr">
        <is>
          <t>Feature Request</t>
        </is>
      </c>
      <c r="I547" t="inlineStr">
        <is>
          <t>We lose notes whenever reps are away from a desk without mobile call logging. So far 73 people on our side have reported it. Happy to join a feedback call.</t>
        </is>
      </c>
      <c r="J547" t="inlineStr">
        <is>
          <t>Neutral</t>
        </is>
      </c>
      <c r="K547" t="inlineStr">
        <is>
          <t>low</t>
        </is>
      </c>
      <c r="L547" t="inlineStr">
        <is>
          <t>Minor Inconvenience</t>
        </is>
      </c>
    </row>
    <row r="548">
      <c r="A548" t="inlineStr">
        <is>
          <t>FB-00547</t>
        </is>
      </c>
      <c r="B548" t="inlineStr">
        <is>
          <t>CUST-0128</t>
        </is>
      </c>
      <c r="C548" t="inlineStr">
        <is>
          <t>2026-02-28</t>
        </is>
      </c>
      <c r="D548" t="inlineStr">
        <is>
          <t>In-App Feedback</t>
        </is>
      </c>
      <c r="E548" t="inlineStr">
        <is>
          <t>Professional</t>
        </is>
      </c>
      <c r="F548" t="inlineStr">
        <is>
          <t>SMB</t>
        </is>
      </c>
      <c r="G548" t="inlineStr">
        <is>
          <t>Workflow Automation</t>
        </is>
      </c>
      <c r="H548" t="inlineStr">
        <is>
          <t>Bug</t>
        </is>
      </c>
      <c r="I548" t="inlineStr">
        <is>
          <t>Since the last release we've had workflow runs failing silently and tasks are being created twice. Our marketing ops owner flagged it while onboarding 16 new users. Please look into it soon.</t>
        </is>
      </c>
      <c r="J548" t="inlineStr">
        <is>
          <t>Negative</t>
        </is>
      </c>
      <c r="K548" t="inlineStr">
        <is>
          <t>Critical</t>
        </is>
      </c>
      <c r="L548" t="inlineStr">
        <is>
          <t>Revenue/Operations Risk</t>
        </is>
      </c>
    </row>
    <row r="549">
      <c r="A549" t="inlineStr">
        <is>
          <t>FB-00548</t>
        </is>
      </c>
      <c r="B549" t="inlineStr">
        <is>
          <t>CUST-0375</t>
        </is>
      </c>
      <c r="C549" t="inlineStr">
        <is>
          <t>2026-02-28</t>
        </is>
      </c>
      <c r="D549" t="inlineStr">
        <is>
          <t>In-App Feedback</t>
        </is>
      </c>
      <c r="E549" t="inlineStr">
        <is>
          <t>Professional</t>
        </is>
      </c>
      <c r="F549" t="inlineStr">
        <is>
          <t>Mid-Market</t>
        </is>
      </c>
      <c r="G549" t="inlineStr">
        <is>
          <t>Lead Management</t>
        </is>
      </c>
      <c r="H549" t="inlineStr">
        <is>
          <t>Usability Issue</t>
        </is>
      </c>
      <c r="I549" t="inlineStr">
        <is>
          <t>We can't combine region and deal size in the lead routing rules. It happens about 28 times a week for our team of 61. Let us know if you need examples.</t>
        </is>
      </c>
      <c r="J549" t="inlineStr">
        <is>
          <t>Neutral</t>
        </is>
      </c>
      <c r="K549" t="inlineStr">
        <is>
          <t>Low</t>
        </is>
      </c>
      <c r="L549" t="inlineStr">
        <is>
          <t>Minor Inconvenience</t>
        </is>
      </c>
    </row>
    <row r="550">
      <c r="A550" t="inlineStr">
        <is>
          <t>FB-00549</t>
        </is>
      </c>
      <c r="B550" t="inlineStr">
        <is>
          <t>CUST-0175</t>
        </is>
      </c>
      <c r="C550" t="inlineStr">
        <is>
          <t>2026-02-28</t>
        </is>
      </c>
      <c r="D550" t="inlineStr">
        <is>
          <t>Support Ticket</t>
        </is>
      </c>
      <c r="E550" t="inlineStr">
        <is>
          <t>Professional</t>
        </is>
      </c>
      <c r="F550" t="inlineStr">
        <is>
          <t>Mid-Market</t>
        </is>
      </c>
      <c r="G550" t="inlineStr">
        <is>
          <t>Workflow Automation</t>
        </is>
      </c>
      <c r="H550" t="inlineStr">
        <is>
          <t>Feature Request</t>
        </is>
      </c>
      <c r="I550" t="inlineStr">
        <is>
          <t>Recent updates have been a nice improvement. Competitors ship automation recipes; we are rebuilding the same flows from scratch. It happens about 19 times a week for our team of 107.</t>
        </is>
      </c>
      <c r="J550" t="inlineStr">
        <is>
          <t>Positive</t>
        </is>
      </c>
      <c r="K550" t="inlineStr">
        <is>
          <t>Low</t>
        </is>
      </c>
      <c r="L550" t="inlineStr">
        <is>
          <t>Minor Inconvenience</t>
        </is>
      </c>
    </row>
    <row r="551">
      <c r="A551" t="inlineStr">
        <is>
          <t>FB-00550</t>
        </is>
      </c>
      <c r="B551" t="inlineStr">
        <is>
          <t>CUST-0216</t>
        </is>
      </c>
      <c r="C551" t="inlineStr">
        <is>
          <t>2026-02-28</t>
        </is>
      </c>
      <c r="D551" t="inlineStr">
        <is>
          <t>In-App Feedback</t>
        </is>
      </c>
      <c r="E551" t="inlineStr">
        <is>
          <t>Starter</t>
        </is>
      </c>
      <c r="F551" t="inlineStr">
        <is>
          <t>Mid-Market</t>
        </is>
      </c>
      <c r="G551" t="inlineStr">
        <is>
          <t>Workflow Automation</t>
        </is>
      </c>
      <c r="H551" t="inlineStr">
        <is>
          <t>Usability Issue</t>
        </is>
      </c>
      <c r="I551" t="inlineStr">
        <is>
          <t>Not what we expected for the price. I can't tell what a branch does in the workflow editor without opening every node. We estimate we lose roughly 50 hours a month on this.</t>
        </is>
      </c>
      <c r="J551" t="inlineStr">
        <is>
          <t>Negative</t>
        </is>
      </c>
      <c r="K551" t="inlineStr">
        <is>
          <t>Low</t>
        </is>
      </c>
      <c r="L551" t="inlineStr">
        <is>
          <t>Workflow Slowdown</t>
        </is>
      </c>
    </row>
    <row r="552">
      <c r="A552" t="inlineStr">
        <is>
          <t>FB-00551</t>
        </is>
      </c>
      <c r="B552" t="inlineStr">
        <is>
          <t>CUST-0253</t>
        </is>
      </c>
      <c r="C552" t="inlineStr">
        <is>
          <t>2026-02-28</t>
        </is>
      </c>
      <c r="D552" t="inlineStr">
        <is>
          <t>In-App Feedback</t>
        </is>
      </c>
      <c r="E552" t="inlineStr">
        <is>
          <t>Professional</t>
        </is>
      </c>
      <c r="F552" t="inlineStr">
        <is>
          <t>SMB</t>
        </is>
      </c>
      <c r="G552" t="inlineStr">
        <is>
          <t>Lead Management</t>
        </is>
      </c>
      <c r="H552" t="inlineStr">
        <is>
          <t>Bug</t>
        </is>
      </c>
      <c r="I552" t="inlineStr">
        <is>
          <t>This has been a recurring problem for us. We are seeing duplicate lead records when a lead arrives from both the website and a trade-show list. It affects our weekly pipeline review process every cycle. We need a fix before renewal.</t>
        </is>
      </c>
      <c r="J552" t="inlineStr">
        <is>
          <t>Negative</t>
        </is>
      </c>
      <c r="K552" t="inlineStr">
        <is>
          <t>Low</t>
        </is>
      </c>
      <c r="L552" t="inlineStr">
        <is>
          <t>Workflow Slowdown</t>
        </is>
      </c>
    </row>
    <row r="553">
      <c r="A553" t="inlineStr">
        <is>
          <t>FB-00552</t>
        </is>
      </c>
      <c r="B553" t="inlineStr">
        <is>
          <t>CUST-0204</t>
        </is>
      </c>
      <c r="C553" t="inlineStr">
        <is>
          <t>2026-03-02</t>
        </is>
      </c>
      <c r="D553" t="inlineStr">
        <is>
          <t>Customer Survey</t>
        </is>
      </c>
      <c r="E553" t="inlineStr">
        <is>
          <t>Enterprise</t>
        </is>
      </c>
      <c r="F553" t="inlineStr">
        <is>
          <t>Enterprise</t>
        </is>
      </c>
      <c r="G553" t="inlineStr">
        <is>
          <t>Reporting</t>
        </is>
      </c>
      <c r="H553" t="inlineStr">
        <is>
          <t>Bug</t>
        </is>
      </c>
      <c r="I553" t="inlineStr">
        <is>
          <t>Raising this again after our last business review. The Excel export times out for date ranges longer than a quarter. We estimate we lose roughly 5 hours a month on this. Please look into it soon.</t>
        </is>
      </c>
      <c r="J553" t="inlineStr">
        <is>
          <t>Negative</t>
        </is>
      </c>
      <c r="K553" t="inlineStr">
        <is>
          <t>Critical</t>
        </is>
      </c>
      <c r="L553" t="inlineStr">
        <is>
          <t>Revenue/Operations Risk</t>
        </is>
      </c>
    </row>
    <row r="554">
      <c r="A554" t="inlineStr">
        <is>
          <t>FB-00553</t>
        </is>
      </c>
      <c r="B554" t="inlineStr">
        <is>
          <t>CUST-0237</t>
        </is>
      </c>
      <c r="C554" t="inlineStr">
        <is>
          <t>2026-03-02</t>
        </is>
      </c>
      <c r="D554" t="inlineStr">
        <is>
          <t>Feature Request</t>
        </is>
      </c>
      <c r="E554" t="inlineStr">
        <is>
          <t>Enterprise</t>
        </is>
      </c>
      <c r="F554" t="inlineStr">
        <is>
          <t>Mid-Market</t>
        </is>
      </c>
      <c r="G554" t="inlineStr">
        <is>
          <t>Reporting</t>
        </is>
      </c>
      <c r="H554" t="inlineStr">
        <is>
          <t>Feature Request</t>
        </is>
      </c>
      <c r="I554" t="inlineStr">
        <is>
          <t>Noting this during onboarding. Requesting scheduled report emails so leadership gets numbers without logging in. So far 3 people on our side have reported it.</t>
        </is>
      </c>
      <c r="J554" t="inlineStr">
        <is>
          <t>Neutral</t>
        </is>
      </c>
      <c r="K554" t="inlineStr">
        <is>
          <t>High</t>
        </is>
      </c>
      <c r="L554" t="inlineStr">
        <is>
          <t>Blocks Key Task</t>
        </is>
      </c>
    </row>
    <row r="555">
      <c r="A555" t="inlineStr">
        <is>
          <t>FB-00554</t>
        </is>
      </c>
      <c r="B555" t="inlineStr">
        <is>
          <t>CUST-0198</t>
        </is>
      </c>
      <c r="C555" t="inlineStr">
        <is>
          <t>2026-03-02</t>
        </is>
      </c>
      <c r="D555" t="inlineStr">
        <is>
          <t>Support Ticket</t>
        </is>
      </c>
      <c r="E555" t="inlineStr">
        <is>
          <t>Starter</t>
        </is>
      </c>
      <c r="F555" t="inlineStr">
        <is>
          <t>SMB</t>
        </is>
      </c>
      <c r="G555" t="inlineStr">
        <is>
          <t>User Interface</t>
        </is>
      </c>
      <c r="H555" t="inlineStr">
        <is>
          <t>Feature Request</t>
        </is>
      </c>
      <c r="I555" t="inlineStr">
        <is>
          <t>Great support experience recently. We lose notes whenever reps are away from a desk without offline mobile access. It happens about 19 times a week for our team of 99. Thanks to the team.</t>
        </is>
      </c>
      <c r="J555" t="inlineStr">
        <is>
          <t>Positive</t>
        </is>
      </c>
      <c r="K555" t="inlineStr">
        <is>
          <t>Low</t>
        </is>
      </c>
      <c r="L555" t="inlineStr">
        <is>
          <t>Workflow Slowdown</t>
        </is>
      </c>
    </row>
    <row r="556">
      <c r="A556" t="inlineStr">
        <is>
          <t>FB-00555</t>
        </is>
      </c>
      <c r="B556" t="inlineStr">
        <is>
          <t>CUST-0188</t>
        </is>
      </c>
      <c r="C556" t="inlineStr">
        <is>
          <t>2026-03-02</t>
        </is>
      </c>
      <c r="D556" t="inlineStr">
        <is>
          <t>Customer Survey</t>
        </is>
      </c>
      <c r="E556" t="inlineStr">
        <is>
          <t>Enterprise</t>
        </is>
      </c>
      <c r="F556" t="inlineStr">
        <is>
          <t>Mid-Market</t>
        </is>
      </c>
      <c r="G556" t="inlineStr">
        <is>
          <t>Integrations</t>
        </is>
      </c>
      <c r="H556" t="inlineStr">
        <is>
          <t>Feature Request</t>
        </is>
      </c>
      <c r="I556" t="inlineStr">
        <is>
          <t>This has been a recurring problem for us. Requesting SCIM provisioning for our compliance audit. Our marketing ops owner flagged it while onboarding 65 new users.</t>
        </is>
      </c>
      <c r="J556" t="inlineStr">
        <is>
          <t>Negative</t>
        </is>
      </c>
      <c r="K556" t="inlineStr">
        <is>
          <t>Medium</t>
        </is>
      </c>
      <c r="L556" t="inlineStr">
        <is>
          <t>Blocks Key Task</t>
        </is>
      </c>
    </row>
    <row r="557">
      <c r="A557" t="inlineStr">
        <is>
          <t>FB-00556</t>
        </is>
      </c>
      <c r="B557" t="inlineStr">
        <is>
          <t>CUST-0373</t>
        </is>
      </c>
      <c r="C557" t="inlineStr">
        <is>
          <t>2026-03-03</t>
        </is>
      </c>
      <c r="D557" t="inlineStr">
        <is>
          <t>Support Ticket</t>
        </is>
      </c>
      <c r="E557" t="inlineStr">
        <is>
          <t>Starter</t>
        </is>
      </c>
      <c r="F557" t="inlineStr">
        <is>
          <t>SMB</t>
        </is>
      </c>
      <c r="G557" t="inlineStr">
        <is>
          <t>Contact Management</t>
        </is>
      </c>
      <c r="H557" t="inlineStr">
        <is>
          <t>Bug</t>
        </is>
      </c>
      <c r="I557" t="inlineStr">
        <is>
          <t>Escalating on behalf of our ops lead. The contact CSV import fails halfway through with a generic error and no row-level detail. We need a fix before renewal.</t>
        </is>
      </c>
      <c r="J557" t="inlineStr">
        <is>
          <t>Negative</t>
        </is>
      </c>
      <c r="K557" t="inlineStr">
        <is>
          <t>Medium</t>
        </is>
      </c>
      <c r="L557" t="inlineStr">
        <is>
          <t>Workflow Slowdown</t>
        </is>
      </c>
    </row>
    <row r="558">
      <c r="A558" t="inlineStr">
        <is>
          <t>FB-00557</t>
        </is>
      </c>
      <c r="B558" t="inlineStr">
        <is>
          <t>CUST-0102</t>
        </is>
      </c>
      <c r="C558" t="inlineStr">
        <is>
          <t>2026-03-03</t>
        </is>
      </c>
      <c r="D558" t="inlineStr">
        <is>
          <t>Support Ticket</t>
        </is>
      </c>
      <c r="E558" t="inlineStr">
        <is>
          <t>Professional</t>
        </is>
      </c>
      <c r="F558" t="inlineStr">
        <is>
          <t>Mid-Market</t>
        </is>
      </c>
      <c r="G558" t="inlineStr">
        <is>
          <t>WORKFLOW AUTOMATION</t>
        </is>
      </c>
      <c r="H558" t="inlineStr">
        <is>
          <t>Bug</t>
        </is>
      </c>
      <c r="I558" t="inlineStr">
        <is>
          <t>This has been a recurring problem for us. Since the last release we've had workflow runs failing silently and tasks are being created twice. We estimate we lose roughly 57 hours a month on this. Is there a workaround?</t>
        </is>
      </c>
      <c r="J558" t="inlineStr">
        <is>
          <t>Negative</t>
        </is>
      </c>
      <c r="K558" t="inlineStr">
        <is>
          <t>Critical</t>
        </is>
      </c>
      <c r="L558" t="inlineStr">
        <is>
          <t>Blocks Key Task</t>
        </is>
      </c>
    </row>
    <row r="559">
      <c r="A559" t="inlineStr">
        <is>
          <t>FB-00558</t>
        </is>
      </c>
      <c r="B559" t="inlineStr">
        <is>
          <t>CUST-0376</t>
        </is>
      </c>
      <c r="C559" t="inlineStr">
        <is>
          <t>2026-03-03</t>
        </is>
      </c>
      <c r="D559" t="inlineStr">
        <is>
          <t>In-App Feedback</t>
        </is>
      </c>
      <c r="E559" t="inlineStr">
        <is>
          <t>Professional</t>
        </is>
      </c>
      <c r="F559" t="inlineStr">
        <is>
          <t>Enterprise</t>
        </is>
      </c>
      <c r="G559" t="inlineStr">
        <is>
          <t>Integrations</t>
        </is>
      </c>
      <c r="H559" t="inlineStr">
        <is>
          <t>Integration Issue</t>
        </is>
      </c>
      <c r="I559" t="inlineStr">
        <is>
          <t>Hard to debug: webhook delivery fail with vague error codes. So far 39 people on our side have reported it.</t>
        </is>
      </c>
      <c r="J559" t="inlineStr">
        <is>
          <t>Negative</t>
        </is>
      </c>
      <c r="K559" t="inlineStr">
        <is>
          <t>High</t>
        </is>
      </c>
      <c r="L559" t="inlineStr">
        <is>
          <t>Blocks Key Task</t>
        </is>
      </c>
    </row>
    <row r="560">
      <c r="A560" t="inlineStr">
        <is>
          <t>FB-00559</t>
        </is>
      </c>
      <c r="B560" t="inlineStr">
        <is>
          <t>CUST-0257</t>
        </is>
      </c>
      <c r="C560" t="inlineStr">
        <is>
          <t>2026-03-04</t>
        </is>
      </c>
      <c r="D560" t="inlineStr">
        <is>
          <t>In-App Feedback</t>
        </is>
      </c>
      <c r="E560" t="inlineStr">
        <is>
          <t>Enterprise</t>
        </is>
      </c>
      <c r="F560" t="inlineStr">
        <is>
          <t>Mid-Market</t>
        </is>
      </c>
      <c r="G560" t="inlineStr">
        <is>
          <t>Integrations</t>
        </is>
      </c>
      <c r="H560" t="inlineStr">
        <is>
          <t>Feature Request</t>
        </is>
      </c>
      <c r="I560" t="inlineStr">
        <is>
          <t>Overall we like the product. Requesting SCIM provisioning for our compliance audit. Our marketing ops owner flagged it while onboarding 80 new users. Happy to beta test.</t>
        </is>
      </c>
      <c r="J560" t="inlineStr">
        <is>
          <t>Positive</t>
        </is>
      </c>
      <c r="K560" t="inlineStr">
        <is>
          <t>Low</t>
        </is>
      </c>
      <c r="L560" t="inlineStr">
        <is>
          <t>Workflow Slowdown</t>
        </is>
      </c>
    </row>
    <row r="561">
      <c r="A561" t="inlineStr">
        <is>
          <t>FB-00560</t>
        </is>
      </c>
      <c r="B561" t="inlineStr">
        <is>
          <t>CUST-0278</t>
        </is>
      </c>
      <c r="C561" t="inlineStr">
        <is>
          <t>2026-03-04</t>
        </is>
      </c>
      <c r="D561" t="inlineStr">
        <is>
          <t>Customer Survey</t>
        </is>
      </c>
      <c r="E561" t="inlineStr">
        <is>
          <t>Professional</t>
        </is>
      </c>
      <c r="F561" t="inlineStr">
        <is>
          <t>Mid-Market</t>
        </is>
      </c>
      <c r="G561" t="inlineStr">
        <is>
          <t>Lead Management</t>
        </is>
      </c>
      <c r="H561" t="inlineStr">
        <is>
          <t>Bug</t>
        </is>
      </c>
      <c r="I561" t="inlineStr">
        <is>
          <t>Web form submissions keep creating duplicated leads, and reps end up calling the same prospect twice. It happens about 14 times a week for our team of 66. We need a fix before renewal.</t>
        </is>
      </c>
      <c r="J561" t="inlineStr">
        <is>
          <t>Negative</t>
        </is>
      </c>
      <c r="K561" t="inlineStr">
        <is>
          <t xml:space="preserve"> Low</t>
        </is>
      </c>
      <c r="L561" t="inlineStr">
        <is>
          <t>Minor Inconvenience</t>
        </is>
      </c>
    </row>
    <row r="562">
      <c r="A562" t="inlineStr">
        <is>
          <t>FB-00561</t>
        </is>
      </c>
      <c r="B562" t="inlineStr">
        <is>
          <t>CUST-0108</t>
        </is>
      </c>
      <c r="C562" t="inlineStr">
        <is>
          <t>2026-03-04</t>
        </is>
      </c>
      <c r="D562" t="inlineStr">
        <is>
          <t>Support Ticket</t>
        </is>
      </c>
      <c r="E562" t="inlineStr">
        <is>
          <t>Enterprise</t>
        </is>
      </c>
      <c r="F562" t="inlineStr">
        <is>
          <t>Mid-Market</t>
        </is>
      </c>
      <c r="G562" t="inlineStr">
        <is>
          <t>Workflow Automation</t>
        </is>
      </c>
      <c r="H562" t="inlineStr">
        <is>
          <t>Bug</t>
        </is>
      </c>
      <c r="I562" t="inlineStr">
        <is>
          <t>Sharing this from our team. We found workflow failures only because a customer complained. We estimate we lose roughly 4 hours a month on this.</t>
        </is>
      </c>
      <c r="J562" t="inlineStr">
        <is>
          <t>Neutral</t>
        </is>
      </c>
      <c r="K562" t="inlineStr">
        <is>
          <t>Medium</t>
        </is>
      </c>
      <c r="L562" t="inlineStr">
        <is>
          <t>Blocks Key Task</t>
        </is>
      </c>
    </row>
    <row r="563">
      <c r="A563" t="inlineStr">
        <is>
          <t>FB-00562</t>
        </is>
      </c>
      <c r="B563" t="inlineStr">
        <is>
          <t>CUST-0202</t>
        </is>
      </c>
      <c r="C563" t="inlineStr">
        <is>
          <t>2026-03-04</t>
        </is>
      </c>
      <c r="D563" t="inlineStr">
        <is>
          <t>Feature Request</t>
        </is>
      </c>
      <c r="E563" t="inlineStr">
        <is>
          <t>Enterprise</t>
        </is>
      </c>
      <c r="F563" t="inlineStr">
        <is>
          <t>Enterprise</t>
        </is>
      </c>
      <c r="G563" t="inlineStr">
        <is>
          <t>Contact Management</t>
        </is>
      </c>
      <c r="H563" t="inlineStr">
        <is>
          <t>Feature Request</t>
        </is>
      </c>
      <c r="I563" t="inlineStr">
        <is>
          <t>Is there any plan for a bulk contact merge? Merging one record at a time is not realistic. We estimate we lose roughly 51 hours a month on this. Let us know if you need examples.</t>
        </is>
      </c>
      <c r="J563" t="inlineStr">
        <is>
          <t>Neutral</t>
        </is>
      </c>
      <c r="K563" t="inlineStr">
        <is>
          <t>Medium</t>
        </is>
      </c>
      <c r="L563" t="inlineStr">
        <is>
          <t>Minor Inconvenience</t>
        </is>
      </c>
    </row>
    <row r="564">
      <c r="A564" t="inlineStr">
        <is>
          <t>FB-00563</t>
        </is>
      </c>
      <c r="B564" t="inlineStr">
        <is>
          <t>CUST-0084</t>
        </is>
      </c>
      <c r="C564" t="inlineStr">
        <is>
          <t>2026-03-04</t>
        </is>
      </c>
      <c r="D564" t="inlineStr">
        <is>
          <t>Feature Request</t>
        </is>
      </c>
      <c r="E564" t="inlineStr">
        <is>
          <t>Enterprise</t>
        </is>
      </c>
      <c r="F564" t="inlineStr">
        <is>
          <t>Enterprise</t>
        </is>
      </c>
      <c r="G564" t="inlineStr">
        <is>
          <t>Workflow Automation</t>
        </is>
      </c>
      <c r="H564" t="inlineStr">
        <is>
          <t>Feature Request</t>
        </is>
      </c>
      <c r="I564" t="inlineStr">
        <is>
          <t>Great support experience recently. We'd adopt automation faster with workflow templates we could customize. It affects our renewal process every cycle. Thanks to the team.</t>
        </is>
      </c>
      <c r="J564" t="inlineStr">
        <is>
          <t>Positive</t>
        </is>
      </c>
      <c r="K564" t="inlineStr">
        <is>
          <t>Low</t>
        </is>
      </c>
      <c r="L564" t="inlineStr">
        <is>
          <t>Minor Inconvenience</t>
        </is>
      </c>
    </row>
    <row r="565">
      <c r="A565" t="inlineStr">
        <is>
          <t>FB-00564</t>
        </is>
      </c>
      <c r="B565" t="inlineStr">
        <is>
          <t>CUST-0203</t>
        </is>
      </c>
      <c r="C565" t="inlineStr">
        <is>
          <t>2026-03-05</t>
        </is>
      </c>
      <c r="D565" t="inlineStr">
        <is>
          <t>In-App Feedback</t>
        </is>
      </c>
      <c r="E565" t="inlineStr">
        <is>
          <t>Professional</t>
        </is>
      </c>
      <c r="F565" t="inlineStr">
        <is>
          <t>Mid-Market</t>
        </is>
      </c>
      <c r="G565" t="inlineStr">
        <is>
          <t>CONTACT MANAGEMENT</t>
        </is>
      </c>
      <c r="H565" t="inlineStr">
        <is>
          <t>Performance Issue</t>
        </is>
      </c>
      <c r="I565" t="inlineStr">
        <is>
          <t>We avoid contact search during calls because it takes too long. So far 41 people on our side have reported it. Please look into it soon.</t>
        </is>
      </c>
      <c r="J565" t="inlineStr">
        <is>
          <t>negative</t>
        </is>
      </c>
      <c r="K565" t="inlineStr">
        <is>
          <t>Critical</t>
        </is>
      </c>
      <c r="L565" t="inlineStr">
        <is>
          <t>Blocks Key Task</t>
        </is>
      </c>
    </row>
    <row r="566">
      <c r="A566" t="inlineStr">
        <is>
          <t>FB-00565</t>
        </is>
      </c>
      <c r="B566" t="inlineStr">
        <is>
          <t>CUST-0378</t>
        </is>
      </c>
      <c r="C566" t="inlineStr">
        <is>
          <t>2026-03-06</t>
        </is>
      </c>
      <c r="D566" t="inlineStr">
        <is>
          <t>Customer Survey</t>
        </is>
      </c>
      <c r="E566" t="inlineStr">
        <is>
          <t>Starter</t>
        </is>
      </c>
      <c r="F566" t="inlineStr">
        <is>
          <t>SMB</t>
        </is>
      </c>
      <c r="G566" t="inlineStr">
        <is>
          <t>Contact Management</t>
        </is>
      </c>
      <c r="H566" t="inlineStr">
        <is>
          <t>Bug</t>
        </is>
      </c>
      <c r="I566" t="inlineStr">
        <is>
          <t>Feedback from our monthly review. Our spreadsheet import scrambles phone and email columns even after we map them correctly. We estimate we lose roughly 12 hours a month on this.</t>
        </is>
      </c>
      <c r="J566" t="inlineStr">
        <is>
          <t>Neutral</t>
        </is>
      </c>
      <c r="K566" t="inlineStr">
        <is>
          <t>Medium</t>
        </is>
      </c>
      <c r="L566" t="inlineStr">
        <is>
          <t>Workflow Slowdown</t>
        </is>
      </c>
    </row>
    <row r="567">
      <c r="A567" t="inlineStr">
        <is>
          <t>FB-00566</t>
        </is>
      </c>
      <c r="B567" t="inlineStr">
        <is>
          <t>CUST-0082</t>
        </is>
      </c>
      <c r="C567" t="inlineStr">
        <is>
          <t>2026-03-06</t>
        </is>
      </c>
      <c r="D567" t="inlineStr">
        <is>
          <t>Feature Request</t>
        </is>
      </c>
      <c r="E567" t="inlineStr">
        <is>
          <t>Starter</t>
        </is>
      </c>
      <c r="F567" t="inlineStr">
        <is>
          <t>SMB</t>
        </is>
      </c>
      <c r="G567" t="inlineStr">
        <is>
          <t>Workflow Automation</t>
        </is>
      </c>
      <c r="H567" t="inlineStr">
        <is>
          <t>Feature Request</t>
        </is>
      </c>
      <c r="I567" t="inlineStr">
        <is>
          <t>Great support experience recently. Adding multi-level approvals is a blocker for our finance team. It affects our lead handoff process every cycle. Thanks to the team.</t>
        </is>
      </c>
      <c r="J567" t="inlineStr">
        <is>
          <t>Positive</t>
        </is>
      </c>
      <c r="K567" t="inlineStr">
        <is>
          <t>Low</t>
        </is>
      </c>
      <c r="L567" t="inlineStr">
        <is>
          <t>Minor Inconvenience</t>
        </is>
      </c>
    </row>
    <row r="568">
      <c r="A568" t="inlineStr">
        <is>
          <t>FB-00567</t>
        </is>
      </c>
      <c r="B568" t="inlineStr">
        <is>
          <t>CUST-0158</t>
        </is>
      </c>
      <c r="C568" t="inlineStr">
        <is>
          <t>2026-03-06</t>
        </is>
      </c>
      <c r="D568" t="inlineStr">
        <is>
          <t>Customer Survey</t>
        </is>
      </c>
      <c r="E568" t="inlineStr">
        <is>
          <t>Starter</t>
        </is>
      </c>
      <c r="F568" t="inlineStr">
        <is>
          <t>SMB</t>
        </is>
      </c>
      <c r="G568" t="inlineStr">
        <is>
          <t>Lead Management</t>
        </is>
      </c>
      <c r="H568" t="inlineStr">
        <is>
          <t>Usability Issue</t>
        </is>
      </c>
      <c r="I568" t="inlineStr">
        <is>
          <t>FYI for the product team. It is hard to understand how round-robin lead assignment decide who owns a lead. It affects our onboarding process every cycle. Let us know if you need examples.</t>
        </is>
      </c>
      <c r="J568" t="inlineStr">
        <is>
          <t>Neutral</t>
        </is>
      </c>
      <c r="K568" t="inlineStr">
        <is>
          <t>Medium</t>
        </is>
      </c>
      <c r="L568" t="inlineStr">
        <is>
          <t>Blocks Key Task</t>
        </is>
      </c>
    </row>
    <row r="569">
      <c r="A569" t="inlineStr">
        <is>
          <t>FB-00568</t>
        </is>
      </c>
      <c r="B569" t="inlineStr">
        <is>
          <t>CUST-0314</t>
        </is>
      </c>
      <c r="C569" t="inlineStr">
        <is>
          <t>2026-03-06</t>
        </is>
      </c>
      <c r="D569" t="inlineStr">
        <is>
          <t>Feature Request</t>
        </is>
      </c>
      <c r="E569" t="inlineStr">
        <is>
          <t>Enterprise</t>
        </is>
      </c>
      <c r="F569" t="inlineStr">
        <is>
          <t>Mid-Market</t>
        </is>
      </c>
      <c r="G569" t="inlineStr">
        <is>
          <t>Reporting</t>
        </is>
      </c>
      <c r="H569" t="inlineStr">
        <is>
          <t>Feature Request</t>
        </is>
      </c>
      <c r="I569" t="inlineStr">
        <is>
          <t>FYI for the product team. We need quota tracking by team and region for quarterly planning. Our marketing ops owner flagged it while onboarding 118 new users. Happy to join a feedback call.</t>
        </is>
      </c>
      <c r="J569" t="inlineStr">
        <is>
          <t>Neutral</t>
        </is>
      </c>
      <c r="K569" t="inlineStr">
        <is>
          <t>Low</t>
        </is>
      </c>
      <c r="L569" t="inlineStr">
        <is>
          <t>Minor Inconvenience</t>
        </is>
      </c>
    </row>
    <row r="570">
      <c r="A570" t="inlineStr">
        <is>
          <t>FB-00569</t>
        </is>
      </c>
      <c r="B570" t="inlineStr">
        <is>
          <t>CUST-0378</t>
        </is>
      </c>
      <c r="C570" t="inlineStr">
        <is>
          <t>2026-03-06</t>
        </is>
      </c>
      <c r="D570" t="inlineStr">
        <is>
          <t xml:space="preserve"> Feature Request</t>
        </is>
      </c>
      <c r="E570" t="inlineStr">
        <is>
          <t>Starter</t>
        </is>
      </c>
      <c r="F570" t="inlineStr">
        <is>
          <t>SMB</t>
        </is>
      </c>
      <c r="G570" t="inlineStr">
        <is>
          <t>Lead Management</t>
        </is>
      </c>
      <c r="H570" t="inlineStr">
        <is>
          <t>Feature Request</t>
        </is>
      </c>
      <c r="I570" t="inlineStr">
        <is>
          <t>Happy with most of the product. Right now reps rank leads by gut feel; lead scoring rules would fix that. We estimate we lose roughly 15 hours a month on this. Thanks to the team.</t>
        </is>
      </c>
      <c r="J570" t="inlineStr">
        <is>
          <t>Positive</t>
        </is>
      </c>
      <c r="K570" t="inlineStr">
        <is>
          <t>Low</t>
        </is>
      </c>
      <c r="L570" t="inlineStr">
        <is>
          <t>Minor Inconvenience</t>
        </is>
      </c>
    </row>
    <row r="571">
      <c r="A571" t="inlineStr">
        <is>
          <t>FB-00570</t>
        </is>
      </c>
      <c r="B571" t="inlineStr">
        <is>
          <t>CUST-0297</t>
        </is>
      </c>
      <c r="C571" t="inlineStr">
        <is>
          <t>2026-03-07</t>
        </is>
      </c>
      <c r="D571" t="inlineStr">
        <is>
          <t>Feature Request</t>
        </is>
      </c>
      <c r="E571" t="inlineStr">
        <is>
          <t>Professional</t>
        </is>
      </c>
      <c r="F571" t="inlineStr">
        <is>
          <t>Mid-Market</t>
        </is>
      </c>
      <c r="G571" t="inlineStr">
        <is>
          <t>Reporting</t>
        </is>
      </c>
      <c r="H571" t="inlineStr">
        <is>
          <t>Feature Request</t>
        </is>
      </c>
      <c r="I571" t="inlineStr">
        <is>
          <t>Without a custom report builder we export raw data and rebuild everything elsewhere. It affects our renewal process every cycle.</t>
        </is>
      </c>
      <c r="J571" t="inlineStr">
        <is>
          <t>Positive</t>
        </is>
      </c>
      <c r="K571" t="inlineStr">
        <is>
          <t>Low</t>
        </is>
      </c>
      <c r="L571" t="inlineStr">
        <is>
          <t>Minor Inconvenience</t>
        </is>
      </c>
    </row>
    <row r="572">
      <c r="A572" t="inlineStr">
        <is>
          <t>FB-00571</t>
        </is>
      </c>
      <c r="B572" t="inlineStr">
        <is>
          <t>CUST-0145</t>
        </is>
      </c>
      <c r="C572" t="inlineStr">
        <is>
          <t>2026-03-07</t>
        </is>
      </c>
      <c r="D572" t="inlineStr">
        <is>
          <t>Support Ticket</t>
        </is>
      </c>
      <c r="E572" t="inlineStr">
        <is>
          <t>Professional</t>
        </is>
      </c>
      <c r="F572" t="inlineStr">
        <is>
          <t>SMB</t>
        </is>
      </c>
      <c r="G572" t="inlineStr">
        <is>
          <t>Reporting</t>
        </is>
      </c>
      <c r="H572" t="inlineStr">
        <is>
          <t>Performance Issue</t>
        </is>
      </c>
      <c r="I572" t="inlineStr">
        <is>
          <t>Dashboard loading got noticeably worse over the last few months. It happens about 31 times a week for our team of 107. Is there a workaround?</t>
        </is>
      </c>
      <c r="J572" t="inlineStr">
        <is>
          <t>Negative</t>
        </is>
      </c>
      <c r="K572" t="inlineStr">
        <is>
          <t>Low</t>
        </is>
      </c>
      <c r="L572" t="inlineStr">
        <is>
          <t>Minor Inconvenience</t>
        </is>
      </c>
    </row>
    <row r="573">
      <c r="A573" t="inlineStr">
        <is>
          <t>FB-00572</t>
        </is>
      </c>
      <c r="B573" t="inlineStr">
        <is>
          <t>CUST-0220</t>
        </is>
      </c>
      <c r="C573" t="inlineStr">
        <is>
          <t>2026-03-07</t>
        </is>
      </c>
      <c r="D573" t="inlineStr">
        <is>
          <t>Customer Survey</t>
        </is>
      </c>
      <c r="E573" t="inlineStr">
        <is>
          <t xml:space="preserve">Professional </t>
        </is>
      </c>
      <c r="F573" t="inlineStr">
        <is>
          <t>Mid-Market</t>
        </is>
      </c>
      <c r="G573" t="inlineStr">
        <is>
          <t>User Interface</t>
        </is>
      </c>
      <c r="H573" t="inlineStr">
        <is>
          <t>Usability Issue</t>
        </is>
      </c>
      <c r="I573" t="inlineStr">
        <is>
          <t>Quick note from our admin. The page layout is cluttered and I can never find the setting I need. It happens about 28 times a week for our team of 112.</t>
        </is>
      </c>
      <c r="J573" t="inlineStr">
        <is>
          <t>Neutral</t>
        </is>
      </c>
      <c r="K573" t="inlineStr">
        <is>
          <t>High</t>
        </is>
      </c>
      <c r="L573" t="inlineStr">
        <is>
          <t>Workflow Slowdown</t>
        </is>
      </c>
    </row>
    <row r="574">
      <c r="A574" t="inlineStr">
        <is>
          <t>FB-00573</t>
        </is>
      </c>
      <c r="B574" t="inlineStr">
        <is>
          <t>CUST-0099</t>
        </is>
      </c>
      <c r="C574" t="inlineStr">
        <is>
          <t>2026-03-07</t>
        </is>
      </c>
      <c r="D574" t="inlineStr">
        <is>
          <t>Feature Request</t>
        </is>
      </c>
      <c r="E574" t="inlineStr">
        <is>
          <t>Starter</t>
        </is>
      </c>
      <c r="F574" t="inlineStr">
        <is>
          <t>Mid-Market</t>
        </is>
      </c>
      <c r="G574" t="inlineStr">
        <is>
          <t>Contact Management</t>
        </is>
      </c>
      <c r="H574" t="inlineStr">
        <is>
          <t>Feature Request</t>
        </is>
      </c>
      <c r="I574" t="inlineStr">
        <is>
          <t>Please build contact de-duplication tooling with a preview of what will be combined.</t>
        </is>
      </c>
      <c r="J574" t="inlineStr">
        <is>
          <t>Neutral</t>
        </is>
      </c>
      <c r="K574" t="inlineStr">
        <is>
          <t>Medium</t>
        </is>
      </c>
      <c r="L574" t="inlineStr">
        <is>
          <t>Minor Inconvenience</t>
        </is>
      </c>
    </row>
    <row r="575">
      <c r="A575" t="inlineStr">
        <is>
          <t>FB-00574</t>
        </is>
      </c>
      <c r="B575" t="inlineStr">
        <is>
          <t>CUST-0380</t>
        </is>
      </c>
      <c r="C575" t="inlineStr">
        <is>
          <t>08-Mar-2026</t>
        </is>
      </c>
      <c r="D575" t="inlineStr">
        <is>
          <t>Support Ticket</t>
        </is>
      </c>
      <c r="E575" t="inlineStr">
        <is>
          <t>Professional</t>
        </is>
      </c>
      <c r="F575" t="inlineStr">
        <is>
          <t>Mid-Market</t>
        </is>
      </c>
      <c r="G575" t="inlineStr">
        <is>
          <t>Workflow Automation</t>
        </is>
      </c>
      <c r="H575" t="inlineStr">
        <is>
          <t>Bug</t>
        </is>
      </c>
      <c r="I575" t="inlineStr">
        <is>
          <t>Feedback from our monthly review. Several workflow runs failing silently left deals stuck in the wrong stage. It happens about 30 times a week for our team of 32. Let us know if you need examples.</t>
        </is>
      </c>
      <c r="J575" t="inlineStr">
        <is>
          <t>Neutral</t>
        </is>
      </c>
      <c r="K575" t="inlineStr">
        <is>
          <t>High</t>
        </is>
      </c>
      <c r="L575" t="inlineStr">
        <is>
          <t>Revenue/Operations Risk</t>
        </is>
      </c>
    </row>
    <row r="576">
      <c r="A576" t="inlineStr">
        <is>
          <t>FB-00575</t>
        </is>
      </c>
      <c r="B576" t="inlineStr">
        <is>
          <t>CUST-0334</t>
        </is>
      </c>
      <c r="C576" t="inlineStr">
        <is>
          <t>2026-03-08</t>
        </is>
      </c>
      <c r="D576" t="inlineStr">
        <is>
          <t>Support Ticket</t>
        </is>
      </c>
      <c r="E576" t="inlineStr">
        <is>
          <t>Enterprise</t>
        </is>
      </c>
      <c r="F576" t="inlineStr">
        <is>
          <t>SMB</t>
        </is>
      </c>
      <c r="G576" t="inlineStr">
        <is>
          <t>Lead Management</t>
        </is>
      </c>
      <c r="H576" t="inlineStr">
        <is>
          <t>Performance Issue</t>
        </is>
      </c>
      <c r="I576" t="inlineStr">
        <is>
          <t>Not what we expected for the price. Reps have stopped using the board because of lead view load times. Our RevOps lead flagged it while onboarding 34 new users. We need a fix before renewal.</t>
        </is>
      </c>
      <c r="J576" t="inlineStr">
        <is>
          <t>Negative</t>
        </is>
      </c>
      <c r="K576" t="inlineStr">
        <is>
          <t>Critical</t>
        </is>
      </c>
      <c r="L576" t="inlineStr">
        <is>
          <t>Revenue/Operations Risk</t>
        </is>
      </c>
    </row>
    <row r="577">
      <c r="A577" t="inlineStr">
        <is>
          <t>FB-00576</t>
        </is>
      </c>
      <c r="B577" t="inlineStr">
        <is>
          <t>CUST-0136</t>
        </is>
      </c>
      <c r="C577" t="inlineStr">
        <is>
          <t>2026-03-08</t>
        </is>
      </c>
      <c r="D577" t="inlineStr">
        <is>
          <t>Feature Request</t>
        </is>
      </c>
      <c r="E577" t="inlineStr">
        <is>
          <t>Starter</t>
        </is>
      </c>
      <c r="F577" t="inlineStr">
        <is>
          <t>SMB</t>
        </is>
      </c>
      <c r="G577" t="inlineStr">
        <is>
          <t>Lead Management</t>
        </is>
      </c>
      <c r="H577" t="inlineStr">
        <is>
          <t>Feature Request</t>
        </is>
      </c>
      <c r="I577" t="inlineStr">
        <is>
          <t>Not what we expected for the price. Right now reps rank leads by gut feel; a lead score model would fix that.</t>
        </is>
      </c>
      <c r="J577" t="inlineStr">
        <is>
          <t>Negative</t>
        </is>
      </c>
      <c r="K577" t="inlineStr">
        <is>
          <t>Low</t>
        </is>
      </c>
      <c r="L577" t="inlineStr">
        <is>
          <t>Minor Inconvenience</t>
        </is>
      </c>
    </row>
    <row r="578">
      <c r="A578" t="inlineStr">
        <is>
          <t>FB-00577</t>
        </is>
      </c>
      <c r="B578" t="inlineStr">
        <is>
          <t>CUST-0029</t>
        </is>
      </c>
      <c r="C578" t="inlineStr">
        <is>
          <t>2026-03-08</t>
        </is>
      </c>
      <c r="D578" t="inlineStr">
        <is>
          <t>In-App Feedback</t>
        </is>
      </c>
      <c r="E578" t="inlineStr">
        <is>
          <t>Professional</t>
        </is>
      </c>
      <c r="F578" t="inlineStr">
        <is>
          <t>Enterprise</t>
        </is>
      </c>
      <c r="G578" t="inlineStr">
        <is>
          <t xml:space="preserve">Contact Management </t>
        </is>
      </c>
      <c r="H578" t="inlineStr">
        <is>
          <t>Bug</t>
        </is>
      </c>
      <c r="I578" t="inlineStr">
        <is>
          <t>Raising this again after our last business review. The contact CSV import fails halfway through with a generic error and no row-level detail. We need a fix before renewal.</t>
        </is>
      </c>
      <c r="J578" t="inlineStr">
        <is>
          <t>negative</t>
        </is>
      </c>
      <c r="K578" t="inlineStr">
        <is>
          <t>High</t>
        </is>
      </c>
      <c r="L578" t="inlineStr">
        <is>
          <t>Blocks Key Task</t>
        </is>
      </c>
    </row>
    <row r="579">
      <c r="A579" t="inlineStr">
        <is>
          <t>FB-00578</t>
        </is>
      </c>
      <c r="B579" t="inlineStr">
        <is>
          <t>CUST-0216</t>
        </is>
      </c>
      <c r="C579" t="inlineStr">
        <is>
          <t>2026-03-08</t>
        </is>
      </c>
      <c r="D579" t="inlineStr">
        <is>
          <t>In-App Feedback</t>
        </is>
      </c>
      <c r="E579" t="inlineStr">
        <is>
          <t>Starter</t>
        </is>
      </c>
      <c r="F579" t="inlineStr">
        <is>
          <t>Mid-Market</t>
        </is>
      </c>
      <c r="G579" t="inlineStr">
        <is>
          <t>Reporting</t>
        </is>
      </c>
      <c r="H579" t="inlineStr">
        <is>
          <t>Performance Issue</t>
        </is>
      </c>
      <c r="I579" t="inlineStr">
        <is>
          <t>Escalating on behalf of our ops lead. Report load time got noticeably worse over the last few months.</t>
        </is>
      </c>
      <c r="J579" t="inlineStr">
        <is>
          <t>Negative</t>
        </is>
      </c>
      <c r="K579" t="inlineStr">
        <is>
          <t>Medium</t>
        </is>
      </c>
      <c r="L579" t="inlineStr">
        <is>
          <t>Workflow Slowdown</t>
        </is>
      </c>
    </row>
    <row r="580">
      <c r="A580" t="inlineStr">
        <is>
          <t>FB-00579</t>
        </is>
      </c>
      <c r="B580" t="inlineStr">
        <is>
          <t>CUST-0195</t>
        </is>
      </c>
      <c r="C580" t="inlineStr">
        <is>
          <t>2026-03-08</t>
        </is>
      </c>
      <c r="D580" t="inlineStr">
        <is>
          <t>Feature Request</t>
        </is>
      </c>
      <c r="E580" t="inlineStr">
        <is>
          <t>Professional</t>
        </is>
      </c>
      <c r="F580" t="inlineStr">
        <is>
          <t>SMB</t>
        </is>
      </c>
      <c r="G580" t="inlineStr">
        <is>
          <t>Integrations</t>
        </is>
      </c>
      <c r="H580" t="inlineStr">
        <is>
          <t>Feature Request</t>
        </is>
      </c>
      <c r="I580" t="inlineStr">
        <is>
          <t>Noting this during onboarding. Please build a marketing automation connector; our team copies data across systems daily. It happens about 32 times a week for our team of 33.</t>
        </is>
      </c>
      <c r="J580" t="inlineStr">
        <is>
          <t>Neutral</t>
        </is>
      </c>
      <c r="K580" t="inlineStr">
        <is>
          <t>Medium</t>
        </is>
      </c>
      <c r="L580" t="inlineStr">
        <is>
          <t>Workflow Slowdown</t>
        </is>
      </c>
    </row>
    <row r="581">
      <c r="A581" t="inlineStr">
        <is>
          <t>FB-00580</t>
        </is>
      </c>
      <c r="B581" t="inlineStr">
        <is>
          <t>CUST-0117</t>
        </is>
      </c>
      <c r="C581" t="inlineStr">
        <is>
          <t>09-Mar-2026</t>
        </is>
      </c>
      <c r="D581" t="inlineStr">
        <is>
          <t>Feature Request</t>
        </is>
      </c>
      <c r="E581" t="inlineStr">
        <is>
          <t>Professional</t>
        </is>
      </c>
      <c r="F581" t="inlineStr">
        <is>
          <t>Mid-Market</t>
        </is>
      </c>
      <c r="G581" t="inlineStr">
        <is>
          <t>Integrations</t>
        </is>
      </c>
      <c r="H581" t="inlineStr">
        <is>
          <t>Feature Request</t>
        </is>
      </c>
      <c r="I581" t="inlineStr">
        <is>
          <t>FYI for the product team. Our security team requires SCIM provisioning before we can expand seats. We estimate we lose roughly 46 hours a month on this. Happy to join a feedback call.</t>
        </is>
      </c>
      <c r="J581" t="inlineStr">
        <is>
          <t>Neutral</t>
        </is>
      </c>
      <c r="K581" t="inlineStr">
        <is>
          <t>Low</t>
        </is>
      </c>
      <c r="L581" t="inlineStr">
        <is>
          <t>Workflow Slowdown</t>
        </is>
      </c>
    </row>
    <row r="582">
      <c r="A582" t="inlineStr">
        <is>
          <t>FB-00581</t>
        </is>
      </c>
      <c r="B582" t="inlineStr">
        <is>
          <t>CUST-0338</t>
        </is>
      </c>
      <c r="C582" t="inlineStr">
        <is>
          <t>2026-03-09</t>
        </is>
      </c>
      <c r="D582" t="inlineStr">
        <is>
          <t>Support Ticket</t>
        </is>
      </c>
      <c r="E582" t="inlineStr">
        <is>
          <t>Professional</t>
        </is>
      </c>
      <c r="F582" t="inlineStr">
        <is>
          <t>Mid-Market</t>
        </is>
      </c>
      <c r="G582" t="inlineStr">
        <is>
          <t>Workflow Automation</t>
        </is>
      </c>
      <c r="H582" t="inlineStr">
        <is>
          <t>Bug</t>
        </is>
      </c>
      <c r="I582" t="inlineStr">
        <is>
          <t>Since the last release we've had workflow runs failing silently and tasks are being created twice. Our sales manager flagged it while onboarding 30 new users. Happy to join a feedback call.</t>
        </is>
      </c>
      <c r="J582" t="inlineStr">
        <is>
          <t>Neutral</t>
        </is>
      </c>
      <c r="K582" t="inlineStr">
        <is>
          <t>Medium</t>
        </is>
      </c>
    </row>
    <row r="583">
      <c r="A583" t="inlineStr">
        <is>
          <t>FB-00582</t>
        </is>
      </c>
      <c r="B583" t="inlineStr">
        <is>
          <t>CUST-0204</t>
        </is>
      </c>
      <c r="C583" t="inlineStr">
        <is>
          <t>2026-03-10</t>
        </is>
      </c>
      <c r="D583" t="inlineStr">
        <is>
          <t>Support Ticket</t>
        </is>
      </c>
      <c r="E583" t="inlineStr">
        <is>
          <t>Enterprise</t>
        </is>
      </c>
      <c r="F583" t="inlineStr">
        <is>
          <t>Enterprise</t>
        </is>
      </c>
      <c r="G583" t="inlineStr">
        <is>
          <t>Workflow Automation</t>
        </is>
      </c>
      <c r="H583" t="inlineStr">
        <is>
          <t>Usability Issue</t>
        </is>
      </c>
      <c r="I583" t="inlineStr">
        <is>
          <t>Sharing this from our team. I can't tell what a branch does in the workflow editor without opening every node. Our marketing ops owner flagged it while onboarding 107 new users.</t>
        </is>
      </c>
      <c r="J583" t="inlineStr">
        <is>
          <t>Neutral</t>
        </is>
      </c>
      <c r="K583" t="inlineStr">
        <is>
          <t>Medium</t>
        </is>
      </c>
      <c r="L583" t="inlineStr">
        <is>
          <t>Workflow Slowdown</t>
        </is>
      </c>
    </row>
    <row r="584">
      <c r="A584" t="inlineStr">
        <is>
          <t>FB-00583</t>
        </is>
      </c>
      <c r="B584" t="inlineStr">
        <is>
          <t>CUST-0288</t>
        </is>
      </c>
      <c r="C584" t="inlineStr">
        <is>
          <t>2026-03-10</t>
        </is>
      </c>
      <c r="D584" t="inlineStr">
        <is>
          <t>Feature Request</t>
        </is>
      </c>
      <c r="E584" t="inlineStr">
        <is>
          <t>Professional</t>
        </is>
      </c>
      <c r="F584" t="inlineStr">
        <is>
          <t>Mid-Market</t>
        </is>
      </c>
      <c r="G584" t="inlineStr">
        <is>
          <t>Contact Management</t>
        </is>
      </c>
      <c r="H584" t="inlineStr">
        <is>
          <t>Feature Request</t>
        </is>
      </c>
      <c r="I584" t="inlineStr">
        <is>
          <t>FYI for the product team. Requesting an account hierarchy view so account managers can see who reports to whom. It affects our renewal process every cycle.</t>
        </is>
      </c>
      <c r="J584" t="inlineStr">
        <is>
          <t>Neutral</t>
        </is>
      </c>
      <c r="K584" t="inlineStr">
        <is>
          <t>Medium</t>
        </is>
      </c>
      <c r="L584" t="inlineStr">
        <is>
          <t>Workflow Slowdown</t>
        </is>
      </c>
    </row>
    <row r="585">
      <c r="A585" t="inlineStr">
        <is>
          <t>FB-00584</t>
        </is>
      </c>
      <c r="B585" t="inlineStr">
        <is>
          <t>CUST-0035</t>
        </is>
      </c>
      <c r="C585" t="inlineStr">
        <is>
          <t>2026-03-10</t>
        </is>
      </c>
      <c r="D585" t="inlineStr">
        <is>
          <t>In-App Feedback</t>
        </is>
      </c>
      <c r="E585" t="inlineStr">
        <is>
          <t>Professional</t>
        </is>
      </c>
      <c r="F585" t="inlineStr">
        <is>
          <t>Enterprise</t>
        </is>
      </c>
      <c r="G585" t="inlineStr">
        <is>
          <t>Reporting</t>
        </is>
      </c>
      <c r="H585" t="inlineStr">
        <is>
          <t>Performance Issue</t>
        </is>
      </c>
      <c r="I585" t="inlineStr">
        <is>
          <t>Our report load time spins for a minute before showing any chart. It affects our month-end reporting process every cycle.</t>
        </is>
      </c>
      <c r="J585" t="inlineStr">
        <is>
          <t>Negative</t>
        </is>
      </c>
      <c r="K585" t="inlineStr">
        <is>
          <t>Medium</t>
        </is>
      </c>
    </row>
    <row r="586">
      <c r="A586" t="inlineStr">
        <is>
          <t>FB-00585</t>
        </is>
      </c>
      <c r="B586" t="inlineStr">
        <is>
          <t>CUST-0035</t>
        </is>
      </c>
      <c r="C586" t="inlineStr">
        <is>
          <t>2026-03-10</t>
        </is>
      </c>
      <c r="D586" t="inlineStr">
        <is>
          <t>Customer Survey</t>
        </is>
      </c>
      <c r="E586" t="inlineStr">
        <is>
          <t>Professional</t>
        </is>
      </c>
      <c r="F586" t="inlineStr">
        <is>
          <t>Enterprise</t>
        </is>
      </c>
      <c r="G586" t="inlineStr">
        <is>
          <t>Workflow Automation</t>
        </is>
      </c>
      <c r="H586" t="inlineStr">
        <is>
          <t>Feature Request</t>
        </is>
      </c>
      <c r="I586" t="inlineStr">
        <is>
          <t>A library of prebuilt automations would cut our setup time. It affects our quarterly planning process every cycle.</t>
        </is>
      </c>
      <c r="J586" t="inlineStr">
        <is>
          <t>Neutral</t>
        </is>
      </c>
      <c r="K586" t="inlineStr">
        <is>
          <t>Low</t>
        </is>
      </c>
      <c r="L586" t="inlineStr">
        <is>
          <t>Minor Inconvenience</t>
        </is>
      </c>
    </row>
    <row r="587">
      <c r="A587" t="inlineStr">
        <is>
          <t>FB-00586</t>
        </is>
      </c>
      <c r="B587" t="inlineStr">
        <is>
          <t>CUST-0028</t>
        </is>
      </c>
      <c r="C587" t="inlineStr">
        <is>
          <t>2026-03-11</t>
        </is>
      </c>
      <c r="D587" t="inlineStr">
        <is>
          <t>Feature Request</t>
        </is>
      </c>
      <c r="E587" t="inlineStr">
        <is>
          <t>Enterprise</t>
        </is>
      </c>
      <c r="F587" t="inlineStr">
        <is>
          <t>Enterprise</t>
        </is>
      </c>
      <c r="G587" t="inlineStr">
        <is>
          <t>Lead Management</t>
        </is>
      </c>
      <c r="H587" t="inlineStr">
        <is>
          <t>Feature Request</t>
        </is>
      </c>
      <c r="I587" t="inlineStr">
        <is>
          <t>Not what we expected for the price. We need a lead score model so reps can focus on the prospects most likely to close. Please look into it soon.</t>
        </is>
      </c>
      <c r="J587" t="inlineStr">
        <is>
          <t>Negative</t>
        </is>
      </c>
      <c r="K587" t="inlineStr">
        <is>
          <t>Low</t>
        </is>
      </c>
      <c r="L587" t="inlineStr">
        <is>
          <t>Minor Inconvenience</t>
        </is>
      </c>
    </row>
    <row r="588">
      <c r="A588" t="inlineStr">
        <is>
          <t>FB-00587</t>
        </is>
      </c>
      <c r="B588" t="inlineStr">
        <is>
          <t>CUST-0320</t>
        </is>
      </c>
      <c r="C588" t="inlineStr">
        <is>
          <t>2026-03-11</t>
        </is>
      </c>
      <c r="D588" t="inlineStr">
        <is>
          <t>Support Ticket</t>
        </is>
      </c>
      <c r="E588" t="inlineStr">
        <is>
          <t>Professional</t>
        </is>
      </c>
      <c r="F588" t="inlineStr">
        <is>
          <t>Mid-Market</t>
        </is>
      </c>
      <c r="G588" t="inlineStr">
        <is>
          <t>Integrations</t>
        </is>
      </c>
      <c r="H588" t="inlineStr">
        <is>
          <t>Integration Issue</t>
        </is>
      </c>
      <c r="I588" t="inlineStr">
        <is>
          <t>Raising this again after our last business review. Hard to debug: webhook delivery fail with vague error codes. Our customer success lead flagged it while onboarding 64 new users. We need a fix before renewal.</t>
        </is>
      </c>
      <c r="J588" t="inlineStr">
        <is>
          <t>Negative</t>
        </is>
      </c>
      <c r="K588" t="inlineStr">
        <is>
          <t>High</t>
        </is>
      </c>
      <c r="L588" t="inlineStr">
        <is>
          <t>Blocks Key Task</t>
        </is>
      </c>
    </row>
    <row r="589">
      <c r="A589" t="inlineStr">
        <is>
          <t>FB-00588</t>
        </is>
      </c>
      <c r="B589" t="inlineStr">
        <is>
          <t>CUST-0012</t>
        </is>
      </c>
      <c r="C589" t="inlineStr">
        <is>
          <t>2026-03-11</t>
        </is>
      </c>
      <c r="D589" t="inlineStr">
        <is>
          <t>In-App Feedback</t>
        </is>
      </c>
      <c r="E589" t="inlineStr">
        <is>
          <t>Enterprise</t>
        </is>
      </c>
      <c r="F589" t="inlineStr">
        <is>
          <t>Enterprise</t>
        </is>
      </c>
      <c r="G589" t="inlineStr">
        <is>
          <t>Lead Management</t>
        </is>
      </c>
      <c r="H589" t="inlineStr">
        <is>
          <t>Performance Issue</t>
        </is>
      </c>
      <c r="I589" t="inlineStr">
        <is>
          <t>The lead list loading gets very slow once we pass a few thousand open leads. It affects our quarterly planning process every cycle. Support suggested logging it here.</t>
        </is>
      </c>
      <c r="J589" t="inlineStr">
        <is>
          <t>Negative</t>
        </is>
      </c>
      <c r="K589" t="inlineStr">
        <is>
          <t>Medium</t>
        </is>
      </c>
      <c r="L589" t="inlineStr">
        <is>
          <t>Workflow Slowdown</t>
        </is>
      </c>
    </row>
    <row r="590">
      <c r="A590" t="inlineStr">
        <is>
          <t>FB-00589</t>
        </is>
      </c>
      <c r="B590" t="inlineStr">
        <is>
          <t>CUST-0012</t>
        </is>
      </c>
      <c r="C590" t="inlineStr">
        <is>
          <t>2026-03-11</t>
        </is>
      </c>
      <c r="D590" t="inlineStr">
        <is>
          <t>Feature Request</t>
        </is>
      </c>
      <c r="E590" t="inlineStr">
        <is>
          <t>Enterprise</t>
        </is>
      </c>
      <c r="F590" t="inlineStr">
        <is>
          <t>Enterprise</t>
        </is>
      </c>
      <c r="G590" t="inlineStr">
        <is>
          <t>Workflow Automation</t>
        </is>
      </c>
      <c r="H590" t="inlineStr">
        <is>
          <t>Feature Request</t>
        </is>
      </c>
      <c r="I590" t="inlineStr">
        <is>
          <t>Adding approval steps is a blocker for our finance team. It happens about 14 times a week for our team of 110.</t>
        </is>
      </c>
      <c r="J590" t="inlineStr">
        <is>
          <t>Neutral</t>
        </is>
      </c>
      <c r="K590" t="inlineStr">
        <is>
          <t>Low</t>
        </is>
      </c>
      <c r="L590" t="inlineStr">
        <is>
          <t>Minor Inconvenience</t>
        </is>
      </c>
    </row>
    <row r="591">
      <c r="A591" t="inlineStr">
        <is>
          <t>FB-00590</t>
        </is>
      </c>
      <c r="B591" t="inlineStr">
        <is>
          <t>CUST-0140</t>
        </is>
      </c>
      <c r="C591" t="inlineStr">
        <is>
          <t>2026-03-11</t>
        </is>
      </c>
      <c r="D591" t="inlineStr">
        <is>
          <t>Support Ticket</t>
        </is>
      </c>
      <c r="E591" t="inlineStr">
        <is>
          <t>Professional</t>
        </is>
      </c>
      <c r="F591" t="inlineStr">
        <is>
          <t>Mid-Market</t>
        </is>
      </c>
      <c r="G591" t="inlineStr">
        <is>
          <t>Workflow Automation</t>
        </is>
      </c>
      <c r="H591" t="inlineStr">
        <is>
          <t>Usability Issue</t>
        </is>
      </c>
      <c r="I591" t="inlineStr">
        <is>
          <t>Our new admins struggle with the automation canvas; there is no guidance or validation. We estimate we lose roughly 34 hours a month on this. Support suggested logging it here.</t>
        </is>
      </c>
      <c r="J591" t="inlineStr">
        <is>
          <t>Negative</t>
        </is>
      </c>
      <c r="K591" t="inlineStr">
        <is>
          <t>Medium</t>
        </is>
      </c>
      <c r="L591" t="inlineStr">
        <is>
          <t>Workflow Slowdown</t>
        </is>
      </c>
    </row>
    <row r="592">
      <c r="A592" t="inlineStr">
        <is>
          <t>FB-00591</t>
        </is>
      </c>
      <c r="B592" t="inlineStr">
        <is>
          <t>CUST-0181</t>
        </is>
      </c>
      <c r="C592" t="inlineStr">
        <is>
          <t>2026-03-11</t>
        </is>
      </c>
      <c r="D592" t="inlineStr">
        <is>
          <t>In-App Feedback</t>
        </is>
      </c>
      <c r="E592" t="inlineStr">
        <is>
          <t>Starter</t>
        </is>
      </c>
      <c r="F592" t="inlineStr">
        <is>
          <t>SMB</t>
        </is>
      </c>
      <c r="G592" t="inlineStr">
        <is>
          <t>User Interface</t>
        </is>
      </c>
      <c r="H592" t="inlineStr">
        <is>
          <t>Usability Issue</t>
        </is>
      </c>
      <c r="I592" t="inlineStr">
        <is>
          <t>FYI for the product team. The navigation menu is cluttered and I can never find the setting I need. So far 59 people on our side have reported it.</t>
        </is>
      </c>
      <c r="J592" t="inlineStr">
        <is>
          <t>Neutral</t>
        </is>
      </c>
      <c r="K592" t="inlineStr">
        <is>
          <t>Low</t>
        </is>
      </c>
      <c r="L592" t="inlineStr">
        <is>
          <t>Workflow Slowdown</t>
        </is>
      </c>
    </row>
    <row r="593">
      <c r="A593" t="inlineStr">
        <is>
          <t>FB-00592</t>
        </is>
      </c>
      <c r="B593" t="inlineStr">
        <is>
          <t>CUST-0069</t>
        </is>
      </c>
      <c r="C593" t="inlineStr">
        <is>
          <t>2026-03-11</t>
        </is>
      </c>
      <c r="D593" t="inlineStr">
        <is>
          <t>Support Ticket</t>
        </is>
      </c>
      <c r="E593" t="inlineStr">
        <is>
          <t>Starter</t>
        </is>
      </c>
      <c r="F593" t="inlineStr">
        <is>
          <t>Mid-Market</t>
        </is>
      </c>
      <c r="G593" t="inlineStr">
        <is>
          <t>Integrations</t>
        </is>
      </c>
      <c r="H593" t="inlineStr">
        <is>
          <t>Feature Request</t>
        </is>
      </c>
      <c r="I593" t="inlineStr">
        <is>
          <t>Happy with most of the product. We would pay for a native Slack integration instead of maintaining Zapier chains. Thanks to the team.</t>
        </is>
      </c>
      <c r="J593" t="inlineStr">
        <is>
          <t>Positive</t>
        </is>
      </c>
      <c r="K593" t="inlineStr">
        <is>
          <t>Low</t>
        </is>
      </c>
      <c r="L593" t="inlineStr">
        <is>
          <t>Workflow Slowdown</t>
        </is>
      </c>
    </row>
    <row r="594">
      <c r="A594" t="inlineStr">
        <is>
          <t>FB-00593</t>
        </is>
      </c>
      <c r="B594" t="inlineStr">
        <is>
          <t>CUST-0108</t>
        </is>
      </c>
      <c r="C594" t="inlineStr">
        <is>
          <t>2026-03-11</t>
        </is>
      </c>
      <c r="D594" t="inlineStr">
        <is>
          <t>Feature Request</t>
        </is>
      </c>
      <c r="E594" t="inlineStr">
        <is>
          <t>Enterprise</t>
        </is>
      </c>
      <c r="F594" t="inlineStr">
        <is>
          <t>Mid-Market</t>
        </is>
      </c>
      <c r="G594" t="inlineStr">
        <is>
          <t>Contact Management</t>
        </is>
      </c>
      <c r="H594" t="inlineStr">
        <is>
          <t>Feature Request</t>
        </is>
      </c>
      <c r="I594" t="inlineStr">
        <is>
          <t>Is there any plan for a tool to merge duplicate contacts? Merging one record at a time is not realistic. It happens about 29 times a week for our team of 18. Keep up the good work.</t>
        </is>
      </c>
      <c r="J594" t="inlineStr">
        <is>
          <t>Positive</t>
        </is>
      </c>
      <c r="K594" t="inlineStr">
        <is>
          <t>Low</t>
        </is>
      </c>
      <c r="L594" t="inlineStr">
        <is>
          <t>Minor Inconvenience</t>
        </is>
      </c>
    </row>
    <row r="595">
      <c r="A595" t="inlineStr">
        <is>
          <t>FB-00594</t>
        </is>
      </c>
      <c r="B595" t="inlineStr">
        <is>
          <t>CUST-0152</t>
        </is>
      </c>
      <c r="C595" t="inlineStr">
        <is>
          <t>2026-03-11</t>
        </is>
      </c>
      <c r="D595" t="inlineStr">
        <is>
          <t>Support Ticket</t>
        </is>
      </c>
      <c r="E595" t="inlineStr">
        <is>
          <t>Enterprise</t>
        </is>
      </c>
      <c r="F595" t="inlineStr">
        <is>
          <t>Enterprise</t>
        </is>
      </c>
      <c r="G595" t="inlineStr">
        <is>
          <t>Reporting</t>
        </is>
      </c>
      <c r="H595" t="inlineStr">
        <is>
          <t>Bug</t>
        </is>
      </c>
      <c r="I595" t="inlineStr">
        <is>
          <t>Raising this again after our last business review. The CSV export of reports cuts off rows after a few thousand records. It happens about 9 times a week for our team of 95.</t>
        </is>
      </c>
      <c r="J595" t="inlineStr">
        <is>
          <t>Negative</t>
        </is>
      </c>
      <c r="K595" t="inlineStr">
        <is>
          <t>Low</t>
        </is>
      </c>
      <c r="L595" t="inlineStr">
        <is>
          <t>Workflow Slowdown</t>
        </is>
      </c>
    </row>
    <row r="596">
      <c r="A596" t="inlineStr">
        <is>
          <t>FB-00595</t>
        </is>
      </c>
      <c r="B596" t="inlineStr">
        <is>
          <t>CUST-0296</t>
        </is>
      </c>
      <c r="C596" t="inlineStr">
        <is>
          <t>2026-03-12</t>
        </is>
      </c>
      <c r="D596" t="inlineStr">
        <is>
          <t>In-App Feedback</t>
        </is>
      </c>
      <c r="E596" t="inlineStr">
        <is>
          <t>Professional</t>
        </is>
      </c>
      <c r="F596" t="inlineStr">
        <is>
          <t>SMB</t>
        </is>
      </c>
      <c r="G596" t="inlineStr">
        <is>
          <t>Contact Management</t>
        </is>
      </c>
      <c r="H596" t="inlineStr">
        <is>
          <t>Feature Request</t>
        </is>
      </c>
      <c r="I596" t="inlineStr">
        <is>
          <t>Please build a tool to merge duplicate contacts with a preview of what will be combined. We need a fix before renewal.</t>
        </is>
      </c>
      <c r="J596" t="inlineStr">
        <is>
          <t>Negative</t>
        </is>
      </c>
      <c r="K596" t="inlineStr">
        <is>
          <t>Medium</t>
        </is>
      </c>
      <c r="L596" t="inlineStr">
        <is>
          <t>Blocks Key Task</t>
        </is>
      </c>
    </row>
    <row r="597">
      <c r="A597" t="inlineStr">
        <is>
          <t>FB-00596</t>
        </is>
      </c>
      <c r="B597" t="inlineStr">
        <is>
          <t>CUST-0054</t>
        </is>
      </c>
      <c r="C597" t="inlineStr">
        <is>
          <t>2026-03-12</t>
        </is>
      </c>
      <c r="D597" t="inlineStr">
        <is>
          <t>Feature Request</t>
        </is>
      </c>
      <c r="E597" t="inlineStr">
        <is>
          <t>Enterprise</t>
        </is>
      </c>
      <c r="F597" t="inlineStr">
        <is>
          <t>Enterprise</t>
        </is>
      </c>
      <c r="G597" t="inlineStr">
        <is>
          <t>Reporting</t>
        </is>
      </c>
      <c r="H597" t="inlineStr">
        <is>
          <t>Feature Request</t>
        </is>
      </c>
      <c r="I597" t="inlineStr">
        <is>
          <t>Please add a custom report builder; today an analyst rebuilds the same report every week. Happy to join a feedback call.</t>
        </is>
      </c>
      <c r="J597" t="inlineStr">
        <is>
          <t>Neutral</t>
        </is>
      </c>
      <c r="K597" t="inlineStr">
        <is>
          <t>Medium</t>
        </is>
      </c>
      <c r="L597" t="inlineStr">
        <is>
          <t>Minor Inconvenience</t>
        </is>
      </c>
    </row>
    <row r="598">
      <c r="A598" t="inlineStr">
        <is>
          <t>FB-00597</t>
        </is>
      </c>
      <c r="B598" t="inlineStr">
        <is>
          <t>CUST-0209</t>
        </is>
      </c>
      <c r="C598" t="inlineStr">
        <is>
          <t>2026-03-12</t>
        </is>
      </c>
      <c r="D598" t="inlineStr">
        <is>
          <t>Customer Survey</t>
        </is>
      </c>
      <c r="E598" t="inlineStr">
        <is>
          <t>Professional</t>
        </is>
      </c>
      <c r="F598" t="inlineStr">
        <is>
          <t>Enterprise</t>
        </is>
      </c>
      <c r="G598" t="inlineStr">
        <is>
          <t>User Interface</t>
        </is>
      </c>
      <c r="H598" t="inlineStr">
        <is>
          <t>Usability Issue</t>
        </is>
      </c>
      <c r="I598" t="inlineStr">
        <is>
          <t>The settings navigation is cluttered and I can never find the setting I need. We need a fix before renewal.</t>
        </is>
      </c>
      <c r="J598" t="inlineStr">
        <is>
          <t>Negative</t>
        </is>
      </c>
      <c r="K598" t="inlineStr">
        <is>
          <t>Medium</t>
        </is>
      </c>
      <c r="L598" t="inlineStr">
        <is>
          <t>Workflow Slowdown</t>
        </is>
      </c>
    </row>
    <row r="599">
      <c r="A599" t="inlineStr">
        <is>
          <t>FB-00598</t>
        </is>
      </c>
      <c r="B599" t="inlineStr">
        <is>
          <t>CUST-0284</t>
        </is>
      </c>
      <c r="C599" t="inlineStr">
        <is>
          <t>2026-03-13</t>
        </is>
      </c>
      <c r="D599" t="inlineStr">
        <is>
          <t>Support Ticket</t>
        </is>
      </c>
      <c r="E599" t="inlineStr">
        <is>
          <t>Enterprise</t>
        </is>
      </c>
      <c r="F599" t="inlineStr">
        <is>
          <t>Enterprise</t>
        </is>
      </c>
      <c r="G599" t="inlineStr">
        <is>
          <t>Lead Management</t>
        </is>
      </c>
      <c r="H599" t="inlineStr">
        <is>
          <t>Bug</t>
        </is>
      </c>
      <c r="I599" t="inlineStr">
        <is>
          <t>Happy with most of the product. We are seeing duplicate lead records when a lead arrives from both the website and a trade-show list. Keep up the good work.</t>
        </is>
      </c>
      <c r="J599" t="inlineStr">
        <is>
          <t>Positive</t>
        </is>
      </c>
      <c r="K599" t="inlineStr">
        <is>
          <t>Medium</t>
        </is>
      </c>
      <c r="L599" t="inlineStr">
        <is>
          <t>Minor Inconvenience</t>
        </is>
      </c>
    </row>
    <row r="600">
      <c r="A600" t="inlineStr">
        <is>
          <t>FB-00599</t>
        </is>
      </c>
      <c r="B600" t="inlineStr">
        <is>
          <t>CUST-0152</t>
        </is>
      </c>
      <c r="C600" t="inlineStr">
        <is>
          <t>2026-03-13</t>
        </is>
      </c>
      <c r="D600" t="inlineStr">
        <is>
          <t>Support Ticket</t>
        </is>
      </c>
      <c r="E600" t="inlineStr">
        <is>
          <t>Enterprise</t>
        </is>
      </c>
      <c r="F600" t="inlineStr">
        <is>
          <t>Enterprise</t>
        </is>
      </c>
      <c r="G600" t="inlineStr">
        <is>
          <t>Integrations</t>
        </is>
      </c>
      <c r="H600" t="inlineStr">
        <is>
          <t>Integration Issue</t>
        </is>
      </c>
      <c r="I600" t="inlineStr">
        <is>
          <t>This has been a recurring problem for us. Our integration partner flagged API rate limits as a risk for the project. It happens about 9 times a week for our team of 83.</t>
        </is>
      </c>
      <c r="J600" t="inlineStr">
        <is>
          <t>Negative</t>
        </is>
      </c>
      <c r="K600" t="inlineStr">
        <is>
          <t>High</t>
        </is>
      </c>
      <c r="L600" t="inlineStr">
        <is>
          <t>Workflow Slowdown</t>
        </is>
      </c>
    </row>
    <row r="601">
      <c r="A601" t="inlineStr">
        <is>
          <t>FB-00600</t>
        </is>
      </c>
      <c r="B601" t="inlineStr">
        <is>
          <t>CUST-0129</t>
        </is>
      </c>
      <c r="C601" t="inlineStr">
        <is>
          <t>2026-03-13</t>
        </is>
      </c>
      <c r="D601" t="inlineStr">
        <is>
          <t>Support Ticket</t>
        </is>
      </c>
      <c r="E601" t="inlineStr">
        <is>
          <t>Professional</t>
        </is>
      </c>
      <c r="F601" t="inlineStr">
        <is>
          <t>Enterprise</t>
        </is>
      </c>
      <c r="G601" t="inlineStr">
        <is>
          <t>Integrations</t>
        </is>
      </c>
      <c r="H601" t="inlineStr">
        <is>
          <t>Integration Issue</t>
        </is>
      </c>
      <c r="I601" t="inlineStr">
        <is>
          <t>Quick note from our admin. Our Outlook calendar sync keeps disconnecting and activities are missing from the contact timeline. It happens about 36 times a week for our team of 103. Happy to join a feedback call.</t>
        </is>
      </c>
      <c r="J601" t="inlineStr">
        <is>
          <t>Neutral</t>
        </is>
      </c>
      <c r="K601" t="inlineStr">
        <is>
          <t>Low</t>
        </is>
      </c>
      <c r="L601" t="inlineStr">
        <is>
          <t>Minor Inconvenience</t>
        </is>
      </c>
    </row>
    <row r="602">
      <c r="A602" t="inlineStr">
        <is>
          <t>FB-00601</t>
        </is>
      </c>
      <c r="B602" t="inlineStr">
        <is>
          <t>CUST-0195</t>
        </is>
      </c>
      <c r="C602" t="inlineStr">
        <is>
          <t>2026-03-13</t>
        </is>
      </c>
      <c r="D602" t="inlineStr">
        <is>
          <t>Support Ticket</t>
        </is>
      </c>
      <c r="E602" t="inlineStr">
        <is>
          <t>Professional</t>
        </is>
      </c>
      <c r="F602" t="inlineStr">
        <is>
          <t>SMB</t>
        </is>
      </c>
      <c r="G602" t="inlineStr">
        <is>
          <t>Reporting</t>
        </is>
      </c>
      <c r="H602" t="inlineStr">
        <is>
          <t>Bug</t>
        </is>
      </c>
      <c r="I602" t="inlineStr">
        <is>
          <t>The CSV export of reports cuts off rows after a few thousand records. Happy to join a feedback call.</t>
        </is>
      </c>
      <c r="J602" t="inlineStr">
        <is>
          <t>Neutral</t>
        </is>
      </c>
      <c r="K602" t="inlineStr">
        <is>
          <t>Medium</t>
        </is>
      </c>
      <c r="L602" t="inlineStr">
        <is>
          <t>Workflow Slowdown</t>
        </is>
      </c>
    </row>
    <row r="603">
      <c r="A603" t="inlineStr">
        <is>
          <t>FB-00602</t>
        </is>
      </c>
      <c r="B603" t="inlineStr">
        <is>
          <t>CUST-0226</t>
        </is>
      </c>
      <c r="C603" t="inlineStr">
        <is>
          <t>2026-03-14</t>
        </is>
      </c>
      <c r="D603" t="inlineStr">
        <is>
          <t>Feature Request</t>
        </is>
      </c>
      <c r="E603" t="inlineStr">
        <is>
          <t>Professional</t>
        </is>
      </c>
      <c r="F603" t="inlineStr">
        <is>
          <t>Enterprise</t>
        </is>
      </c>
      <c r="G603" t="inlineStr">
        <is>
          <t>Reporting</t>
        </is>
      </c>
      <c r="H603" t="inlineStr">
        <is>
          <t>Feature Request</t>
        </is>
      </c>
      <c r="I603" t="inlineStr">
        <is>
          <t>Great support experience recently. Please add report scheduling; today an analyst rebuilds the same report every week. It happens about 8 times a week for our team of 40. Keep up the good work.</t>
        </is>
      </c>
      <c r="J603" t="inlineStr">
        <is>
          <t>Positive</t>
        </is>
      </c>
      <c r="K603" t="inlineStr">
        <is>
          <t>Medium</t>
        </is>
      </c>
      <c r="L603" t="inlineStr">
        <is>
          <t>Blocks Key Task</t>
        </is>
      </c>
    </row>
    <row r="604">
      <c r="A604" t="inlineStr">
        <is>
          <t>FB-00603</t>
        </is>
      </c>
      <c r="B604" t="inlineStr">
        <is>
          <t>CUST-0136</t>
        </is>
      </c>
      <c r="C604" t="inlineStr">
        <is>
          <t>2026-03-14</t>
        </is>
      </c>
      <c r="D604" t="inlineStr">
        <is>
          <t>In-App Feedback</t>
        </is>
      </c>
      <c r="E604" t="inlineStr">
        <is>
          <t>Starter</t>
        </is>
      </c>
      <c r="F604" t="inlineStr">
        <is>
          <t>SMB</t>
        </is>
      </c>
      <c r="G604" t="inlineStr">
        <is>
          <t>Integrations</t>
        </is>
      </c>
      <c r="H604" t="inlineStr">
        <is>
          <t>Integration Issue</t>
        </is>
      </c>
      <c r="I604" t="inlineStr">
        <is>
          <t>Our team keeps running into this. Our Outlook calendar sync keeps disconnecting and activities are missing from the contact timeline. It happens about 33 times a week for our team of 83. We need a fix before renewal.</t>
        </is>
      </c>
      <c r="J604" t="inlineStr">
        <is>
          <t>Negative</t>
        </is>
      </c>
      <c r="K604" t="inlineStr">
        <is>
          <t>Medium</t>
        </is>
      </c>
      <c r="L604" t="inlineStr">
        <is>
          <t>Revenue/Operations Risk</t>
        </is>
      </c>
    </row>
    <row r="605">
      <c r="A605" t="inlineStr">
        <is>
          <t>FB-00604</t>
        </is>
      </c>
      <c r="B605" t="inlineStr">
        <is>
          <t>CUST-0018</t>
        </is>
      </c>
      <c r="C605" t="inlineStr">
        <is>
          <t>2026-03-14</t>
        </is>
      </c>
      <c r="D605" t="inlineStr">
        <is>
          <t>Support Ticket</t>
        </is>
      </c>
      <c r="E605" t="inlineStr">
        <is>
          <t>Professional</t>
        </is>
      </c>
      <c r="F605" t="inlineStr">
        <is>
          <t>SMB</t>
        </is>
      </c>
      <c r="G605" t="inlineStr">
        <is>
          <t>Reporting</t>
        </is>
      </c>
      <c r="H605" t="inlineStr">
        <is>
          <t>Bug</t>
        </is>
      </c>
      <c r="I605" t="inlineStr">
        <is>
          <t>Finance can't rely on the CSV export of reports; totals don't match the screen. We need a fix before renewal.</t>
        </is>
      </c>
      <c r="J605" t="inlineStr">
        <is>
          <t>Negative</t>
        </is>
      </c>
      <c r="K605" t="inlineStr">
        <is>
          <t>Low</t>
        </is>
      </c>
      <c r="L605" t="inlineStr">
        <is>
          <t>Minor Inconvenience</t>
        </is>
      </c>
    </row>
    <row r="606">
      <c r="A606" t="inlineStr">
        <is>
          <t>FB-00605</t>
        </is>
      </c>
      <c r="B606" t="inlineStr">
        <is>
          <t>CUST-0168</t>
        </is>
      </c>
      <c r="C606" t="inlineStr">
        <is>
          <t>2026-03-14</t>
        </is>
      </c>
      <c r="D606" t="inlineStr">
        <is>
          <t>Support Ticket</t>
        </is>
      </c>
      <c r="E606" t="inlineStr">
        <is>
          <t>Professional</t>
        </is>
      </c>
      <c r="F606" t="inlineStr">
        <is>
          <t>Mid-Market</t>
        </is>
      </c>
      <c r="G606" t="inlineStr">
        <is>
          <t>Integrations</t>
        </is>
      </c>
      <c r="H606" t="inlineStr">
        <is>
          <t>Integration Issue</t>
        </is>
      </c>
      <c r="I606" t="inlineStr">
        <is>
          <t>The Outlook calendar sync duplicates meetings and misses replies. We estimate we lose roughly 10 hours a month on this. We need a fix before renewal.</t>
        </is>
      </c>
      <c r="J606" t="inlineStr">
        <is>
          <t>Negative</t>
        </is>
      </c>
      <c r="K606" t="inlineStr">
        <is>
          <t>High</t>
        </is>
      </c>
      <c r="L606" t="inlineStr">
        <is>
          <t>Blocks Key Task</t>
        </is>
      </c>
    </row>
    <row r="607">
      <c r="A607" t="inlineStr">
        <is>
          <t>FB-00606</t>
        </is>
      </c>
      <c r="B607" t="inlineStr">
        <is>
          <t>CUST-0116</t>
        </is>
      </c>
      <c r="C607" t="inlineStr">
        <is>
          <t>2026-03-14</t>
        </is>
      </c>
      <c r="D607" t="inlineStr">
        <is>
          <t xml:space="preserve"> Customer Survey</t>
        </is>
      </c>
      <c r="E607" t="inlineStr">
        <is>
          <t>Professional</t>
        </is>
      </c>
      <c r="F607" t="inlineStr">
        <is>
          <t>SMB</t>
        </is>
      </c>
      <c r="G607" t="inlineStr">
        <is>
          <t>Workflow Automation</t>
        </is>
      </c>
      <c r="H607" t="inlineStr">
        <is>
          <t>Usability Issue</t>
        </is>
      </c>
      <c r="I607" t="inlineStr">
        <is>
          <t>Not what we expected for the price. I can't tell what a branch does in the automation canvas without opening every node. So far 110 people on our side have reported it.</t>
        </is>
      </c>
      <c r="J607" t="inlineStr">
        <is>
          <t>Negative</t>
        </is>
      </c>
      <c r="K607" t="inlineStr">
        <is>
          <t>Low</t>
        </is>
      </c>
      <c r="L607" t="inlineStr">
        <is>
          <t>Minor Inconvenience</t>
        </is>
      </c>
    </row>
    <row r="608">
      <c r="A608" t="inlineStr">
        <is>
          <t>FB-00607</t>
        </is>
      </c>
      <c r="B608" t="inlineStr">
        <is>
          <t>CUST-0034</t>
        </is>
      </c>
      <c r="C608" t="inlineStr">
        <is>
          <t>2026-03-15</t>
        </is>
      </c>
      <c r="D608" t="inlineStr">
        <is>
          <t>In-App Feedback</t>
        </is>
      </c>
      <c r="E608" t="inlineStr">
        <is>
          <t>Professional</t>
        </is>
      </c>
      <c r="F608" t="inlineStr">
        <is>
          <t>Mid-Market</t>
        </is>
      </c>
      <c r="G608" t="inlineStr">
        <is>
          <t>Integrations</t>
        </is>
      </c>
      <c r="H608" t="inlineStr">
        <is>
          <t>Integration Issue</t>
        </is>
      </c>
      <c r="I608" t="inlineStr">
        <is>
          <t>FYI for the product team. After the token expires, Gmail sync stops with no warning. So far 42 people on our side have reported it.</t>
        </is>
      </c>
      <c r="J608" t="inlineStr">
        <is>
          <t>Neutral</t>
        </is>
      </c>
      <c r="K608" t="inlineStr">
        <is>
          <t>High</t>
        </is>
      </c>
      <c r="L608" t="inlineStr">
        <is>
          <t>Minor Inconvenience</t>
        </is>
      </c>
    </row>
    <row r="609">
      <c r="A609" t="inlineStr">
        <is>
          <t>FB-00608</t>
        </is>
      </c>
      <c r="B609" t="inlineStr">
        <is>
          <t>CUST-0227</t>
        </is>
      </c>
      <c r="C609" t="inlineStr">
        <is>
          <t>2026-03-15</t>
        </is>
      </c>
      <c r="D609" t="inlineStr">
        <is>
          <t>Feature Request</t>
        </is>
      </c>
      <c r="E609" t="inlineStr">
        <is>
          <t>Enterprise</t>
        </is>
      </c>
      <c r="F609" t="inlineStr">
        <is>
          <t>Enterprise</t>
        </is>
      </c>
      <c r="G609" t="inlineStr">
        <is>
          <t>Workflow Automation</t>
        </is>
      </c>
      <c r="H609" t="inlineStr">
        <is>
          <t>Usability Issue</t>
        </is>
      </c>
      <c r="I609" t="inlineStr">
        <is>
          <t>Quick note from our admin. Our new admins struggle with the workflow editor; there is no guidance or validation. So far 38 people on our side have reported it.</t>
        </is>
      </c>
      <c r="J609" t="inlineStr">
        <is>
          <t>Neutral</t>
        </is>
      </c>
      <c r="K609" t="inlineStr">
        <is>
          <t>Medium</t>
        </is>
      </c>
      <c r="L609" t="inlineStr">
        <is>
          <t>Minor Inconvenience</t>
        </is>
      </c>
    </row>
    <row r="610">
      <c r="A610" t="inlineStr">
        <is>
          <t>FB-00609</t>
        </is>
      </c>
      <c r="B610" t="inlineStr">
        <is>
          <t>CUST-0187</t>
        </is>
      </c>
      <c r="C610" t="inlineStr">
        <is>
          <t>2026-03-15</t>
        </is>
      </c>
      <c r="D610" t="inlineStr">
        <is>
          <t>Support Ticket</t>
        </is>
      </c>
      <c r="E610" t="inlineStr">
        <is>
          <t>Enterprise</t>
        </is>
      </c>
      <c r="F610" t="inlineStr">
        <is>
          <t>Mid-Market</t>
        </is>
      </c>
      <c r="G610" t="inlineStr">
        <is>
          <t>Integrations</t>
        </is>
      </c>
      <c r="H610" t="inlineStr">
        <is>
          <t>Integration Issue</t>
        </is>
      </c>
      <c r="I610" t="inlineStr">
        <is>
          <t>Not what we expected for the price. We keep hitting webhook delivery during nightly syncs with our data warehouse. We estimate we lose roughly 27 hours a month on this. We need a fix before renewal.</t>
        </is>
      </c>
      <c r="J610" t="inlineStr">
        <is>
          <t>Negative</t>
        </is>
      </c>
      <c r="K610" t="inlineStr">
        <is>
          <t>High</t>
        </is>
      </c>
      <c r="L610" t="inlineStr">
        <is>
          <t>Blocks Key Task</t>
        </is>
      </c>
    </row>
    <row r="611">
      <c r="A611" t="inlineStr">
        <is>
          <t>FB-00610</t>
        </is>
      </c>
      <c r="B611" t="inlineStr">
        <is>
          <t>CUST-0229</t>
        </is>
      </c>
      <c r="C611" t="inlineStr">
        <is>
          <t>2026-03-15</t>
        </is>
      </c>
      <c r="D611" t="inlineStr">
        <is>
          <t>Customer Survey</t>
        </is>
      </c>
      <c r="E611" t="inlineStr">
        <is>
          <t>Starter</t>
        </is>
      </c>
      <c r="F611" t="inlineStr">
        <is>
          <t>Mid-Market</t>
        </is>
      </c>
      <c r="G611" t="inlineStr">
        <is>
          <t>Contact Management</t>
        </is>
      </c>
      <c r="H611" t="inlineStr">
        <is>
          <t>Performance Issue</t>
        </is>
      </c>
      <c r="I611" t="inlineStr">
        <is>
          <t>Our team keeps running into this. We avoid contact list filtering during calls because it takes too long. So far 45 people on our side have reported it. Please look into it soon.</t>
        </is>
      </c>
      <c r="J611" t="inlineStr">
        <is>
          <t>Negative</t>
        </is>
      </c>
      <c r="K611" t="inlineStr">
        <is>
          <t>Medium</t>
        </is>
      </c>
      <c r="L611" t="inlineStr">
        <is>
          <t>Minor Inconvenience</t>
        </is>
      </c>
    </row>
    <row r="612">
      <c r="A612" t="inlineStr">
        <is>
          <t>FB-00611</t>
        </is>
      </c>
      <c r="B612" t="inlineStr">
        <is>
          <t>CUST-0054</t>
        </is>
      </c>
      <c r="C612" t="inlineStr">
        <is>
          <t>2026-03-15</t>
        </is>
      </c>
      <c r="D612" t="inlineStr">
        <is>
          <t>Support Ticket</t>
        </is>
      </c>
      <c r="E612" t="inlineStr">
        <is>
          <t>Enterprise</t>
        </is>
      </c>
      <c r="F612" t="inlineStr">
        <is>
          <t>Enterprise</t>
        </is>
      </c>
      <c r="G612" t="inlineStr">
        <is>
          <t>Integrations</t>
        </is>
      </c>
      <c r="H612" t="inlineStr">
        <is>
          <t>Integration Issue</t>
        </is>
      </c>
      <c r="I612" t="inlineStr">
        <is>
          <t>Noting this during onboarding. We keep hitting webhook delivery during nightly syncs with our data warehouse.</t>
        </is>
      </c>
      <c r="J612" t="inlineStr">
        <is>
          <t>Neutral</t>
        </is>
      </c>
      <c r="K612" t="inlineStr">
        <is>
          <t>Medium</t>
        </is>
      </c>
      <c r="L612" t="inlineStr">
        <is>
          <t>Minor Inconvenience</t>
        </is>
      </c>
    </row>
    <row r="613">
      <c r="A613" t="inlineStr">
        <is>
          <t>FB-00612</t>
        </is>
      </c>
      <c r="B613" t="inlineStr">
        <is>
          <t>CUST-0293</t>
        </is>
      </c>
      <c r="C613" t="inlineStr">
        <is>
          <t>2026-03-15</t>
        </is>
      </c>
      <c r="D613" t="inlineStr">
        <is>
          <t>Feature Request</t>
        </is>
      </c>
      <c r="E613" t="inlineStr">
        <is>
          <t>Enterprise</t>
        </is>
      </c>
      <c r="F613" t="inlineStr">
        <is>
          <t>Enterprise</t>
        </is>
      </c>
      <c r="G613" t="inlineStr">
        <is>
          <t>Workflow Automation</t>
        </is>
      </c>
      <c r="H613" t="inlineStr">
        <is>
          <t>Feature Request</t>
        </is>
      </c>
      <c r="I613" t="inlineStr">
        <is>
          <t>Happy with most of the product. Requesting approval steps; today approvals happen over chat. We estimate we lose roughly 10 hours a month on this.</t>
        </is>
      </c>
      <c r="J613" t="inlineStr">
        <is>
          <t>Positive</t>
        </is>
      </c>
      <c r="K613" t="inlineStr">
        <is>
          <t>High</t>
        </is>
      </c>
      <c r="L613" t="inlineStr">
        <is>
          <t>Blocks Key Task</t>
        </is>
      </c>
    </row>
    <row r="614">
      <c r="A614" t="inlineStr">
        <is>
          <t>FB-00613</t>
        </is>
      </c>
      <c r="B614" t="inlineStr">
        <is>
          <t>CUST-0054</t>
        </is>
      </c>
      <c r="C614" t="inlineStr">
        <is>
          <t>2026-03-16</t>
        </is>
      </c>
      <c r="D614" t="inlineStr">
        <is>
          <t>Support Ticket</t>
        </is>
      </c>
      <c r="E614" t="inlineStr">
        <is>
          <t>Enterprise</t>
        </is>
      </c>
      <c r="F614" t="inlineStr">
        <is>
          <t>Enterprise</t>
        </is>
      </c>
      <c r="G614" t="inlineStr">
        <is>
          <t>Integrations</t>
        </is>
      </c>
      <c r="H614" t="inlineStr">
        <is>
          <t>Integration Issue</t>
        </is>
      </c>
      <c r="I614" t="inlineStr">
        <is>
          <t>Frustrated with this one. Reps no longer trust Outlook calendar sync, so they log activity by hand. Is there a workaround?</t>
        </is>
      </c>
      <c r="J614" t="inlineStr">
        <is>
          <t>Negative</t>
        </is>
      </c>
      <c r="K614" t="inlineStr">
        <is>
          <t>Medium</t>
        </is>
      </c>
      <c r="L614" t="inlineStr">
        <is>
          <t>Minor Inconvenience</t>
        </is>
      </c>
    </row>
    <row r="615">
      <c r="A615" t="inlineStr">
        <is>
          <t>FB-00614</t>
        </is>
      </c>
      <c r="B615" t="inlineStr">
        <is>
          <t>CUST-0264</t>
        </is>
      </c>
      <c r="C615" t="inlineStr">
        <is>
          <t>2026-03-16</t>
        </is>
      </c>
      <c r="D615" t="inlineStr">
        <is>
          <t>Customer Survey</t>
        </is>
      </c>
      <c r="E615" t="inlineStr">
        <is>
          <t>Professional</t>
        </is>
      </c>
      <c r="F615" t="inlineStr">
        <is>
          <t>Mid-Market</t>
        </is>
      </c>
      <c r="G615" t="inlineStr">
        <is>
          <t>Workflow Automation</t>
        </is>
      </c>
      <c r="H615" t="inlineStr">
        <is>
          <t>Feature Request</t>
        </is>
      </c>
      <c r="I615" t="inlineStr">
        <is>
          <t>Happy with most of the product. We'd adopt automation faster with workflow templates we could customize. Happy to beta test.</t>
        </is>
      </c>
      <c r="J615" t="inlineStr">
        <is>
          <t xml:space="preserve"> Positive</t>
        </is>
      </c>
      <c r="K615" t="inlineStr">
        <is>
          <t>Low</t>
        </is>
      </c>
      <c r="L615" t="inlineStr">
        <is>
          <t>Minor Inconvenience</t>
        </is>
      </c>
    </row>
    <row r="616">
      <c r="A616" t="inlineStr">
        <is>
          <t>FB-00615</t>
        </is>
      </c>
      <c r="B616" t="inlineStr">
        <is>
          <t>CUST-0243</t>
        </is>
      </c>
      <c r="C616" t="inlineStr">
        <is>
          <t>2026-03-16</t>
        </is>
      </c>
      <c r="D616" t="inlineStr">
        <is>
          <t>Support Ticket</t>
        </is>
      </c>
      <c r="E616" t="inlineStr">
        <is>
          <t>Professional</t>
        </is>
      </c>
      <c r="F616" t="inlineStr">
        <is>
          <t>SMB</t>
        </is>
      </c>
      <c r="G616" t="inlineStr">
        <is>
          <t>Lead Management</t>
        </is>
      </c>
      <c r="H616" t="inlineStr">
        <is>
          <t>Performance Issue</t>
        </is>
      </c>
      <c r="I616" t="inlineStr">
        <is>
          <t>Reps have stopped using the board because of pipeline board loading. It affects our quarterly planning process every cycle. Please look into it soon.</t>
        </is>
      </c>
      <c r="J616" t="inlineStr">
        <is>
          <t>Negative</t>
        </is>
      </c>
      <c r="K616" t="inlineStr">
        <is>
          <t>Medium</t>
        </is>
      </c>
      <c r="L616" t="inlineStr">
        <is>
          <t>Workflow Slowdown</t>
        </is>
      </c>
    </row>
    <row r="617">
      <c r="A617" t="inlineStr">
        <is>
          <t>FB-00616</t>
        </is>
      </c>
      <c r="B617" t="inlineStr">
        <is>
          <t>CUST-0010</t>
        </is>
      </c>
      <c r="C617" t="inlineStr">
        <is>
          <t>2026-03-16</t>
        </is>
      </c>
      <c r="D617" t="inlineStr">
        <is>
          <t>In-App Feedback</t>
        </is>
      </c>
      <c r="E617" t="inlineStr">
        <is>
          <t>Professional</t>
        </is>
      </c>
      <c r="F617" t="inlineStr">
        <is>
          <t>SMB</t>
        </is>
      </c>
      <c r="G617" t="inlineStr">
        <is>
          <t>Integrations</t>
        </is>
      </c>
      <c r="H617" t="inlineStr">
        <is>
          <t>Integration Issue</t>
        </is>
      </c>
      <c r="I617" t="inlineStr">
        <is>
          <t>After the token expires, Gmail sync stops with no warning. So far 64 people on our side have reported it. Let us know if you need examples.</t>
        </is>
      </c>
      <c r="J617" t="inlineStr">
        <is>
          <t>Neutral</t>
        </is>
      </c>
      <c r="K617" t="inlineStr">
        <is>
          <t>Low</t>
        </is>
      </c>
      <c r="L617" t="inlineStr">
        <is>
          <t>Workflow Slowdown</t>
        </is>
      </c>
    </row>
    <row r="618">
      <c r="A618" t="inlineStr">
        <is>
          <t>FB-00617</t>
        </is>
      </c>
      <c r="B618" t="inlineStr">
        <is>
          <t>CUST-0117</t>
        </is>
      </c>
      <c r="C618" t="inlineStr">
        <is>
          <t>2026-03-16</t>
        </is>
      </c>
      <c r="D618" t="inlineStr">
        <is>
          <t>Feature Request</t>
        </is>
      </c>
      <c r="E618" t="inlineStr">
        <is>
          <t>Professional</t>
        </is>
      </c>
      <c r="F618" t="inlineStr">
        <is>
          <t>Mid-Market</t>
        </is>
      </c>
      <c r="G618" t="inlineStr">
        <is>
          <t>Reporting</t>
        </is>
      </c>
      <c r="H618" t="inlineStr">
        <is>
          <t>Feature Request</t>
        </is>
      </c>
      <c r="I618" t="inlineStr">
        <is>
          <t>Quick note from our admin. We need scheduled report emails so non-technical managers can create their own views. It happens about 3 times a week for our team of 49.</t>
        </is>
      </c>
      <c r="J618" t="inlineStr">
        <is>
          <t>Neutral</t>
        </is>
      </c>
      <c r="K618" t="inlineStr">
        <is>
          <t>Low</t>
        </is>
      </c>
      <c r="L618" t="inlineStr">
        <is>
          <t>Minor Inconvenience</t>
        </is>
      </c>
    </row>
    <row r="619">
      <c r="A619" t="inlineStr">
        <is>
          <t>FB-00618</t>
        </is>
      </c>
      <c r="B619" t="inlineStr">
        <is>
          <t>CUST-0314</t>
        </is>
      </c>
      <c r="C619" t="inlineStr">
        <is>
          <t>2026-03-17</t>
        </is>
      </c>
      <c r="D619" t="inlineStr">
        <is>
          <t>in-app feedback</t>
        </is>
      </c>
      <c r="E619" t="inlineStr">
        <is>
          <t>Enterprise</t>
        </is>
      </c>
      <c r="F619" t="inlineStr">
        <is>
          <t>Mid-Market</t>
        </is>
      </c>
      <c r="G619" t="inlineStr">
        <is>
          <t>Contact Management</t>
        </is>
      </c>
      <c r="H619" t="inlineStr">
        <is>
          <t>Feature Request</t>
        </is>
      </c>
      <c r="I619" t="inlineStr">
        <is>
          <t>Feedback from our monthly review. Please extend an account hierarchy view; the current limit is too small for our use case. So far 94 people on our side have reported it. Let us know if you need examples.</t>
        </is>
      </c>
      <c r="J619" t="inlineStr">
        <is>
          <t>Neutral</t>
        </is>
      </c>
      <c r="K619" t="inlineStr">
        <is>
          <t>Low</t>
        </is>
      </c>
      <c r="L619" t="inlineStr">
        <is>
          <t>Workflow Slowdown</t>
        </is>
      </c>
    </row>
    <row r="620">
      <c r="A620" t="inlineStr">
        <is>
          <t>FB-00619</t>
        </is>
      </c>
      <c r="B620" t="inlineStr">
        <is>
          <t>CUST-0220</t>
        </is>
      </c>
      <c r="C620" t="inlineStr">
        <is>
          <t>2026-03-17</t>
        </is>
      </c>
      <c r="D620" t="inlineStr">
        <is>
          <t>Support Ticket</t>
        </is>
      </c>
      <c r="E620" t="inlineStr">
        <is>
          <t>Professional</t>
        </is>
      </c>
      <c r="F620" t="inlineStr">
        <is>
          <t>Mid-Market</t>
        </is>
      </c>
      <c r="G620" t="inlineStr">
        <is>
          <t>Lead Management</t>
        </is>
      </c>
      <c r="H620" t="inlineStr">
        <is>
          <t>Bug</t>
        </is>
      </c>
      <c r="I620" t="inlineStr">
        <is>
          <t>Our team keeps running into this. Web form submissions keep creating duplicate lead records, and reps end up calling the same prospect twice. Is there a workaround?</t>
        </is>
      </c>
      <c r="J620" t="inlineStr">
        <is>
          <t>Negative</t>
        </is>
      </c>
      <c r="K620" t="inlineStr">
        <is>
          <t>Medium</t>
        </is>
      </c>
      <c r="L620" t="inlineStr">
        <is>
          <t>Workflow Slowdown</t>
        </is>
      </c>
    </row>
    <row r="621">
      <c r="A621" t="inlineStr">
        <is>
          <t>FB-00620</t>
        </is>
      </c>
      <c r="B621" t="inlineStr">
        <is>
          <t>CUST-0312</t>
        </is>
      </c>
      <c r="C621" t="inlineStr">
        <is>
          <t>2026-03-17</t>
        </is>
      </c>
      <c r="D621" t="inlineStr">
        <is>
          <t>Support Ticket</t>
        </is>
      </c>
      <c r="E621" t="inlineStr">
        <is>
          <t>Professional</t>
        </is>
      </c>
      <c r="F621" t="inlineStr">
        <is>
          <t>Mid-Market</t>
        </is>
      </c>
      <c r="G621" t="inlineStr">
        <is>
          <t>Lead Management</t>
        </is>
      </c>
      <c r="H621" t="inlineStr">
        <is>
          <t>Bug</t>
        </is>
      </c>
      <c r="I621" t="inlineStr">
        <is>
          <t>After every list import we find duplicated leads that have to be cleaned up by hand. It happens about 14 times a week for our team of 55. Please look into it soon.</t>
        </is>
      </c>
      <c r="J621" t="inlineStr">
        <is>
          <t>Negative</t>
        </is>
      </c>
      <c r="K621" t="inlineStr">
        <is>
          <t>Medium</t>
        </is>
      </c>
      <c r="L621" t="inlineStr">
        <is>
          <t>Workflow Slowdown</t>
        </is>
      </c>
    </row>
    <row r="622">
      <c r="A622" t="inlineStr">
        <is>
          <t>FB-00621</t>
        </is>
      </c>
      <c r="B622" t="inlineStr">
        <is>
          <t>CUST-0369</t>
        </is>
      </c>
      <c r="C622" t="inlineStr">
        <is>
          <t>2026-03-18</t>
        </is>
      </c>
      <c r="D622" t="inlineStr">
        <is>
          <t>Customer Survey</t>
        </is>
      </c>
      <c r="E622" t="inlineStr">
        <is>
          <t>Professional</t>
        </is>
      </c>
      <c r="F622" t="inlineStr">
        <is>
          <t>Mid-Market</t>
        </is>
      </c>
      <c r="G622" t="inlineStr">
        <is>
          <t>Contact Management</t>
        </is>
      </c>
      <c r="H622" t="inlineStr">
        <is>
          <t>Feature Request</t>
        </is>
      </c>
      <c r="I622" t="inlineStr">
        <is>
          <t>Contact de-duplication tooling that keeps activity history would save our ops team hours. Our finance analyst flagged it while onboarding 91 new users.</t>
        </is>
      </c>
      <c r="J622" t="inlineStr">
        <is>
          <t>Neutral</t>
        </is>
      </c>
      <c r="K622" t="inlineStr">
        <is>
          <t>Medium</t>
        </is>
      </c>
      <c r="L622" t="inlineStr">
        <is>
          <t>Blocks Key Task</t>
        </is>
      </c>
    </row>
    <row r="623">
      <c r="A623" t="inlineStr">
        <is>
          <t>FB-00622</t>
        </is>
      </c>
      <c r="B623" t="inlineStr">
        <is>
          <t>CUST-0116</t>
        </is>
      </c>
      <c r="C623" t="inlineStr">
        <is>
          <t>2026-03-18</t>
        </is>
      </c>
      <c r="D623" t="inlineStr">
        <is>
          <t>Support Ticket</t>
        </is>
      </c>
      <c r="E623" t="inlineStr">
        <is>
          <t>Professional</t>
        </is>
      </c>
      <c r="F623" t="inlineStr">
        <is>
          <t>SMB</t>
        </is>
      </c>
      <c r="G623" t="inlineStr">
        <is>
          <t>Lead Management</t>
        </is>
      </c>
      <c r="H623" t="inlineStr">
        <is>
          <t>Performance Issue</t>
        </is>
      </c>
      <c r="I623" t="inlineStr">
        <is>
          <t>Raising this again after our last business review. Our pipeline board loading regularly exceeds ten seconds on Monday mornings. It affects our lead handoff process every cycle. We need a fix before renewal.</t>
        </is>
      </c>
      <c r="J623" t="inlineStr">
        <is>
          <t>Negative</t>
        </is>
      </c>
      <c r="K623" t="inlineStr">
        <is>
          <t>Critical</t>
        </is>
      </c>
      <c r="L623" t="inlineStr">
        <is>
          <t>Revenue/Operations Risk</t>
        </is>
      </c>
    </row>
    <row r="624">
      <c r="A624" t="inlineStr">
        <is>
          <t>FB-00623</t>
        </is>
      </c>
      <c r="B624" t="inlineStr">
        <is>
          <t>CUST-0243</t>
        </is>
      </c>
      <c r="C624" t="inlineStr">
        <is>
          <t>2026-03-19</t>
        </is>
      </c>
      <c r="D624" t="inlineStr">
        <is>
          <t>Support Ticket</t>
        </is>
      </c>
      <c r="E624" t="inlineStr">
        <is>
          <t>Professional</t>
        </is>
      </c>
      <c r="F624" t="inlineStr">
        <is>
          <t>SMB</t>
        </is>
      </c>
      <c r="G624" t="inlineStr">
        <is>
          <t>Workflow Automation</t>
        </is>
      </c>
      <c r="H624" t="inlineStr">
        <is>
          <t>Bug</t>
        </is>
      </c>
      <c r="I624" t="inlineStr">
        <is>
          <t>Several workflow failures left deals stuck in the wrong stage.</t>
        </is>
      </c>
      <c r="J624" t="inlineStr">
        <is>
          <t>Neutral</t>
        </is>
      </c>
      <c r="K624" t="inlineStr">
        <is>
          <t>Medium</t>
        </is>
      </c>
      <c r="L624" t="inlineStr">
        <is>
          <t>Revenue/Operations Risk</t>
        </is>
      </c>
    </row>
    <row r="625">
      <c r="A625" t="inlineStr">
        <is>
          <t>FB-00624</t>
        </is>
      </c>
      <c r="B625" t="inlineStr">
        <is>
          <t>CUST-0365</t>
        </is>
      </c>
      <c r="C625" t="inlineStr">
        <is>
          <t>19-Mar-2026</t>
        </is>
      </c>
      <c r="D625" t="inlineStr">
        <is>
          <t>In-App Feedback</t>
        </is>
      </c>
      <c r="E625" t="inlineStr">
        <is>
          <t>Starter</t>
        </is>
      </c>
      <c r="F625" t="inlineStr">
        <is>
          <t>SMB</t>
        </is>
      </c>
      <c r="G625" t="inlineStr">
        <is>
          <t>Workflow Automation</t>
        </is>
      </c>
      <c r="H625" t="inlineStr">
        <is>
          <t>Usability Issue</t>
        </is>
      </c>
      <c r="I625" t="inlineStr">
        <is>
          <t>FYI for the product team. I can't tell what a branch does in the workflow editor without opening every node. Let us know if you need examples.</t>
        </is>
      </c>
      <c r="J625" t="inlineStr">
        <is>
          <t>Neutral</t>
        </is>
      </c>
      <c r="K625" t="inlineStr">
        <is>
          <t>Medium</t>
        </is>
      </c>
      <c r="L625" t="inlineStr">
        <is>
          <t>Minor Inconvenience</t>
        </is>
      </c>
    </row>
    <row r="626">
      <c r="A626" t="inlineStr">
        <is>
          <t>FB-00625</t>
        </is>
      </c>
      <c r="B626" t="inlineStr">
        <is>
          <t>CUST-0176</t>
        </is>
      </c>
      <c r="C626" t="inlineStr">
        <is>
          <t>2026-03-19</t>
        </is>
      </c>
      <c r="D626" t="inlineStr">
        <is>
          <t xml:space="preserve">Support Ticket </t>
        </is>
      </c>
      <c r="E626" t="inlineStr">
        <is>
          <t>Starter</t>
        </is>
      </c>
      <c r="F626" t="inlineStr">
        <is>
          <t>SMB</t>
        </is>
      </c>
      <c r="G626" t="inlineStr">
        <is>
          <t>Contact Management</t>
        </is>
      </c>
      <c r="H626" t="inlineStr">
        <is>
          <t>Bug</t>
        </is>
      </c>
      <c r="I626" t="inlineStr">
        <is>
          <t>The spreadsheet import rejects files with accented characters in names. So far 47 people on our side have reported it. Is there a workaround?</t>
        </is>
      </c>
      <c r="J626" t="inlineStr">
        <is>
          <t>Negative</t>
        </is>
      </c>
      <c r="K626" t="inlineStr">
        <is>
          <t>Low</t>
        </is>
      </c>
      <c r="L626" t="inlineStr">
        <is>
          <t>Minor Inconvenience</t>
        </is>
      </c>
    </row>
    <row r="627">
      <c r="A627" t="inlineStr">
        <is>
          <t>FB-00626</t>
        </is>
      </c>
      <c r="B627" t="inlineStr">
        <is>
          <t>CUST-0365</t>
        </is>
      </c>
      <c r="C627" t="inlineStr">
        <is>
          <t>2026-03-19</t>
        </is>
      </c>
      <c r="D627" t="inlineStr">
        <is>
          <t>In-App Feedback</t>
        </is>
      </c>
      <c r="E627" t="inlineStr">
        <is>
          <t>Starter</t>
        </is>
      </c>
      <c r="F627" t="inlineStr">
        <is>
          <t>SMB</t>
        </is>
      </c>
      <c r="G627" t="inlineStr">
        <is>
          <t>User Interface</t>
        </is>
      </c>
      <c r="H627" t="inlineStr">
        <is>
          <t>Usability Issue</t>
        </is>
      </c>
      <c r="I627" t="inlineStr">
        <is>
          <t>Escalating on behalf of our ops lead. New hires get lost in the page layout; it takes weeks to learn. It happens about 36 times a week for our team of 28. We need a fix before renewal.</t>
        </is>
      </c>
      <c r="J627" t="inlineStr">
        <is>
          <t>Negative</t>
        </is>
      </c>
      <c r="K627" t="inlineStr">
        <is>
          <t>Low</t>
        </is>
      </c>
      <c r="L627" t="inlineStr">
        <is>
          <t>Workflow Slowdown</t>
        </is>
      </c>
    </row>
    <row r="628">
      <c r="A628" t="inlineStr">
        <is>
          <t>FB-00627</t>
        </is>
      </c>
      <c r="B628" t="inlineStr">
        <is>
          <t>CUST-0140</t>
        </is>
      </c>
      <c r="C628" t="inlineStr">
        <is>
          <t>2026-03-19</t>
        </is>
      </c>
      <c r="D628" t="inlineStr">
        <is>
          <t>Support Ticket</t>
        </is>
      </c>
      <c r="E628" t="inlineStr">
        <is>
          <t>Professional</t>
        </is>
      </c>
      <c r="F628" t="inlineStr">
        <is>
          <t>Mid-Market</t>
        </is>
      </c>
      <c r="G628" t="inlineStr">
        <is>
          <t>Integrations</t>
        </is>
      </c>
      <c r="H628" t="inlineStr">
        <is>
          <t>Integration Issue</t>
        </is>
      </c>
      <c r="I628" t="inlineStr">
        <is>
          <t>Our team keeps running into this. The Gmail sync duplicates meetings and misses replies. Is there a workaround?</t>
        </is>
      </c>
      <c r="J628" t="inlineStr">
        <is>
          <t>Negative</t>
        </is>
      </c>
      <c r="K628" t="inlineStr">
        <is>
          <t>Medium</t>
        </is>
      </c>
      <c r="L628" t="inlineStr">
        <is>
          <t>Blocks Key Task</t>
        </is>
      </c>
    </row>
    <row r="629">
      <c r="A629" t="inlineStr">
        <is>
          <t>FB-00628</t>
        </is>
      </c>
      <c r="B629" t="inlineStr">
        <is>
          <t>CUST-0010</t>
        </is>
      </c>
      <c r="C629" t="inlineStr">
        <is>
          <t>2026-03-19</t>
        </is>
      </c>
      <c r="D629" t="inlineStr">
        <is>
          <t>In-App Feedback</t>
        </is>
      </c>
      <c r="E629" t="inlineStr">
        <is>
          <t>Professional</t>
        </is>
      </c>
      <c r="F629" t="inlineStr">
        <is>
          <t>SMB</t>
        </is>
      </c>
      <c r="G629" t="inlineStr">
        <is>
          <t>Reporting</t>
        </is>
      </c>
      <c r="H629" t="inlineStr">
        <is>
          <t>Performance Issue</t>
        </is>
      </c>
      <c r="I629" t="inlineStr">
        <is>
          <t>Frustrated with this one. Report load time got noticeably worse over the last few months. Our RevOps lead flagged it while onboarding 97 new users.</t>
        </is>
      </c>
      <c r="J629" t="inlineStr">
        <is>
          <t>Negative</t>
        </is>
      </c>
      <c r="K629" t="inlineStr">
        <is>
          <t>Medium</t>
        </is>
      </c>
      <c r="L629" t="inlineStr">
        <is>
          <t>Workflow Slowdown</t>
        </is>
      </c>
    </row>
    <row r="630">
      <c r="A630" t="inlineStr">
        <is>
          <t>FB-00629</t>
        </is>
      </c>
      <c r="B630" t="inlineStr">
        <is>
          <t>CUST-0352</t>
        </is>
      </c>
      <c r="C630" t="inlineStr">
        <is>
          <t>2026-03-19</t>
        </is>
      </c>
      <c r="D630" t="inlineStr">
        <is>
          <t>Customer Survey</t>
        </is>
      </c>
      <c r="E630" t="inlineStr">
        <is>
          <t>Starter</t>
        </is>
      </c>
      <c r="F630" t="inlineStr">
        <is>
          <t>SMB</t>
        </is>
      </c>
      <c r="G630" t="inlineStr">
        <is>
          <t>Workflow Automation</t>
        </is>
      </c>
      <c r="H630" t="inlineStr">
        <is>
          <t>Usability Issue</t>
        </is>
      </c>
      <c r="I630" t="inlineStr">
        <is>
          <t>Our team keeps running into this. Our new admins struggle with the workflow builder; there is no guidance or validation. So far 56 people on our side have reported it.</t>
        </is>
      </c>
      <c r="J630" t="inlineStr">
        <is>
          <t>Negative</t>
        </is>
      </c>
      <c r="K630" t="inlineStr">
        <is>
          <t>Medium</t>
        </is>
      </c>
      <c r="L630" t="inlineStr">
        <is>
          <t>Workflow Slowdown</t>
        </is>
      </c>
    </row>
    <row r="631">
      <c r="A631" t="inlineStr">
        <is>
          <t>FB-00630</t>
        </is>
      </c>
      <c r="B631" t="inlineStr">
        <is>
          <t>CUST-0334</t>
        </is>
      </c>
      <c r="C631" t="inlineStr">
        <is>
          <t>2026-03-19</t>
        </is>
      </c>
      <c r="D631" t="inlineStr">
        <is>
          <t>Customer Survey</t>
        </is>
      </c>
      <c r="E631" t="inlineStr">
        <is>
          <t>Enterprise</t>
        </is>
      </c>
      <c r="F631" t="inlineStr">
        <is>
          <t>SMB</t>
        </is>
      </c>
      <c r="G631" t="inlineStr">
        <is>
          <t>Workflow Automation</t>
        </is>
      </c>
      <c r="H631" t="inlineStr">
        <is>
          <t>Feature Request</t>
        </is>
      </c>
      <c r="I631" t="inlineStr">
        <is>
          <t>Adding a discount approval flow is a blocker for our finance team. It happens about 12 times a week for our team of 47. Let us know if you need examples.</t>
        </is>
      </c>
      <c r="J631" t="inlineStr">
        <is>
          <t>Neutral</t>
        </is>
      </c>
      <c r="K631" t="inlineStr">
        <is>
          <t>High</t>
        </is>
      </c>
      <c r="L631" t="inlineStr">
        <is>
          <t>Workflow Slowdown</t>
        </is>
      </c>
    </row>
    <row r="632">
      <c r="A632" t="inlineStr">
        <is>
          <t>FB-00631</t>
        </is>
      </c>
      <c r="B632" t="inlineStr">
        <is>
          <t>CUST-0063</t>
        </is>
      </c>
      <c r="C632" t="inlineStr">
        <is>
          <t>2026-03-19</t>
        </is>
      </c>
      <c r="D632" t="inlineStr">
        <is>
          <t>In-App Feedback</t>
        </is>
      </c>
      <c r="E632" t="inlineStr">
        <is>
          <t>Starter</t>
        </is>
      </c>
      <c r="F632" t="inlineStr">
        <is>
          <t>SMB</t>
        </is>
      </c>
      <c r="G632" t="inlineStr">
        <is>
          <t>Contact Management</t>
        </is>
      </c>
      <c r="H632" t="inlineStr">
        <is>
          <t>Feature Request</t>
        </is>
      </c>
      <c r="I632" t="inlineStr">
        <is>
          <t>A tool to merge duplicate contacts that keeps activity history would save our ops team hours. Our RevOps lead flagged it while onboarding 106 new users. Happy to join a feedback call.</t>
        </is>
      </c>
      <c r="J632" t="inlineStr">
        <is>
          <t>Neutral</t>
        </is>
      </c>
      <c r="K632" t="inlineStr">
        <is>
          <t>Low</t>
        </is>
      </c>
      <c r="L632" t="inlineStr">
        <is>
          <t>Minor Inconvenience</t>
        </is>
      </c>
    </row>
    <row r="633">
      <c r="A633" t="inlineStr">
        <is>
          <t>FB-00632</t>
        </is>
      </c>
      <c r="B633" t="inlineStr">
        <is>
          <t>CUST-0325</t>
        </is>
      </c>
      <c r="C633" t="inlineStr">
        <is>
          <t>2026-03-20</t>
        </is>
      </c>
      <c r="D633" t="inlineStr">
        <is>
          <t>Feature Request</t>
        </is>
      </c>
      <c r="E633" t="inlineStr">
        <is>
          <t>Starter</t>
        </is>
      </c>
      <c r="F633" t="inlineStr">
        <is>
          <t>SMB</t>
        </is>
      </c>
      <c r="G633" t="inlineStr">
        <is>
          <t>User Interface</t>
        </is>
      </c>
      <c r="H633" t="inlineStr">
        <is>
          <t>Feature Request</t>
        </is>
      </c>
      <c r="I633" t="inlineStr">
        <is>
          <t>We lose notes whenever reps are away from a desk without a mobile app. So far 30 people on our side have reported it.</t>
        </is>
      </c>
      <c r="J633" t="inlineStr">
        <is>
          <t>Positive</t>
        </is>
      </c>
      <c r="K633" t="inlineStr">
        <is>
          <t>Low</t>
        </is>
      </c>
      <c r="L633" t="inlineStr">
        <is>
          <t>Workflow Slowdown</t>
        </is>
      </c>
    </row>
    <row r="634">
      <c r="A634" t="inlineStr">
        <is>
          <t>FB-00633</t>
        </is>
      </c>
      <c r="B634" t="inlineStr">
        <is>
          <t>CUST-0254</t>
        </is>
      </c>
      <c r="C634" t="inlineStr">
        <is>
          <t>2026-03-20</t>
        </is>
      </c>
      <c r="D634" t="inlineStr">
        <is>
          <t>Feature Request</t>
        </is>
      </c>
      <c r="E634" t="inlineStr">
        <is>
          <t>Professional</t>
        </is>
      </c>
      <c r="F634" t="inlineStr">
        <is>
          <t>SMB</t>
        </is>
      </c>
      <c r="G634" t="inlineStr">
        <is>
          <t>Reporting</t>
        </is>
      </c>
      <c r="H634" t="inlineStr">
        <is>
          <t>Feature Request</t>
        </is>
      </c>
      <c r="I634" t="inlineStr">
        <is>
          <t>Recent updates have been a nice improvement. Requesting a custom report builder so leadership gets numbers without logging in. It happens about 25 times a week for our team of 41.</t>
        </is>
      </c>
      <c r="J634" t="inlineStr">
        <is>
          <t>Positive</t>
        </is>
      </c>
      <c r="K634" t="inlineStr">
        <is>
          <t>Medium</t>
        </is>
      </c>
      <c r="L634" t="inlineStr">
        <is>
          <t>Workflow Slowdown</t>
        </is>
      </c>
    </row>
    <row r="635">
      <c r="A635" t="inlineStr">
        <is>
          <t>FB-00634</t>
        </is>
      </c>
      <c r="B635" t="inlineStr">
        <is>
          <t>CUST-0385</t>
        </is>
      </c>
      <c r="C635" t="inlineStr">
        <is>
          <t>2026-03-20</t>
        </is>
      </c>
      <c r="D635" t="inlineStr">
        <is>
          <t>Feature Request</t>
        </is>
      </c>
      <c r="E635" t="inlineStr">
        <is>
          <t>Starter</t>
        </is>
      </c>
      <c r="F635" t="inlineStr">
        <is>
          <t>SMB</t>
        </is>
      </c>
      <c r="G635" t="inlineStr">
        <is>
          <t>Workflow Automation</t>
        </is>
      </c>
      <c r="H635" t="inlineStr">
        <is>
          <t>Feature Request</t>
        </is>
      </c>
      <c r="I635" t="inlineStr">
        <is>
          <t>Overall we like the product. Please provide prebuilt automations for common processes like onboarding and renewals. Our finance analyst flagged it while onboarding 79 new users. Keep up the good work.</t>
        </is>
      </c>
      <c r="J635" t="inlineStr">
        <is>
          <t>Positive</t>
        </is>
      </c>
      <c r="K635" t="inlineStr">
        <is>
          <t>Low</t>
        </is>
      </c>
      <c r="L635" t="inlineStr">
        <is>
          <t>Minor Inconvenience</t>
        </is>
      </c>
    </row>
    <row r="636">
      <c r="A636" t="inlineStr">
        <is>
          <t>FB-00635</t>
        </is>
      </c>
      <c r="B636" t="inlineStr">
        <is>
          <t>CUST-0322</t>
        </is>
      </c>
      <c r="C636" t="inlineStr">
        <is>
          <t>2026-03-21</t>
        </is>
      </c>
      <c r="D636" t="inlineStr">
        <is>
          <t>In-App Feedback</t>
        </is>
      </c>
      <c r="E636" t="inlineStr">
        <is>
          <t>Starter</t>
        </is>
      </c>
      <c r="F636" t="inlineStr">
        <is>
          <t>SMB</t>
        </is>
      </c>
      <c r="G636" t="inlineStr">
        <is>
          <t>Lead Management</t>
        </is>
      </c>
      <c r="H636" t="inlineStr">
        <is>
          <t>Feature Request</t>
        </is>
      </c>
      <c r="I636" t="inlineStr">
        <is>
          <t>Would love to see automated lead scoring that marketing and sales can both tune. We estimate we lose roughly 32 hours a month on this. Happy to join a feedback call.</t>
        </is>
      </c>
      <c r="J636" t="inlineStr">
        <is>
          <t>Neutral</t>
        </is>
      </c>
      <c r="K636" t="inlineStr">
        <is>
          <t>Low</t>
        </is>
      </c>
      <c r="L636" t="inlineStr">
        <is>
          <t>Minor Inconvenience</t>
        </is>
      </c>
    </row>
    <row r="637">
      <c r="A637" t="inlineStr">
        <is>
          <t>FB-00636</t>
        </is>
      </c>
      <c r="B637" t="inlineStr">
        <is>
          <t>CUST-0196</t>
        </is>
      </c>
      <c r="C637" t="inlineStr">
        <is>
          <t>2026-03-21</t>
        </is>
      </c>
      <c r="D637" t="inlineStr">
        <is>
          <t>In-App Feedback</t>
        </is>
      </c>
      <c r="E637" t="inlineStr">
        <is>
          <t>Enterprise</t>
        </is>
      </c>
      <c r="F637" t="inlineStr">
        <is>
          <t>Enterprise</t>
        </is>
      </c>
      <c r="G637" t="inlineStr">
        <is>
          <t>Reporting</t>
        </is>
      </c>
      <c r="H637" t="inlineStr">
        <is>
          <t>Feature Request</t>
        </is>
      </c>
      <c r="I637" t="inlineStr">
        <is>
          <t>Please add report scheduling; today an analyst rebuilds the same report every week. Our RevOps lead flagged it while onboarding 84 new users. Happy to beta test.</t>
        </is>
      </c>
      <c r="J637" t="inlineStr">
        <is>
          <t>Positive</t>
        </is>
      </c>
      <c r="K637" t="inlineStr">
        <is>
          <t>Medium</t>
        </is>
      </c>
      <c r="L637" t="inlineStr">
        <is>
          <t>Minor Inconvenience</t>
        </is>
      </c>
    </row>
    <row r="638">
      <c r="A638" t="inlineStr">
        <is>
          <t>FB-00637</t>
        </is>
      </c>
      <c r="B638" t="inlineStr">
        <is>
          <t>CUST-0394</t>
        </is>
      </c>
      <c r="C638" t="inlineStr">
        <is>
          <t>2026-03-21</t>
        </is>
      </c>
      <c r="D638" t="inlineStr">
        <is>
          <t>Feature Request</t>
        </is>
      </c>
      <c r="E638" t="inlineStr">
        <is>
          <t>Enterprise</t>
        </is>
      </c>
      <c r="F638" t="inlineStr">
        <is>
          <t>Enterprise</t>
        </is>
      </c>
      <c r="G638" t="inlineStr">
        <is>
          <t>Contact Management</t>
        </is>
      </c>
      <c r="H638" t="inlineStr">
        <is>
          <t>Feature Request</t>
        </is>
      </c>
      <c r="I638" t="inlineStr">
        <is>
          <t>Recent updates have been a nice improvement. We need a contact relationship hierarchy to reflect parent companies and subsidiaries. Our marketing ops owner flagged it while onboarding 58 new users. Thanks to the team.</t>
        </is>
      </c>
      <c r="J638" t="inlineStr">
        <is>
          <t>Positive</t>
        </is>
      </c>
      <c r="K638" t="inlineStr">
        <is>
          <t>Low</t>
        </is>
      </c>
      <c r="L638" t="inlineStr">
        <is>
          <t>Minor Inconvenience</t>
        </is>
      </c>
    </row>
    <row r="639">
      <c r="A639" t="inlineStr">
        <is>
          <t>FB-00638</t>
        </is>
      </c>
      <c r="B639" t="inlineStr">
        <is>
          <t>CUST-0032</t>
        </is>
      </c>
      <c r="C639" t="inlineStr">
        <is>
          <t>2026-03-21</t>
        </is>
      </c>
      <c r="D639" t="inlineStr">
        <is>
          <t>Support Ticket</t>
        </is>
      </c>
      <c r="E639" t="inlineStr">
        <is>
          <t>Starter</t>
        </is>
      </c>
      <c r="F639" t="inlineStr">
        <is>
          <t>SMB</t>
        </is>
      </c>
      <c r="G639" t="inlineStr">
        <is>
          <t>User Interface</t>
        </is>
      </c>
      <c r="H639" t="inlineStr">
        <is>
          <t>Performance Issue</t>
        </is>
      </c>
      <c r="I639" t="inlineStr">
        <is>
          <t>Since the redesign there is more slow page transitions on older laptops. It happens about 10 times a week for our team of 94. We need a fix before renewal.</t>
        </is>
      </c>
      <c r="J639" t="inlineStr">
        <is>
          <t>Negative</t>
        </is>
      </c>
      <c r="K639" t="inlineStr">
        <is>
          <t>Critical</t>
        </is>
      </c>
      <c r="L639" t="inlineStr">
        <is>
          <t>Revenue/Operations Risk</t>
        </is>
      </c>
    </row>
    <row r="640">
      <c r="A640" t="inlineStr">
        <is>
          <t>FB-00639</t>
        </is>
      </c>
      <c r="B640" t="inlineStr">
        <is>
          <t>CUST-0234</t>
        </is>
      </c>
      <c r="C640" t="inlineStr">
        <is>
          <t>2026-03-21</t>
        </is>
      </c>
      <c r="D640" t="inlineStr">
        <is>
          <t>Feature Request</t>
        </is>
      </c>
      <c r="E640" t="inlineStr">
        <is>
          <t>Enterprise</t>
        </is>
      </c>
      <c r="F640" t="inlineStr">
        <is>
          <t>SMB</t>
        </is>
      </c>
      <c r="G640" t="inlineStr">
        <is>
          <t>Lead Management</t>
        </is>
      </c>
      <c r="H640" t="inlineStr">
        <is>
          <t>Feature Request</t>
        </is>
      </c>
      <c r="I640" t="inlineStr">
        <is>
          <t>Please add automated lead scoring based on engagement, company size and recent activity. It affects our month-end reporting process every cycle. Thanks to the team.</t>
        </is>
      </c>
      <c r="J640" t="inlineStr">
        <is>
          <t>Positive</t>
        </is>
      </c>
      <c r="K640" t="inlineStr">
        <is>
          <t>Low</t>
        </is>
      </c>
      <c r="L640" t="inlineStr">
        <is>
          <t>Minor Inconvenience</t>
        </is>
      </c>
    </row>
    <row r="641">
      <c r="A641" t="inlineStr">
        <is>
          <t>FB-00640</t>
        </is>
      </c>
      <c r="B641" t="inlineStr">
        <is>
          <t>CUST-0229</t>
        </is>
      </c>
      <c r="C641" t="inlineStr">
        <is>
          <t>2026-03-22</t>
        </is>
      </c>
      <c r="D641" t="inlineStr">
        <is>
          <t>Customer Survey</t>
        </is>
      </c>
      <c r="E641" t="inlineStr">
        <is>
          <t>Starter</t>
        </is>
      </c>
      <c r="F641" t="inlineStr">
        <is>
          <t>Mid-Market</t>
        </is>
      </c>
      <c r="G641" t="inlineStr">
        <is>
          <t>Contact Management</t>
        </is>
      </c>
      <c r="H641" t="inlineStr">
        <is>
          <t>Feature Request</t>
        </is>
      </c>
      <c r="I641" t="inlineStr">
        <is>
          <t>Sharing this from our team. Please extend custom contact fields; the current limit is too small for our use case. Our customer success lead flagged it while onboarding 21 new users. Let us know if you need examples.</t>
        </is>
      </c>
      <c r="J641" t="inlineStr">
        <is>
          <t>Neutral</t>
        </is>
      </c>
      <c r="K641" t="inlineStr">
        <is>
          <t>High</t>
        </is>
      </c>
      <c r="L641" t="inlineStr">
        <is>
          <t>Blocks Key Task</t>
        </is>
      </c>
    </row>
    <row r="642">
      <c r="A642" t="inlineStr">
        <is>
          <t>FB-00641</t>
        </is>
      </c>
      <c r="B642" t="inlineStr">
        <is>
          <t>CUST-0008</t>
        </is>
      </c>
      <c r="C642" t="inlineStr">
        <is>
          <t>2026-03-22</t>
        </is>
      </c>
      <c r="D642" t="inlineStr">
        <is>
          <t>Support Ticket</t>
        </is>
      </c>
      <c r="E642" t="inlineStr">
        <is>
          <t>Professional</t>
        </is>
      </c>
      <c r="F642" t="inlineStr">
        <is>
          <t>Mid-Market</t>
        </is>
      </c>
      <c r="G642" t="inlineStr">
        <is>
          <t>Contact Management</t>
        </is>
      </c>
      <c r="H642" t="inlineStr">
        <is>
          <t>Performance Issue</t>
        </is>
      </c>
      <c r="I642" t="inlineStr">
        <is>
          <t>Raising this again after our last business review. The contact list filtering times out on our largest accounts. We estimate we lose roughly 49 hours a month on this. Support suggested logging it here.</t>
        </is>
      </c>
      <c r="J642" t="inlineStr">
        <is>
          <t>Negative</t>
        </is>
      </c>
      <c r="K642" t="inlineStr">
        <is>
          <t>Medium</t>
        </is>
      </c>
      <c r="L642" t="inlineStr">
        <is>
          <t>Workflow Slowdown</t>
        </is>
      </c>
    </row>
    <row r="643">
      <c r="A643" t="inlineStr">
        <is>
          <t>FB-00642</t>
        </is>
      </c>
      <c r="B643" t="inlineStr">
        <is>
          <t>CUST-0100</t>
        </is>
      </c>
      <c r="C643" t="inlineStr">
        <is>
          <t>2026-03-22</t>
        </is>
      </c>
      <c r="D643" t="inlineStr">
        <is>
          <t>In-App Feedback</t>
        </is>
      </c>
      <c r="E643" t="inlineStr">
        <is>
          <t>Professional</t>
        </is>
      </c>
      <c r="F643" t="inlineStr">
        <is>
          <t>Mid-Market</t>
        </is>
      </c>
      <c r="G643" t="inlineStr">
        <is>
          <t>User Interface</t>
        </is>
      </c>
      <c r="H643" t="inlineStr">
        <is>
          <t>Performance Issue</t>
        </is>
      </c>
      <c r="I643" t="inlineStr">
        <is>
          <t>Page lag makes data entry frustrating during live calls.</t>
        </is>
      </c>
      <c r="J643" t="inlineStr">
        <is>
          <t>Neutral</t>
        </is>
      </c>
      <c r="K643" t="inlineStr">
        <is>
          <t>Medium</t>
        </is>
      </c>
      <c r="L643" t="inlineStr">
        <is>
          <t>Minor Inconvenience</t>
        </is>
      </c>
    </row>
    <row r="644">
      <c r="A644" t="inlineStr">
        <is>
          <t>FB-00643</t>
        </is>
      </c>
      <c r="B644" t="inlineStr">
        <is>
          <t>CUST-0252</t>
        </is>
      </c>
      <c r="C644" t="inlineStr">
        <is>
          <t>2026-03-22</t>
        </is>
      </c>
      <c r="D644" t="inlineStr">
        <is>
          <t>Support Ticket</t>
        </is>
      </c>
      <c r="E644" t="inlineStr">
        <is>
          <t>Starter</t>
        </is>
      </c>
      <c r="F644" t="inlineStr">
        <is>
          <t>SMB</t>
        </is>
      </c>
      <c r="G644" t="inlineStr">
        <is>
          <t>Lead Management</t>
        </is>
      </c>
      <c r="H644" t="inlineStr">
        <is>
          <t>Bug</t>
        </is>
      </c>
      <c r="I644" t="inlineStr">
        <is>
          <t>Happy with most of the product. Web form submissions keep creating lead de-duplication failures, and reps end up calling the same prospect twice. Thanks to the team.</t>
        </is>
      </c>
      <c r="J644" t="inlineStr">
        <is>
          <t>Positive</t>
        </is>
      </c>
      <c r="K644" t="inlineStr">
        <is>
          <t>Low</t>
        </is>
      </c>
      <c r="L644" t="inlineStr">
        <is>
          <t>Minor Inconvenience</t>
        </is>
      </c>
    </row>
    <row r="645">
      <c r="A645" t="inlineStr">
        <is>
          <t>FB-00644</t>
        </is>
      </c>
      <c r="B645" t="inlineStr">
        <is>
          <t>CUST-0381</t>
        </is>
      </c>
      <c r="C645" t="inlineStr">
        <is>
          <t>2026-03-22</t>
        </is>
      </c>
      <c r="D645" t="inlineStr">
        <is>
          <t>Support Ticket</t>
        </is>
      </c>
      <c r="E645" t="inlineStr">
        <is>
          <t>Professional</t>
        </is>
      </c>
      <c r="F645" t="inlineStr">
        <is>
          <t>Mid-Market</t>
        </is>
      </c>
      <c r="G645" t="inlineStr">
        <is>
          <t>Integrations</t>
        </is>
      </c>
      <c r="H645" t="inlineStr">
        <is>
          <t>Feature Request</t>
        </is>
      </c>
      <c r="I645" t="inlineStr">
        <is>
          <t>Frustrated with this one. Lack of a native Slack integration is a gap versus other CRMs we evaluated. Our finance analyst flagged it while onboarding 81 new users. Support suggested logging it here.</t>
        </is>
      </c>
      <c r="J645" t="inlineStr">
        <is>
          <t>Negative</t>
        </is>
      </c>
      <c r="K645" t="inlineStr">
        <is>
          <t>Medium</t>
        </is>
      </c>
      <c r="L645" t="inlineStr">
        <is>
          <t>Minor Inconvenience</t>
        </is>
      </c>
    </row>
    <row r="646">
      <c r="A646" t="inlineStr">
        <is>
          <t>FB-00645</t>
        </is>
      </c>
      <c r="B646" t="inlineStr">
        <is>
          <t>CUST-0360</t>
        </is>
      </c>
      <c r="C646" t="inlineStr">
        <is>
          <t>2026-03-22</t>
        </is>
      </c>
      <c r="D646" t="inlineStr">
        <is>
          <t>Feature Request</t>
        </is>
      </c>
      <c r="E646" t="inlineStr">
        <is>
          <t>Enterprise</t>
        </is>
      </c>
      <c r="F646" t="inlineStr">
        <is>
          <t>Enterprise</t>
        </is>
      </c>
      <c r="G646" t="inlineStr">
        <is>
          <t>Contact Management</t>
        </is>
      </c>
      <c r="H646" t="inlineStr">
        <is>
          <t>Feature Request</t>
        </is>
      </c>
      <c r="I646" t="inlineStr">
        <is>
          <t>Quick note from our admin. Please build a bulk contact merge with a preview of what will be combined. Let us know if you need examples.</t>
        </is>
      </c>
      <c r="J646" t="inlineStr">
        <is>
          <t>Neutral</t>
        </is>
      </c>
      <c r="K646" t="inlineStr">
        <is>
          <t>Medium</t>
        </is>
      </c>
      <c r="L646" t="inlineStr">
        <is>
          <t>Blocks Key Task</t>
        </is>
      </c>
    </row>
    <row r="647">
      <c r="A647" t="inlineStr">
        <is>
          <t>FB-00646</t>
        </is>
      </c>
      <c r="B647" t="inlineStr">
        <is>
          <t>CUST-0145</t>
        </is>
      </c>
      <c r="C647" t="inlineStr">
        <is>
          <t>2026-03-23</t>
        </is>
      </c>
      <c r="D647" t="inlineStr">
        <is>
          <t>Feature Request</t>
        </is>
      </c>
      <c r="E647" t="inlineStr">
        <is>
          <t>Professional</t>
        </is>
      </c>
      <c r="F647" t="inlineStr">
        <is>
          <t>SMB</t>
        </is>
      </c>
      <c r="G647" t="inlineStr">
        <is>
          <t>Contact Management</t>
        </is>
      </c>
      <c r="H647" t="inlineStr">
        <is>
          <t>Feature Request</t>
        </is>
      </c>
      <c r="I647" t="inlineStr">
        <is>
          <t>Please build contact de-duplication tooling with a preview of what will be combined. Our RevOps lead flagged it while onboarding 118 new users. Let us know if you need examples.</t>
        </is>
      </c>
      <c r="J647" t="inlineStr">
        <is>
          <t>Neutral</t>
        </is>
      </c>
      <c r="K647" t="inlineStr">
        <is>
          <t>Low</t>
        </is>
      </c>
      <c r="L647" t="inlineStr">
        <is>
          <t>Workflow Slowdown</t>
        </is>
      </c>
    </row>
    <row r="648">
      <c r="A648" t="inlineStr">
        <is>
          <t>FB-00647</t>
        </is>
      </c>
      <c r="B648" t="inlineStr">
        <is>
          <t>CUST-0075</t>
        </is>
      </c>
      <c r="C648" t="inlineStr">
        <is>
          <t>2026-03-23</t>
        </is>
      </c>
      <c r="D648" t="inlineStr">
        <is>
          <t>Customer Survey</t>
        </is>
      </c>
      <c r="E648" t="inlineStr">
        <is>
          <t>Professional</t>
        </is>
      </c>
      <c r="F648" t="inlineStr">
        <is>
          <t>Enterprise</t>
        </is>
      </c>
      <c r="G648" t="inlineStr">
        <is>
          <t>Integrations</t>
        </is>
      </c>
      <c r="H648" t="inlineStr">
        <is>
          <t>Feature Request</t>
        </is>
      </c>
      <c r="I648" t="inlineStr">
        <is>
          <t>We would pay for a native accounting integration instead of maintaining Zapier chains. It happens about 23 times a week for our team of 54. Happy to join a feedback call.</t>
        </is>
      </c>
      <c r="J648" t="inlineStr">
        <is>
          <t>Neutral</t>
        </is>
      </c>
      <c r="K648" t="inlineStr">
        <is>
          <t>Low</t>
        </is>
      </c>
      <c r="L648" t="inlineStr">
        <is>
          <t>Workflow Slowdown</t>
        </is>
      </c>
    </row>
    <row r="649">
      <c r="A649" t="inlineStr">
        <is>
          <t>FB-00648</t>
        </is>
      </c>
      <c r="B649" t="inlineStr">
        <is>
          <t>CUST-0069</t>
        </is>
      </c>
      <c r="C649" t="inlineStr">
        <is>
          <t>2026-03-23</t>
        </is>
      </c>
      <c r="D649" t="inlineStr">
        <is>
          <t>Feature Request</t>
        </is>
      </c>
      <c r="E649" t="inlineStr">
        <is>
          <t>Starter</t>
        </is>
      </c>
      <c r="F649" t="inlineStr">
        <is>
          <t>Mid-Market</t>
        </is>
      </c>
      <c r="G649" t="inlineStr">
        <is>
          <t>Lead Management</t>
        </is>
      </c>
      <c r="H649" t="inlineStr">
        <is>
          <t>Usability Issue</t>
        </is>
      </c>
      <c r="I649" t="inlineStr">
        <is>
          <t>Our team keeps running into this. Setting up lead routing rules takes too many steps and the options don't cover territories. We estimate we lose roughly 23 hours a month on this. We need a fix before renewal.</t>
        </is>
      </c>
      <c r="J649" t="inlineStr">
        <is>
          <t>Negative</t>
        </is>
      </c>
      <c r="K649" t="inlineStr">
        <is>
          <t>HIGH</t>
        </is>
      </c>
      <c r="L649" t="inlineStr">
        <is>
          <t>Blocks Key Task</t>
        </is>
      </c>
    </row>
    <row r="650">
      <c r="A650" t="inlineStr">
        <is>
          <t>FB-00649</t>
        </is>
      </c>
      <c r="B650" t="inlineStr">
        <is>
          <t>CUST-0196</t>
        </is>
      </c>
      <c r="C650" t="inlineStr">
        <is>
          <t>2026-03-24</t>
        </is>
      </c>
      <c r="D650" t="inlineStr">
        <is>
          <t>In-App Feedback</t>
        </is>
      </c>
      <c r="E650" t="inlineStr">
        <is>
          <t>Enterprise</t>
        </is>
      </c>
      <c r="F650" t="inlineStr">
        <is>
          <t>Enterprise</t>
        </is>
      </c>
      <c r="G650" t="inlineStr">
        <is>
          <t>Reporting</t>
        </is>
      </c>
      <c r="H650" t="inlineStr">
        <is>
          <t>Performance Issue</t>
        </is>
      </c>
      <c r="I650" t="inlineStr">
        <is>
          <t>Noting this during onboarding. The dashboard loading is painfully slow with a full year of data. Happy to join a feedback call.</t>
        </is>
      </c>
      <c r="J650" t="inlineStr">
        <is>
          <t>Neutral</t>
        </is>
      </c>
      <c r="K650" t="inlineStr">
        <is>
          <t>Critical</t>
        </is>
      </c>
      <c r="L650" t="inlineStr">
        <is>
          <t>Blocks Key Task</t>
        </is>
      </c>
    </row>
    <row r="651">
      <c r="A651" t="inlineStr">
        <is>
          <t>FB-00650</t>
        </is>
      </c>
      <c r="B651" t="inlineStr">
        <is>
          <t>CUST-0314</t>
        </is>
      </c>
      <c r="C651" t="inlineStr">
        <is>
          <t>2026-03-24</t>
        </is>
      </c>
      <c r="D651" t="inlineStr">
        <is>
          <t>Customer Survey</t>
        </is>
      </c>
      <c r="E651" t="inlineStr">
        <is>
          <t>Enterprise</t>
        </is>
      </c>
      <c r="F651" t="inlineStr">
        <is>
          <t>Mid-Market</t>
        </is>
      </c>
      <c r="G651" t="inlineStr">
        <is>
          <t>Integrations</t>
        </is>
      </c>
      <c r="H651" t="inlineStr">
        <is>
          <t>Feature Request</t>
        </is>
      </c>
      <c r="I651" t="inlineStr">
        <is>
          <t>Please add SCIM provisioning; managing users by hand does not scale. It happens about 28 times a week for our team of 80. Happy to join a feedback call.</t>
        </is>
      </c>
      <c r="J651" t="inlineStr">
        <is>
          <t>Neutral</t>
        </is>
      </c>
      <c r="K651" t="inlineStr">
        <is>
          <t>Medium</t>
        </is>
      </c>
      <c r="L651" t="inlineStr">
        <is>
          <t>Blocks Key Task</t>
        </is>
      </c>
    </row>
    <row r="652">
      <c r="A652" t="inlineStr">
        <is>
          <t>FB-00651</t>
        </is>
      </c>
      <c r="B652" t="inlineStr">
        <is>
          <t>CUST-0012</t>
        </is>
      </c>
      <c r="C652" t="inlineStr">
        <is>
          <t>2026-03-24</t>
        </is>
      </c>
      <c r="D652" t="inlineStr">
        <is>
          <t>Support Ticket</t>
        </is>
      </c>
      <c r="E652" t="inlineStr">
        <is>
          <t>Enterprise</t>
        </is>
      </c>
      <c r="F652" t="inlineStr">
        <is>
          <t>Enterprise</t>
        </is>
      </c>
      <c r="G652" t="inlineStr">
        <is>
          <t>Integrations</t>
        </is>
      </c>
      <c r="H652" t="inlineStr">
        <is>
          <t>Integration Issue</t>
        </is>
      </c>
      <c r="I652" t="inlineStr">
        <is>
          <t>After the token expires, Gmail sync stops with no warning.</t>
        </is>
      </c>
      <c r="J652" t="inlineStr">
        <is>
          <t>Negative</t>
        </is>
      </c>
      <c r="K652" t="inlineStr">
        <is>
          <t>High</t>
        </is>
      </c>
      <c r="L652" t="inlineStr">
        <is>
          <t>Blocks Key Task</t>
        </is>
      </c>
    </row>
    <row r="653">
      <c r="A653" t="inlineStr">
        <is>
          <t>FB-00652</t>
        </is>
      </c>
      <c r="B653" t="inlineStr">
        <is>
          <t>CUST-0108</t>
        </is>
      </c>
      <c r="C653" t="inlineStr">
        <is>
          <t>2026-03-24</t>
        </is>
      </c>
      <c r="D653" t="inlineStr">
        <is>
          <t>Support Ticket</t>
        </is>
      </c>
      <c r="E653" t="inlineStr">
        <is>
          <t>Enterprise</t>
        </is>
      </c>
      <c r="F653" t="inlineStr">
        <is>
          <t>Mid-Market</t>
        </is>
      </c>
      <c r="G653" t="inlineStr">
        <is>
          <t>Contact Management</t>
        </is>
      </c>
      <c r="H653" t="inlineStr">
        <is>
          <t>Bug</t>
        </is>
      </c>
      <c r="I653" t="inlineStr">
        <is>
          <t>This has been a recurring problem for us. The spreadsheet import fails halfway through with a generic error and no row-level detail.</t>
        </is>
      </c>
      <c r="J653" t="inlineStr">
        <is>
          <t>Negative</t>
        </is>
      </c>
      <c r="K653" t="inlineStr">
        <is>
          <t>High</t>
        </is>
      </c>
      <c r="L653" t="inlineStr">
        <is>
          <t>Revenue/Operations Risk</t>
        </is>
      </c>
    </row>
    <row r="654">
      <c r="A654" t="inlineStr">
        <is>
          <t>FB-00653</t>
        </is>
      </c>
      <c r="B654" t="inlineStr">
        <is>
          <t>CUST-0235</t>
        </is>
      </c>
      <c r="C654" t="inlineStr">
        <is>
          <t>2026-03-25</t>
        </is>
      </c>
      <c r="D654" t="inlineStr">
        <is>
          <t>Feature Request</t>
        </is>
      </c>
      <c r="E654" t="inlineStr">
        <is>
          <t>Enterprise</t>
        </is>
      </c>
      <c r="F654" t="inlineStr">
        <is>
          <t>Mid-Market</t>
        </is>
      </c>
      <c r="G654" t="inlineStr">
        <is>
          <t>Integrations</t>
        </is>
      </c>
      <c r="H654" t="inlineStr">
        <is>
          <t>Feature Request</t>
        </is>
      </c>
      <c r="I654" t="inlineStr">
        <is>
          <t>Overall we like the product. Requesting SCIM provisioning for our compliance audit. Keep up the good work.</t>
        </is>
      </c>
      <c r="J654" t="inlineStr">
        <is>
          <t>Positive</t>
        </is>
      </c>
      <c r="K654" t="inlineStr">
        <is>
          <t>Medium</t>
        </is>
      </c>
      <c r="L654" t="inlineStr">
        <is>
          <t>Minor Inconvenience</t>
        </is>
      </c>
    </row>
    <row r="655">
      <c r="A655" t="inlineStr">
        <is>
          <t>FB-00654</t>
        </is>
      </c>
      <c r="B655" t="inlineStr">
        <is>
          <t>CUST-0003</t>
        </is>
      </c>
      <c r="C655" t="inlineStr">
        <is>
          <t>2026-03-25</t>
        </is>
      </c>
      <c r="D655" t="inlineStr">
        <is>
          <t>Customer Survey</t>
        </is>
      </c>
      <c r="E655" t="inlineStr">
        <is>
          <t>Starter</t>
        </is>
      </c>
      <c r="F655" t="inlineStr">
        <is>
          <t>Mid-Market</t>
        </is>
      </c>
      <c r="G655" t="inlineStr">
        <is>
          <t>User Interface</t>
        </is>
      </c>
      <c r="H655" t="inlineStr">
        <is>
          <t>Feature Request</t>
        </is>
      </c>
      <c r="I655" t="inlineStr">
        <is>
          <t>Great support experience recently. Please add bulk actions on lists; changing records one at a time wastes hours. Our customer success lead flagged it while onboarding 112 new users.</t>
        </is>
      </c>
      <c r="J655" t="inlineStr">
        <is>
          <t>Positive</t>
        </is>
      </c>
      <c r="K655" t="inlineStr">
        <is>
          <t>Low</t>
        </is>
      </c>
      <c r="L655" t="inlineStr">
        <is>
          <t>Minor Inconvenience</t>
        </is>
      </c>
    </row>
    <row r="656">
      <c r="A656" t="inlineStr">
        <is>
          <t>FB-00655</t>
        </is>
      </c>
      <c r="B656" t="inlineStr">
        <is>
          <t>CUST-0202</t>
        </is>
      </c>
      <c r="C656" t="inlineStr">
        <is>
          <t>2026-03-25</t>
        </is>
      </c>
      <c r="D656" t="inlineStr">
        <is>
          <t>In-App Feedback</t>
        </is>
      </c>
      <c r="E656" t="inlineStr">
        <is>
          <t>Enterprise</t>
        </is>
      </c>
      <c r="F656" t="inlineStr">
        <is>
          <t>Enterprise</t>
        </is>
      </c>
      <c r="G656" t="inlineStr">
        <is>
          <t>Workflow Automation</t>
        </is>
      </c>
      <c r="H656" t="inlineStr">
        <is>
          <t>Bug</t>
        </is>
      </c>
      <c r="I656" t="inlineStr">
        <is>
          <t>Not what we expected for the price. Since the last release we've had workflow runs failing silently and tasks are being created twice. We estimate we lose roughly 34 hours a month on this.</t>
        </is>
      </c>
      <c r="J656" t="inlineStr">
        <is>
          <t>Negative</t>
        </is>
      </c>
      <c r="K656" t="inlineStr">
        <is>
          <t>Medium</t>
        </is>
      </c>
      <c r="L656" t="inlineStr">
        <is>
          <t>Workflow Slowdown</t>
        </is>
      </c>
    </row>
    <row r="657">
      <c r="A657" t="inlineStr">
        <is>
          <t>FB-00656</t>
        </is>
      </c>
      <c r="B657" t="inlineStr">
        <is>
          <t>CUST-0234</t>
        </is>
      </c>
      <c r="C657" t="inlineStr">
        <is>
          <t>2026-03-26</t>
        </is>
      </c>
      <c r="D657" t="inlineStr">
        <is>
          <t>In-App Feedback</t>
        </is>
      </c>
      <c r="E657" t="inlineStr">
        <is>
          <t>Enterprise</t>
        </is>
      </c>
      <c r="F657" t="inlineStr">
        <is>
          <t>SMB</t>
        </is>
      </c>
      <c r="G657" t="inlineStr">
        <is>
          <t>Workflow Automation</t>
        </is>
      </c>
      <c r="H657" t="inlineStr">
        <is>
          <t>Usability Issue</t>
        </is>
      </c>
      <c r="I657" t="inlineStr">
        <is>
          <t>Sharing this from our team. Our new admins struggle with the automation canvas; there is no guidance or validation. So far 35 people on our side have reported it. Let us know if you need examples.</t>
        </is>
      </c>
      <c r="J657" t="inlineStr">
        <is>
          <t>Neutral</t>
        </is>
      </c>
      <c r="K657" t="inlineStr">
        <is>
          <t>High</t>
        </is>
      </c>
      <c r="L657" t="inlineStr">
        <is>
          <t>Blocks Key Task</t>
        </is>
      </c>
    </row>
    <row r="658">
      <c r="A658" t="inlineStr">
        <is>
          <t>FB-00657</t>
        </is>
      </c>
      <c r="B658" t="inlineStr">
        <is>
          <t>CUST-0198</t>
        </is>
      </c>
      <c r="C658" t="inlineStr">
        <is>
          <t>2026-03-26</t>
        </is>
      </c>
      <c r="D658" t="inlineStr">
        <is>
          <t>Feature Request</t>
        </is>
      </c>
      <c r="E658" t="inlineStr">
        <is>
          <t>Starter</t>
        </is>
      </c>
      <c r="F658" t="inlineStr">
        <is>
          <t>SMB</t>
        </is>
      </c>
      <c r="G658" t="inlineStr">
        <is>
          <t>Integrations</t>
        </is>
      </c>
      <c r="H658" t="inlineStr">
        <is>
          <t>Feature Request</t>
        </is>
      </c>
      <c r="I658" t="inlineStr">
        <is>
          <t>Great support experience recently. Please build a marketing automation connector; our team copies data across systems daily.</t>
        </is>
      </c>
      <c r="J658" t="inlineStr">
        <is>
          <t>Positive</t>
        </is>
      </c>
      <c r="K658" t="inlineStr">
        <is>
          <t>Low</t>
        </is>
      </c>
      <c r="L658" t="inlineStr">
        <is>
          <t>Minor Inconvenience</t>
        </is>
      </c>
    </row>
    <row r="659">
      <c r="A659" t="inlineStr">
        <is>
          <t>FB-00658</t>
        </is>
      </c>
      <c r="B659" t="inlineStr">
        <is>
          <t>CUST-0231</t>
        </is>
      </c>
      <c r="C659" t="inlineStr">
        <is>
          <t>2026-03-26</t>
        </is>
      </c>
      <c r="D659" t="inlineStr">
        <is>
          <t>Support Ticket</t>
        </is>
      </c>
      <c r="E659" t="inlineStr">
        <is>
          <t>Enterprise</t>
        </is>
      </c>
      <c r="F659" t="inlineStr">
        <is>
          <t>Enterprise</t>
        </is>
      </c>
      <c r="G659" t="inlineStr">
        <is>
          <t>Workflow Automation</t>
        </is>
      </c>
      <c r="H659" t="inlineStr">
        <is>
          <t>Bug</t>
        </is>
      </c>
      <c r="I659" t="inlineStr">
        <is>
          <t>We found workflow failures only because a customer complained.</t>
        </is>
      </c>
      <c r="J659" t="inlineStr">
        <is>
          <t>Neutral</t>
        </is>
      </c>
      <c r="K659" t="inlineStr">
        <is>
          <t>Medium</t>
        </is>
      </c>
      <c r="L659" t="inlineStr">
        <is>
          <t>Minor Inconvenience</t>
        </is>
      </c>
    </row>
    <row r="660">
      <c r="A660" t="inlineStr">
        <is>
          <t>FB-00659</t>
        </is>
      </c>
      <c r="B660" t="inlineStr">
        <is>
          <t>CUST-0080</t>
        </is>
      </c>
      <c r="C660" t="inlineStr">
        <is>
          <t>26-Mar-2026</t>
        </is>
      </c>
      <c r="D660" t="inlineStr">
        <is>
          <t>Feature Request</t>
        </is>
      </c>
      <c r="E660" t="inlineStr">
        <is>
          <t>Professional</t>
        </is>
      </c>
      <c r="F660" t="inlineStr">
        <is>
          <t>Mid-Market</t>
        </is>
      </c>
      <c r="G660" t="inlineStr">
        <is>
          <t>Reporting</t>
        </is>
      </c>
      <c r="H660" t="inlineStr">
        <is>
          <t xml:space="preserve"> Feature Request</t>
        </is>
      </c>
      <c r="I660" t="inlineStr">
        <is>
          <t>Feedback from our monthly review. Requesting quota tracking that updates as deal stages change. It affects our lead handoff process every cycle. Let us know if you need examples.</t>
        </is>
      </c>
      <c r="J660" t="inlineStr">
        <is>
          <t>Neutral</t>
        </is>
      </c>
      <c r="K660" t="inlineStr">
        <is>
          <t>Low</t>
        </is>
      </c>
      <c r="L660" t="inlineStr">
        <is>
          <t>Minor Inconvenience</t>
        </is>
      </c>
    </row>
    <row r="661">
      <c r="A661" t="inlineStr">
        <is>
          <t>FB-00660</t>
        </is>
      </c>
      <c r="B661" t="inlineStr">
        <is>
          <t>CUST-0408</t>
        </is>
      </c>
      <c r="C661" t="inlineStr">
        <is>
          <t>2026-03-26</t>
        </is>
      </c>
      <c r="D661" t="inlineStr">
        <is>
          <t>In-App Feedback</t>
        </is>
      </c>
      <c r="E661" t="inlineStr">
        <is>
          <t>Starter</t>
        </is>
      </c>
      <c r="F661" t="inlineStr">
        <is>
          <t>SMB</t>
        </is>
      </c>
      <c r="G661" t="inlineStr">
        <is>
          <t>Contact Management</t>
        </is>
      </c>
      <c r="H661" t="inlineStr">
        <is>
          <t>Performance Issue</t>
        </is>
      </c>
      <c r="I661" t="inlineStr">
        <is>
          <t>Escalating on behalf of our ops lead. Combining several conditions in contact search makes the page hang. Is there a workaround?</t>
        </is>
      </c>
      <c r="J661" t="inlineStr">
        <is>
          <t>Negative</t>
        </is>
      </c>
      <c r="K661" t="inlineStr">
        <is>
          <t>Medium</t>
        </is>
      </c>
      <c r="L661" t="inlineStr">
        <is>
          <t>Workflow Slowdown</t>
        </is>
      </c>
    </row>
    <row r="662">
      <c r="A662" t="inlineStr">
        <is>
          <t>FB-00661</t>
        </is>
      </c>
      <c r="B662" t="inlineStr">
        <is>
          <t>CUST-0249</t>
        </is>
      </c>
      <c r="C662" t="inlineStr">
        <is>
          <t>2026-03-27</t>
        </is>
      </c>
      <c r="D662" t="inlineStr">
        <is>
          <t>Feature Request</t>
        </is>
      </c>
      <c r="E662" t="inlineStr">
        <is>
          <t>Starter</t>
        </is>
      </c>
      <c r="F662" t="inlineStr">
        <is>
          <t>SMB</t>
        </is>
      </c>
      <c r="G662" t="inlineStr">
        <is>
          <t>Workflow Automation</t>
        </is>
      </c>
      <c r="H662" t="inlineStr">
        <is>
          <t>Feature Request</t>
        </is>
      </c>
      <c r="I662" t="inlineStr">
        <is>
          <t>Sharing this from our team. We'd adopt automation faster with prebuilt automations we could customize. So far 22 people on our side have reported it.</t>
        </is>
      </c>
      <c r="J662" t="inlineStr">
        <is>
          <t>Neutral</t>
        </is>
      </c>
      <c r="K662" t="inlineStr">
        <is>
          <t>Medium</t>
        </is>
      </c>
      <c r="L662" t="inlineStr">
        <is>
          <t>Workflow Slowdown</t>
        </is>
      </c>
    </row>
    <row r="663">
      <c r="A663" t="inlineStr">
        <is>
          <t>FB-00662</t>
        </is>
      </c>
      <c r="B663" t="inlineStr">
        <is>
          <t>CUST-0032</t>
        </is>
      </c>
      <c r="C663" t="inlineStr">
        <is>
          <t>2026-03-27</t>
        </is>
      </c>
      <c r="D663" t="inlineStr">
        <is>
          <t>Feature Request</t>
        </is>
      </c>
      <c r="E663" t="inlineStr">
        <is>
          <t>Starter</t>
        </is>
      </c>
      <c r="F663" t="inlineStr">
        <is>
          <t>SMB</t>
        </is>
      </c>
      <c r="G663" t="inlineStr">
        <is>
          <t>Integrations</t>
        </is>
      </c>
      <c r="H663" t="inlineStr">
        <is>
          <t>Feature Request</t>
        </is>
      </c>
      <c r="I663" t="inlineStr">
        <is>
          <t>Quick note from our admin. Lack of a native Slack integration is a gap versus other CRMs we evaluated. It affects our month-end reporting process every cycle.</t>
        </is>
      </c>
      <c r="J663" t="inlineStr">
        <is>
          <t>Neutral</t>
        </is>
      </c>
      <c r="K663" t="inlineStr">
        <is>
          <t>Low</t>
        </is>
      </c>
      <c r="L663" t="inlineStr">
        <is>
          <t>Minor Inconvenience</t>
        </is>
      </c>
    </row>
    <row r="664">
      <c r="A664" t="inlineStr">
        <is>
          <t>FB-00663</t>
        </is>
      </c>
      <c r="B664" t="inlineStr">
        <is>
          <t>CUST-0027</t>
        </is>
      </c>
      <c r="C664" t="inlineStr">
        <is>
          <t>2026-03-27</t>
        </is>
      </c>
      <c r="D664" t="inlineStr">
        <is>
          <t>Feature Request</t>
        </is>
      </c>
      <c r="E664" t="inlineStr">
        <is>
          <t>Professional</t>
        </is>
      </c>
      <c r="F664" t="inlineStr">
        <is>
          <t>SMB</t>
        </is>
      </c>
      <c r="G664" t="inlineStr">
        <is>
          <t>Reporting</t>
        </is>
      </c>
      <c r="H664" t="inlineStr">
        <is>
          <t>Feature Request</t>
        </is>
      </c>
      <c r="I664" t="inlineStr">
        <is>
          <t>Please add report scheduling; today an analyst rebuilds the same report every week. Happy to beta test.</t>
        </is>
      </c>
      <c r="J664" t="inlineStr">
        <is>
          <t>Positive</t>
        </is>
      </c>
      <c r="K664" t="inlineStr">
        <is>
          <t>Low</t>
        </is>
      </c>
      <c r="L664" t="inlineStr">
        <is>
          <t>Workflow Slowdown</t>
        </is>
      </c>
    </row>
    <row r="665">
      <c r="A665" t="inlineStr">
        <is>
          <t>FB-00664</t>
        </is>
      </c>
      <c r="B665" t="inlineStr">
        <is>
          <t>CUST-0007</t>
        </is>
      </c>
      <c r="C665" t="inlineStr">
        <is>
          <t>2026-03-28</t>
        </is>
      </c>
      <c r="D665" t="inlineStr">
        <is>
          <t>Feature Request</t>
        </is>
      </c>
      <c r="E665" t="inlineStr">
        <is>
          <t xml:space="preserve">Professional </t>
        </is>
      </c>
      <c r="F665" t="inlineStr">
        <is>
          <t>SMB</t>
        </is>
      </c>
      <c r="G665" t="inlineStr">
        <is>
          <t>Lead Management</t>
        </is>
      </c>
      <c r="H665" t="inlineStr">
        <is>
          <t>Feature Request</t>
        </is>
      </c>
      <c r="I665" t="inlineStr">
        <is>
          <t>We need a lead score model so reps can focus on the prospects most likely to close. So far 10 people on our side have reported it.</t>
        </is>
      </c>
      <c r="J665" t="inlineStr">
        <is>
          <t>Neutral</t>
        </is>
      </c>
      <c r="K665" t="inlineStr">
        <is>
          <t>Medium</t>
        </is>
      </c>
      <c r="L665" t="inlineStr">
        <is>
          <t>Minor Inconvenience</t>
        </is>
      </c>
    </row>
    <row r="666">
      <c r="A666" t="inlineStr">
        <is>
          <t>FB-00665</t>
        </is>
      </c>
      <c r="B666" t="inlineStr">
        <is>
          <t>CUST-0124</t>
        </is>
      </c>
      <c r="C666" t="inlineStr">
        <is>
          <t>2026-03-28</t>
        </is>
      </c>
      <c r="D666" t="inlineStr">
        <is>
          <t>Customer Survey</t>
        </is>
      </c>
      <c r="E666" t="inlineStr">
        <is>
          <t>Starter</t>
        </is>
      </c>
      <c r="F666" t="inlineStr">
        <is>
          <t>SMB</t>
        </is>
      </c>
      <c r="G666" t="inlineStr">
        <is>
          <t>Contact Management</t>
        </is>
      </c>
      <c r="H666" t="inlineStr">
        <is>
          <t>Bug</t>
        </is>
      </c>
      <c r="I666" t="inlineStr">
        <is>
          <t>Not what we expected for the price. The spreadsheet import fails halfway through with a generic error and no row-level detail. We need a fix before renewal.</t>
        </is>
      </c>
      <c r="J666" t="inlineStr">
        <is>
          <t>Negative</t>
        </is>
      </c>
      <c r="K666" t="inlineStr">
        <is>
          <t>Medium</t>
        </is>
      </c>
      <c r="L666" t="inlineStr">
        <is>
          <t>Minor Inconvenience</t>
        </is>
      </c>
    </row>
    <row r="667">
      <c r="A667" t="inlineStr">
        <is>
          <t>FB-00666</t>
        </is>
      </c>
      <c r="B667" t="inlineStr">
        <is>
          <t>CUST-0295</t>
        </is>
      </c>
      <c r="C667" t="inlineStr">
        <is>
          <t>2026-03-28</t>
        </is>
      </c>
      <c r="D667" t="inlineStr">
        <is>
          <t>Feature Request</t>
        </is>
      </c>
      <c r="E667" t="inlineStr">
        <is>
          <t>Starter</t>
        </is>
      </c>
      <c r="F667" t="inlineStr">
        <is>
          <t>SMB</t>
        </is>
      </c>
      <c r="G667" t="inlineStr">
        <is>
          <t>Reporting</t>
        </is>
      </c>
      <c r="H667" t="inlineStr">
        <is>
          <t xml:space="preserve"> Feature Request</t>
        </is>
      </c>
      <c r="I667" t="inlineStr">
        <is>
          <t>Feedback from our monthly review. Without scheduled report emails we export raw data and rebuild everything elsewhere. It affects our renewal process every cycle. Let us know if you need examples.</t>
        </is>
      </c>
      <c r="J667" t="inlineStr">
        <is>
          <t>Neutral</t>
        </is>
      </c>
      <c r="K667" t="inlineStr">
        <is>
          <t>Low</t>
        </is>
      </c>
      <c r="L667" t="inlineStr">
        <is>
          <t>Workflow Slowdown</t>
        </is>
      </c>
    </row>
    <row r="668">
      <c r="A668" t="inlineStr">
        <is>
          <t>FB-00667</t>
        </is>
      </c>
      <c r="B668" t="inlineStr">
        <is>
          <t>CUST-0138</t>
        </is>
      </c>
      <c r="C668" t="inlineStr">
        <is>
          <t>2026-03-28</t>
        </is>
      </c>
      <c r="D668" t="inlineStr">
        <is>
          <t>Feature Request</t>
        </is>
      </c>
      <c r="E668" t="inlineStr">
        <is>
          <t>Starter</t>
        </is>
      </c>
      <c r="F668" t="inlineStr">
        <is>
          <t>SMB</t>
        </is>
      </c>
      <c r="G668" t="inlineStr">
        <is>
          <t>User Interface</t>
        </is>
      </c>
      <c r="H668" t="inlineStr">
        <is>
          <t>Feature Request</t>
        </is>
      </c>
      <c r="I668" t="inlineStr">
        <is>
          <t>FYI for the product team. Requesting bulk actions on lists across every list view. We estimate we lose roughly 55 hours a month on this.</t>
        </is>
      </c>
      <c r="J668" t="inlineStr">
        <is>
          <t>Neutral</t>
        </is>
      </c>
      <c r="K668" t="inlineStr">
        <is>
          <t>Low</t>
        </is>
      </c>
      <c r="L668" t="inlineStr">
        <is>
          <t>Blocks Key Task</t>
        </is>
      </c>
    </row>
    <row r="669">
      <c r="A669" t="inlineStr">
        <is>
          <t>FB-00668</t>
        </is>
      </c>
      <c r="B669" t="inlineStr">
        <is>
          <t>CUST-0149</t>
        </is>
      </c>
      <c r="C669" t="inlineStr">
        <is>
          <t>2026-03-28</t>
        </is>
      </c>
      <c r="D669" t="inlineStr">
        <is>
          <t>In-App Feedback</t>
        </is>
      </c>
      <c r="E669" t="inlineStr">
        <is>
          <t>Professional</t>
        </is>
      </c>
      <c r="F669" t="inlineStr">
        <is>
          <t>Mid-Market</t>
        </is>
      </c>
      <c r="G669" t="inlineStr">
        <is>
          <t>Lead Management</t>
        </is>
      </c>
      <c r="H669" t="inlineStr">
        <is>
          <t>Performance Issue</t>
        </is>
      </c>
      <c r="I669" t="inlineStr">
        <is>
          <t>Complaint about lead list loading: the board freezes while cards render. We estimate we lose roughly 14 hours a month on this. Please look into it soon.</t>
        </is>
      </c>
      <c r="J669" t="inlineStr">
        <is>
          <t>Negative</t>
        </is>
      </c>
      <c r="K669" t="inlineStr">
        <is>
          <t>Low</t>
        </is>
      </c>
      <c r="L669" t="inlineStr">
        <is>
          <t>Minor Inconvenience</t>
        </is>
      </c>
    </row>
    <row r="670">
      <c r="A670" t="inlineStr">
        <is>
          <t>FB-00669</t>
        </is>
      </c>
      <c r="B670" t="inlineStr">
        <is>
          <t>CUST-0035</t>
        </is>
      </c>
      <c r="C670" t="inlineStr">
        <is>
          <t>2026-03-29</t>
        </is>
      </c>
      <c r="D670" t="inlineStr">
        <is>
          <t>In-App Feedback</t>
        </is>
      </c>
      <c r="E670" t="inlineStr">
        <is>
          <t>Professional</t>
        </is>
      </c>
      <c r="F670" t="inlineStr">
        <is>
          <t xml:space="preserve"> Enterprise</t>
        </is>
      </c>
      <c r="G670" t="inlineStr">
        <is>
          <t>Contact Management</t>
        </is>
      </c>
      <c r="H670" t="inlineStr">
        <is>
          <t>Bug</t>
        </is>
      </c>
      <c r="I670" t="inlineStr">
        <is>
          <t>Noting this during onboarding. Our spreadsheet import scrambles phone and email columns even after we map them correctly. Our RevOps lead flagged it while onboarding 105 new users.</t>
        </is>
      </c>
      <c r="J670" t="inlineStr">
        <is>
          <t>Neutral</t>
        </is>
      </c>
      <c r="K670" t="inlineStr">
        <is>
          <t>High</t>
        </is>
      </c>
      <c r="L670" t="inlineStr">
        <is>
          <t>Blocks Key Task</t>
        </is>
      </c>
    </row>
    <row r="671">
      <c r="A671" t="inlineStr">
        <is>
          <t>FB-00670</t>
        </is>
      </c>
      <c r="B671" t="inlineStr">
        <is>
          <t>CUST-0283</t>
        </is>
      </c>
      <c r="C671" t="inlineStr">
        <is>
          <t>2026-03-29</t>
        </is>
      </c>
      <c r="D671" t="inlineStr">
        <is>
          <t>In-App Feedback</t>
        </is>
      </c>
      <c r="E671" t="inlineStr">
        <is>
          <t>Professional</t>
        </is>
      </c>
      <c r="F671" t="inlineStr">
        <is>
          <t>Enterprise</t>
        </is>
      </c>
      <c r="G671" t="inlineStr">
        <is>
          <t>Lead Management</t>
        </is>
      </c>
      <c r="H671" t="inlineStr">
        <is>
          <t>Bug</t>
        </is>
      </c>
      <c r="I671" t="inlineStr">
        <is>
          <t>Not what we expected for the price. Web form submissions keep creating lead de-duplication failures, and reps end up calling the same prospect twice. Is there a workaround?</t>
        </is>
      </c>
      <c r="J671" t="inlineStr">
        <is>
          <t>Negative</t>
        </is>
      </c>
      <c r="K671" t="inlineStr">
        <is>
          <t>Medium</t>
        </is>
      </c>
      <c r="L671" t="inlineStr">
        <is>
          <t>Minor Inconvenience</t>
        </is>
      </c>
    </row>
    <row r="672">
      <c r="A672" t="inlineStr">
        <is>
          <t>FB-00671</t>
        </is>
      </c>
      <c r="B672" t="inlineStr">
        <is>
          <t>CUST-0128</t>
        </is>
      </c>
      <c r="C672" t="inlineStr">
        <is>
          <t>2026-03-29</t>
        </is>
      </c>
      <c r="D672" t="inlineStr">
        <is>
          <t>In-App Feedback</t>
        </is>
      </c>
      <c r="E672" t="inlineStr">
        <is>
          <t>Professional</t>
        </is>
      </c>
      <c r="F672" t="inlineStr">
        <is>
          <t>SMB</t>
        </is>
      </c>
      <c r="G672" t="inlineStr">
        <is>
          <t>Workflow Automation</t>
        </is>
      </c>
      <c r="H672" t="inlineStr">
        <is>
          <t>Usability Issue</t>
        </is>
      </c>
      <c r="I672" t="inlineStr">
        <is>
          <t>I can't tell what a branch does in the automation canvas without opening every node. Let us know if you need examples.</t>
        </is>
      </c>
      <c r="J672" t="inlineStr">
        <is>
          <t>Neutral</t>
        </is>
      </c>
      <c r="K672" t="inlineStr">
        <is>
          <t>Medium</t>
        </is>
      </c>
      <c r="L672" t="inlineStr">
        <is>
          <t>Workflow Slowdown</t>
        </is>
      </c>
    </row>
    <row r="673">
      <c r="A673" t="inlineStr">
        <is>
          <t>FB-00672</t>
        </is>
      </c>
      <c r="B673" t="inlineStr">
        <is>
          <t>CUST-0091</t>
        </is>
      </c>
      <c r="C673" t="inlineStr">
        <is>
          <t>2026-03-29</t>
        </is>
      </c>
      <c r="D673" t="inlineStr">
        <is>
          <t>Support Ticket</t>
        </is>
      </c>
      <c r="E673" t="inlineStr">
        <is>
          <t>Professional</t>
        </is>
      </c>
      <c r="F673" t="inlineStr">
        <is>
          <t>SMB</t>
        </is>
      </c>
      <c r="G673" t="inlineStr">
        <is>
          <t>Integrations</t>
        </is>
      </c>
      <c r="H673" t="inlineStr">
        <is>
          <t>Integration Issue</t>
        </is>
      </c>
      <c r="I673" t="inlineStr">
        <is>
          <t>Frustrated with this one. The Gmail sync duplicates meetings and misses replies.</t>
        </is>
      </c>
      <c r="J673" t="inlineStr">
        <is>
          <t>Negative</t>
        </is>
      </c>
      <c r="K673" t="inlineStr">
        <is>
          <t>Medium</t>
        </is>
      </c>
      <c r="L673" t="inlineStr">
        <is>
          <t>Workflow Slowdown</t>
        </is>
      </c>
    </row>
    <row r="674">
      <c r="A674" t="inlineStr">
        <is>
          <t>FB-00673</t>
        </is>
      </c>
      <c r="B674" t="inlineStr">
        <is>
          <t>CUST-0277</t>
        </is>
      </c>
      <c r="C674" t="inlineStr">
        <is>
          <t>2026-03-29</t>
        </is>
      </c>
      <c r="D674" t="inlineStr">
        <is>
          <t>Customer Survey</t>
        </is>
      </c>
      <c r="E674" t="inlineStr">
        <is>
          <t>Professional</t>
        </is>
      </c>
      <c r="F674" t="inlineStr">
        <is>
          <t>Mid-Market</t>
        </is>
      </c>
      <c r="G674" t="inlineStr">
        <is>
          <t>Workflow Automation</t>
        </is>
      </c>
      <c r="H674" t="inlineStr">
        <is>
          <t>Usability Issue</t>
        </is>
      </c>
      <c r="I674" t="inlineStr">
        <is>
          <t>Raising this again after our last business review. The automation canvas doesn't let us copy steps between flows.</t>
        </is>
      </c>
      <c r="J674" t="inlineStr">
        <is>
          <t>Negative</t>
        </is>
      </c>
      <c r="K674" t="inlineStr">
        <is>
          <t>Low</t>
        </is>
      </c>
      <c r="L674" t="inlineStr">
        <is>
          <t>Minor Inconvenience</t>
        </is>
      </c>
    </row>
    <row r="675">
      <c r="A675" t="inlineStr">
        <is>
          <t>FB-00674</t>
        </is>
      </c>
      <c r="B675" t="inlineStr">
        <is>
          <t>CUST-0250</t>
        </is>
      </c>
      <c r="C675" t="inlineStr">
        <is>
          <t>2026-03-29</t>
        </is>
      </c>
      <c r="D675" t="inlineStr">
        <is>
          <t>Support Ticket</t>
        </is>
      </c>
      <c r="E675" t="inlineStr">
        <is>
          <t>Professional</t>
        </is>
      </c>
      <c r="F675" t="inlineStr">
        <is>
          <t>Mid-Market</t>
        </is>
      </c>
      <c r="G675" t="inlineStr">
        <is>
          <t>Lead Management</t>
        </is>
      </c>
      <c r="H675" t="inlineStr">
        <is>
          <t>Performance Issue</t>
        </is>
      </c>
      <c r="I675" t="inlineStr">
        <is>
          <t>Reps have stopped using the board because of lead view load times. We estimate we lose roughly 43 hours a month on this.</t>
        </is>
      </c>
      <c r="J675" t="inlineStr">
        <is>
          <t>Negative</t>
        </is>
      </c>
      <c r="K675" t="inlineStr">
        <is>
          <t>Medium</t>
        </is>
      </c>
      <c r="L675" t="inlineStr">
        <is>
          <t>Minor Inconvenience</t>
        </is>
      </c>
    </row>
    <row r="676">
      <c r="A676" t="inlineStr">
        <is>
          <t>FB-00675</t>
        </is>
      </c>
      <c r="B676" t="inlineStr">
        <is>
          <t>CUST-0242</t>
        </is>
      </c>
      <c r="C676" t="inlineStr">
        <is>
          <t>2026-03-30</t>
        </is>
      </c>
      <c r="D676" t="inlineStr">
        <is>
          <t>Customer Survey</t>
        </is>
      </c>
      <c r="E676" t="inlineStr">
        <is>
          <t>Starter</t>
        </is>
      </c>
      <c r="F676" t="inlineStr">
        <is>
          <t>SMB</t>
        </is>
      </c>
      <c r="G676" t="inlineStr">
        <is>
          <t>Contact Management</t>
        </is>
      </c>
      <c r="H676" t="inlineStr">
        <is>
          <t>Feature Request</t>
        </is>
      </c>
      <c r="I676" t="inlineStr">
        <is>
          <t>A bulk contact merge that keeps activity history would save our ops team hours. We need a fix before renewal.</t>
        </is>
      </c>
      <c r="J676" t="inlineStr">
        <is>
          <t>Negative</t>
        </is>
      </c>
      <c r="K676" t="inlineStr">
        <is>
          <t>Low</t>
        </is>
      </c>
      <c r="L676" t="inlineStr">
        <is>
          <t>Minor Inconvenience</t>
        </is>
      </c>
    </row>
    <row r="677">
      <c r="A677" t="inlineStr">
        <is>
          <t>FB-00676</t>
        </is>
      </c>
      <c r="B677" t="inlineStr">
        <is>
          <t>CUST-0345</t>
        </is>
      </c>
      <c r="C677" t="inlineStr">
        <is>
          <t>2026-03-30</t>
        </is>
      </c>
      <c r="D677" t="inlineStr">
        <is>
          <t>Feature Request</t>
        </is>
      </c>
      <c r="E677" t="inlineStr">
        <is>
          <t>Enterprise</t>
        </is>
      </c>
      <c r="F677" t="inlineStr">
        <is>
          <t>Enterprise</t>
        </is>
      </c>
      <c r="G677" t="inlineStr">
        <is>
          <t>Integrations</t>
        </is>
      </c>
      <c r="H677" t="inlineStr">
        <is>
          <t>Feature Request</t>
        </is>
      </c>
      <c r="I677" t="inlineStr">
        <is>
          <t>Requesting SAML login for our compliance audit. It affects our quarterly planning process every cycle.</t>
        </is>
      </c>
      <c r="J677" t="inlineStr">
        <is>
          <t>Positive</t>
        </is>
      </c>
      <c r="K677" t="inlineStr">
        <is>
          <t>Low</t>
        </is>
      </c>
      <c r="L677" t="inlineStr">
        <is>
          <t>Minor Inconvenience</t>
        </is>
      </c>
    </row>
    <row r="678">
      <c r="A678" t="inlineStr">
        <is>
          <t>FB-00677</t>
        </is>
      </c>
      <c r="B678" t="inlineStr">
        <is>
          <t>CUST-0092</t>
        </is>
      </c>
      <c r="C678" t="inlineStr">
        <is>
          <t>2026-03-30</t>
        </is>
      </c>
      <c r="D678" t="inlineStr">
        <is>
          <t>Support Ticket</t>
        </is>
      </c>
      <c r="E678" t="inlineStr">
        <is>
          <t>Professional</t>
        </is>
      </c>
      <c r="F678" t="inlineStr">
        <is>
          <t>Mid-Market</t>
        </is>
      </c>
      <c r="G678" t="inlineStr">
        <is>
          <t>User Interface</t>
        </is>
      </c>
      <c r="H678" t="inlineStr">
        <is>
          <t>Usability Issue</t>
        </is>
      </c>
      <c r="I678" t="inlineStr">
        <is>
          <t>The settings navigation changed and nobody told us where things moved.</t>
        </is>
      </c>
      <c r="J678" t="inlineStr">
        <is>
          <t>Neutral</t>
        </is>
      </c>
      <c r="K678" t="inlineStr">
        <is>
          <t>Low</t>
        </is>
      </c>
      <c r="L678" t="inlineStr">
        <is>
          <t>Workflow Slowdown</t>
        </is>
      </c>
    </row>
    <row r="679">
      <c r="A679" t="inlineStr">
        <is>
          <t>FB-00678</t>
        </is>
      </c>
      <c r="B679" t="inlineStr">
        <is>
          <t>CUST-0254</t>
        </is>
      </c>
      <c r="C679" t="inlineStr">
        <is>
          <t>2026-03-31</t>
        </is>
      </c>
      <c r="D679" t="inlineStr">
        <is>
          <t>Customer Survey</t>
        </is>
      </c>
      <c r="E679" t="inlineStr">
        <is>
          <t>Professional</t>
        </is>
      </c>
      <c r="F679" t="inlineStr">
        <is>
          <t>SMB</t>
        </is>
      </c>
      <c r="G679" t="inlineStr">
        <is>
          <t>Integrations</t>
        </is>
      </c>
      <c r="H679" t="inlineStr">
        <is>
          <t>Integration Issue</t>
        </is>
      </c>
      <c r="I679" t="inlineStr">
        <is>
          <t>Great support experience recently. We keep hitting API timeouts during nightly syncs with our data warehouse. It affects our quarterly planning process every cycle.</t>
        </is>
      </c>
      <c r="J679" t="inlineStr">
        <is>
          <t>Positive</t>
        </is>
      </c>
      <c r="K679" t="inlineStr">
        <is>
          <t>Medium</t>
        </is>
      </c>
      <c r="L679" t="inlineStr">
        <is>
          <t>Blocks Key Task</t>
        </is>
      </c>
    </row>
    <row r="680">
      <c r="A680" t="inlineStr">
        <is>
          <t>FB-00679</t>
        </is>
      </c>
      <c r="B680" t="inlineStr">
        <is>
          <t>CUST-0030</t>
        </is>
      </c>
      <c r="C680" t="inlineStr">
        <is>
          <t>2026-03-31</t>
        </is>
      </c>
      <c r="D680" t="inlineStr">
        <is>
          <t>In-App Feedback</t>
        </is>
      </c>
      <c r="E680" t="inlineStr">
        <is>
          <t>Professional</t>
        </is>
      </c>
      <c r="F680" t="inlineStr">
        <is>
          <t>Mid-Market</t>
        </is>
      </c>
      <c r="G680" t="inlineStr">
        <is>
          <t>Workflow Automation</t>
        </is>
      </c>
      <c r="H680" t="inlineStr">
        <is>
          <t>Feature Request</t>
        </is>
      </c>
      <c r="I680" t="inlineStr">
        <is>
          <t>Adding approval steps is a blocker for our finance team. It happens about 18 times a week for our team of 58.</t>
        </is>
      </c>
      <c r="J680" t="inlineStr">
        <is>
          <t>Neutral</t>
        </is>
      </c>
      <c r="K680" t="inlineStr">
        <is>
          <t>Low</t>
        </is>
      </c>
      <c r="L680" t="inlineStr">
        <is>
          <t>Workflow Slowdown</t>
        </is>
      </c>
    </row>
    <row r="681">
      <c r="A681" t="inlineStr">
        <is>
          <t>FB-00680</t>
        </is>
      </c>
      <c r="B681" t="inlineStr">
        <is>
          <t>CUST-0185</t>
        </is>
      </c>
      <c r="C681" t="inlineStr">
        <is>
          <t>2026-04-01</t>
        </is>
      </c>
      <c r="D681" t="inlineStr">
        <is>
          <t>Customer Survey</t>
        </is>
      </c>
      <c r="E681" t="inlineStr">
        <is>
          <t>Professional</t>
        </is>
      </c>
      <c r="F681" t="inlineStr">
        <is>
          <t>Mid-Market</t>
        </is>
      </c>
      <c r="G681" t="inlineStr">
        <is>
          <t>Workflow Automation</t>
        </is>
      </c>
      <c r="H681" t="inlineStr">
        <is>
          <t>Feature Request</t>
        </is>
      </c>
      <c r="I681" t="inlineStr">
        <is>
          <t>Feedback from our monthly review. Please provide prebuilt automations for common processes like onboarding and renewals. So far 67 people on our side have reported it. Let us know if you need examples.</t>
        </is>
      </c>
      <c r="J681" t="inlineStr">
        <is>
          <t>Neutral</t>
        </is>
      </c>
      <c r="K681" t="inlineStr">
        <is>
          <t>Low</t>
        </is>
      </c>
      <c r="L681" t="inlineStr">
        <is>
          <t>Workflow Slowdown</t>
        </is>
      </c>
    </row>
    <row r="682">
      <c r="A682" t="inlineStr">
        <is>
          <t>FB-00681</t>
        </is>
      </c>
      <c r="B682" t="inlineStr">
        <is>
          <t>CUST-0185</t>
        </is>
      </c>
      <c r="C682" t="inlineStr">
        <is>
          <t>2026-04-02</t>
        </is>
      </c>
      <c r="D682" t="inlineStr">
        <is>
          <t>In-App Feedback</t>
        </is>
      </c>
      <c r="E682" t="inlineStr">
        <is>
          <t>Professional</t>
        </is>
      </c>
      <c r="F682" t="inlineStr">
        <is>
          <t>Mid-Market</t>
        </is>
      </c>
      <c r="G682" t="inlineStr">
        <is>
          <t>Contact Management</t>
        </is>
      </c>
      <c r="H682" t="inlineStr">
        <is>
          <t>Feature Request</t>
        </is>
      </c>
      <c r="I682" t="inlineStr">
        <is>
          <t>Please build a bulk contact merge with a preview of what will be combined. It affects our weekly pipeline review process every cycle.</t>
        </is>
      </c>
      <c r="J682" t="inlineStr">
        <is>
          <t>Neutral</t>
        </is>
      </c>
      <c r="K682" t="inlineStr">
        <is>
          <t>Medium</t>
        </is>
      </c>
      <c r="L682" t="inlineStr">
        <is>
          <t>Blocks Key Task</t>
        </is>
      </c>
    </row>
    <row r="683">
      <c r="A683" t="inlineStr">
        <is>
          <t>FB-00682</t>
        </is>
      </c>
      <c r="B683" t="inlineStr">
        <is>
          <t>CUST-0409</t>
        </is>
      </c>
      <c r="C683" t="inlineStr">
        <is>
          <t>2026-04-02</t>
        </is>
      </c>
      <c r="D683" t="inlineStr">
        <is>
          <t>In-App Feedback</t>
        </is>
      </c>
      <c r="E683" t="inlineStr">
        <is>
          <t>Starter</t>
        </is>
      </c>
      <c r="F683" t="inlineStr">
        <is>
          <t>SMB</t>
        </is>
      </c>
      <c r="G683" t="inlineStr">
        <is>
          <t>User Interface</t>
        </is>
      </c>
      <c r="H683" t="inlineStr">
        <is>
          <t>Usability Issue</t>
        </is>
      </c>
      <c r="I683" t="inlineStr">
        <is>
          <t>This has been a recurring problem for us. New hires get lost in the page layout; it takes weeks to learn. It happens about 12 times a week for our team of 69.</t>
        </is>
      </c>
      <c r="J683" t="inlineStr">
        <is>
          <t>Negative</t>
        </is>
      </c>
      <c r="K683" t="inlineStr">
        <is>
          <t>Low</t>
        </is>
      </c>
      <c r="L683" t="inlineStr">
        <is>
          <t>Workflow Slowdown</t>
        </is>
      </c>
    </row>
    <row r="684">
      <c r="A684" t="inlineStr">
        <is>
          <t>FB-00683</t>
        </is>
      </c>
      <c r="B684" t="inlineStr">
        <is>
          <t>CUST-0029</t>
        </is>
      </c>
      <c r="C684" t="inlineStr">
        <is>
          <t>2026-04-02</t>
        </is>
      </c>
      <c r="D684" t="inlineStr">
        <is>
          <t>Support Ticket</t>
        </is>
      </c>
      <c r="E684" t="inlineStr">
        <is>
          <t>Professional</t>
        </is>
      </c>
      <c r="F684" t="inlineStr">
        <is>
          <t>Enterprise</t>
        </is>
      </c>
      <c r="G684" t="inlineStr">
        <is>
          <t>User Interface</t>
        </is>
      </c>
      <c r="H684" t="inlineStr">
        <is>
          <t>Performance Issue</t>
        </is>
      </c>
      <c r="I684" t="inlineStr">
        <is>
          <t>Raising this again after our last business review. Since the redesign there is more page lag on older laptops. Support suggested logging it here.</t>
        </is>
      </c>
      <c r="J684" t="inlineStr">
        <is>
          <t>Negative</t>
        </is>
      </c>
      <c r="K684" t="inlineStr">
        <is>
          <t>Critical</t>
        </is>
      </c>
      <c r="L684" t="inlineStr">
        <is>
          <t>Revenue/Operations Risk</t>
        </is>
      </c>
    </row>
    <row r="685">
      <c r="A685" t="inlineStr">
        <is>
          <t>FB-00684</t>
        </is>
      </c>
      <c r="B685" t="inlineStr">
        <is>
          <t>CUST-0160</t>
        </is>
      </c>
      <c r="C685" t="inlineStr">
        <is>
          <t>2026-04-02</t>
        </is>
      </c>
      <c r="D685" t="inlineStr">
        <is>
          <t>Feature Request</t>
        </is>
      </c>
      <c r="E685" t="inlineStr">
        <is>
          <t>Starter</t>
        </is>
      </c>
      <c r="F685" t="inlineStr">
        <is>
          <t>SMB</t>
        </is>
      </c>
      <c r="G685" t="inlineStr">
        <is>
          <t>Contact Management</t>
        </is>
      </c>
      <c r="H685" t="inlineStr">
        <is>
          <t>Bug</t>
        </is>
      </c>
      <c r="I685" t="inlineStr">
        <is>
          <t>The contact CSV import rejects files with accented characters in names. It happens about 29 times a week for our team of 42. Let us know if you need examples.</t>
        </is>
      </c>
      <c r="J685" t="inlineStr">
        <is>
          <t>Neutral</t>
        </is>
      </c>
      <c r="K685" t="inlineStr">
        <is>
          <t>Medium</t>
        </is>
      </c>
      <c r="L685" t="inlineStr">
        <is>
          <t>Workflow Slowdown</t>
        </is>
      </c>
    </row>
    <row r="686">
      <c r="A686" t="inlineStr">
        <is>
          <t>FB-00685</t>
        </is>
      </c>
      <c r="B686" t="inlineStr">
        <is>
          <t>CUST-0044</t>
        </is>
      </c>
      <c r="C686" t="inlineStr">
        <is>
          <t>2026-04-03</t>
        </is>
      </c>
      <c r="D686" t="inlineStr">
        <is>
          <t>Support Ticket</t>
        </is>
      </c>
      <c r="E686" t="inlineStr">
        <is>
          <t>Enterprise</t>
        </is>
      </c>
      <c r="F686" t="inlineStr">
        <is>
          <t>Enterprise</t>
        </is>
      </c>
      <c r="G686" t="inlineStr">
        <is>
          <t>Contact Management</t>
        </is>
      </c>
      <c r="H686" t="inlineStr">
        <is>
          <t>Performance Issue</t>
        </is>
      </c>
      <c r="I686" t="inlineStr">
        <is>
          <t>Escalating on behalf of our ops lead. The contact list filtering times out on our largest accounts. So far 113 people on our side have reported it. Please look into it soon.</t>
        </is>
      </c>
      <c r="J686" t="inlineStr">
        <is>
          <t>Negative</t>
        </is>
      </c>
      <c r="K686" t="inlineStr">
        <is>
          <t>Medium</t>
        </is>
      </c>
      <c r="L686" t="inlineStr">
        <is>
          <t>Minor Inconvenience</t>
        </is>
      </c>
    </row>
    <row r="687">
      <c r="A687" t="inlineStr">
        <is>
          <t>FB-00686</t>
        </is>
      </c>
      <c r="B687" t="inlineStr">
        <is>
          <t>CUST-0215</t>
        </is>
      </c>
      <c r="C687" t="inlineStr">
        <is>
          <t>2026-04-04</t>
        </is>
      </c>
      <c r="D687" t="inlineStr">
        <is>
          <t>Feature Request</t>
        </is>
      </c>
      <c r="E687" t="inlineStr">
        <is>
          <t>starter</t>
        </is>
      </c>
      <c r="F687" t="inlineStr">
        <is>
          <t>SMB</t>
        </is>
      </c>
      <c r="G687" t="inlineStr">
        <is>
          <t>User Interface</t>
        </is>
      </c>
      <c r="H687" t="inlineStr">
        <is>
          <t>Usability Issue</t>
        </is>
      </c>
      <c r="I687" t="inlineStr">
        <is>
          <t>Our team keeps running into this. Too many clicks to reach common screens because of the settings navigation. We need a fix before renewal.</t>
        </is>
      </c>
      <c r="J687" t="inlineStr">
        <is>
          <t>negative</t>
        </is>
      </c>
      <c r="K687" t="inlineStr">
        <is>
          <t>High</t>
        </is>
      </c>
      <c r="L687" t="inlineStr">
        <is>
          <t>Revenue/Operations Risk</t>
        </is>
      </c>
    </row>
    <row r="688">
      <c r="A688" t="inlineStr">
        <is>
          <t>FB-00687</t>
        </is>
      </c>
      <c r="B688" t="inlineStr">
        <is>
          <t>CUST-0205</t>
        </is>
      </c>
      <c r="C688" t="inlineStr">
        <is>
          <t>2026-04-04</t>
        </is>
      </c>
      <c r="D688" t="inlineStr">
        <is>
          <t>Feature Request</t>
        </is>
      </c>
      <c r="E688" t="inlineStr">
        <is>
          <t>Enterprise</t>
        </is>
      </c>
      <c r="F688" t="inlineStr">
        <is>
          <t>Enterprise</t>
        </is>
      </c>
      <c r="G688" t="inlineStr">
        <is>
          <t>Reporting</t>
        </is>
      </c>
      <c r="H688" t="inlineStr">
        <is>
          <t>Feature Request</t>
        </is>
      </c>
      <c r="I688" t="inlineStr">
        <is>
          <t>Without report scheduling we export raw data and rebuild everything elsewhere. Happy to join a feedback call.</t>
        </is>
      </c>
      <c r="J688" t="inlineStr">
        <is>
          <t>Neutral</t>
        </is>
      </c>
      <c r="K688" t="inlineStr">
        <is>
          <t>Low</t>
        </is>
      </c>
      <c r="L688" t="inlineStr">
        <is>
          <t>Minor Inconvenience</t>
        </is>
      </c>
    </row>
    <row r="689">
      <c r="A689" t="inlineStr">
        <is>
          <t>FB-00688</t>
        </is>
      </c>
      <c r="B689" t="inlineStr">
        <is>
          <t>CUST-0185</t>
        </is>
      </c>
      <c r="C689" t="inlineStr">
        <is>
          <t>2026-04-04</t>
        </is>
      </c>
      <c r="D689" t="inlineStr">
        <is>
          <t>SUPPORT TICKET</t>
        </is>
      </c>
      <c r="E689" t="inlineStr">
        <is>
          <t>Professional</t>
        </is>
      </c>
      <c r="F689" t="inlineStr">
        <is>
          <t>Mid-Market</t>
        </is>
      </c>
      <c r="G689" t="inlineStr">
        <is>
          <t>Workflow Automation</t>
        </is>
      </c>
      <c r="H689" t="inlineStr">
        <is>
          <t>Bug</t>
        </is>
      </c>
      <c r="I689" t="inlineStr">
        <is>
          <t>Escalating on behalf of our ops lead. We are hitting automation misfires: emails don't send and nobody gets notified. So far 9 people on our side have reported it. We need a fix before renewal.</t>
        </is>
      </c>
      <c r="J689" t="inlineStr">
        <is>
          <t>Negative</t>
        </is>
      </c>
      <c r="K689" t="inlineStr">
        <is>
          <t>Low</t>
        </is>
      </c>
      <c r="L689" t="inlineStr">
        <is>
          <t>Minor Inconvenience</t>
        </is>
      </c>
    </row>
    <row r="690">
      <c r="A690" t="inlineStr">
        <is>
          <t>FB-00689</t>
        </is>
      </c>
      <c r="B690" t="inlineStr">
        <is>
          <t>CUST-0293</t>
        </is>
      </c>
      <c r="C690" t="inlineStr">
        <is>
          <t>2026-04-04</t>
        </is>
      </c>
      <c r="D690" t="inlineStr">
        <is>
          <t>Feature Request</t>
        </is>
      </c>
      <c r="E690" t="inlineStr">
        <is>
          <t>Enterprise</t>
        </is>
      </c>
      <c r="F690" t="inlineStr">
        <is>
          <t>Enterprise</t>
        </is>
      </c>
      <c r="G690" t="inlineStr">
        <is>
          <t>Integrations</t>
        </is>
      </c>
      <c r="H690" t="inlineStr">
        <is>
          <t>Feature Request</t>
        </is>
      </c>
      <c r="I690" t="inlineStr">
        <is>
          <t>Feedback from our monthly review. Requesting SAML login for our compliance audit. So far 19 people on our side have reported it.</t>
        </is>
      </c>
      <c r="J690" t="inlineStr">
        <is>
          <t>Neutral</t>
        </is>
      </c>
      <c r="K690" t="inlineStr">
        <is>
          <t>Critical</t>
        </is>
      </c>
      <c r="L690" t="inlineStr">
        <is>
          <t>Revenue/Operations Risk</t>
        </is>
      </c>
    </row>
    <row r="691">
      <c r="A691" t="inlineStr">
        <is>
          <t>FB-00690</t>
        </is>
      </c>
      <c r="B691" t="inlineStr">
        <is>
          <t>CUST-0080</t>
        </is>
      </c>
      <c r="C691" t="inlineStr">
        <is>
          <t>2026-04-04</t>
        </is>
      </c>
      <c r="D691" t="inlineStr">
        <is>
          <t>Support Ticket</t>
        </is>
      </c>
      <c r="E691" t="inlineStr">
        <is>
          <t>Professional</t>
        </is>
      </c>
      <c r="F691" t="inlineStr">
        <is>
          <t>Mid-Market</t>
        </is>
      </c>
      <c r="G691" t="inlineStr">
        <is>
          <t>Contact Management</t>
        </is>
      </c>
      <c r="H691" t="inlineStr">
        <is>
          <t>Bug</t>
        </is>
      </c>
      <c r="I691" t="inlineStr">
        <is>
          <t>Not what we expected for the price. The spreadsheet import rejects files with accented characters in names. Our RevOps lead flagged it while onboarding 102 new users. Please look into it soon.</t>
        </is>
      </c>
      <c r="J691" t="inlineStr">
        <is>
          <t>Negative</t>
        </is>
      </c>
      <c r="K691" t="inlineStr">
        <is>
          <t>High</t>
        </is>
      </c>
      <c r="L691" t="inlineStr">
        <is>
          <t>Workflow Slowdown</t>
        </is>
      </c>
    </row>
    <row r="692">
      <c r="A692" t="inlineStr">
        <is>
          <t>FB-00691</t>
        </is>
      </c>
      <c r="B692" t="inlineStr">
        <is>
          <t>CUST-0251</t>
        </is>
      </c>
      <c r="C692" t="inlineStr">
        <is>
          <t>2026-04-04</t>
        </is>
      </c>
      <c r="D692" t="inlineStr">
        <is>
          <t>Customer Survey</t>
        </is>
      </c>
      <c r="E692" t="inlineStr">
        <is>
          <t>Professional</t>
        </is>
      </c>
      <c r="F692" t="inlineStr">
        <is>
          <t>Mid-Market</t>
        </is>
      </c>
      <c r="G692" t="inlineStr">
        <is>
          <t>User Interface</t>
        </is>
      </c>
      <c r="H692" t="inlineStr">
        <is>
          <t>Feature Request</t>
        </is>
      </c>
      <c r="I692" t="inlineStr">
        <is>
          <t>Requesting multi-select actions across every list view. It happens about 29 times a week for our team of 82. Let us know if you need examples.</t>
        </is>
      </c>
      <c r="J692" t="inlineStr">
        <is>
          <t>Neutral</t>
        </is>
      </c>
      <c r="K692" t="inlineStr">
        <is>
          <t>Low</t>
        </is>
      </c>
      <c r="L692" t="inlineStr">
        <is>
          <t>Workflow Slowdown</t>
        </is>
      </c>
    </row>
    <row r="693">
      <c r="A693" t="inlineStr">
        <is>
          <t>FB-00692</t>
        </is>
      </c>
      <c r="B693" t="inlineStr">
        <is>
          <t>CUST-0072</t>
        </is>
      </c>
      <c r="C693" t="inlineStr">
        <is>
          <t>2026-04-05</t>
        </is>
      </c>
      <c r="D693" t="inlineStr">
        <is>
          <t>Support Ticket</t>
        </is>
      </c>
      <c r="E693" t="inlineStr">
        <is>
          <t>Starter</t>
        </is>
      </c>
      <c r="F693" t="inlineStr">
        <is>
          <t>SMB</t>
        </is>
      </c>
      <c r="G693" t="inlineStr">
        <is>
          <t>Contact Management</t>
        </is>
      </c>
      <c r="H693" t="inlineStr">
        <is>
          <t xml:space="preserve"> Bug</t>
        </is>
      </c>
      <c r="I693" t="inlineStr">
        <is>
          <t>Escalating on behalf of our ops lead. The import field mapping fails halfway through with a generic error and no row-level detail. It happens about 38 times a week for our team of 51. We need a fix before renewal.</t>
        </is>
      </c>
      <c r="J693" t="inlineStr">
        <is>
          <t>Negative</t>
        </is>
      </c>
      <c r="K693" t="inlineStr">
        <is>
          <t>Critical</t>
        </is>
      </c>
      <c r="L693" t="inlineStr">
        <is>
          <t>Revenue/Operations Risk</t>
        </is>
      </c>
    </row>
    <row r="694">
      <c r="A694" t="inlineStr">
        <is>
          <t>FB-00693</t>
        </is>
      </c>
      <c r="B694" t="inlineStr">
        <is>
          <t>CUST-0273</t>
        </is>
      </c>
      <c r="C694" t="inlineStr">
        <is>
          <t>2026-04-05</t>
        </is>
      </c>
      <c r="D694" t="inlineStr">
        <is>
          <t>Customer Survey</t>
        </is>
      </c>
      <c r="E694" t="inlineStr">
        <is>
          <t>Professional</t>
        </is>
      </c>
      <c r="F694" t="inlineStr">
        <is>
          <t>Mid-Market</t>
        </is>
      </c>
      <c r="G694" t="inlineStr">
        <is>
          <t>Workflow Automation</t>
        </is>
      </c>
      <c r="H694" t="inlineStr">
        <is>
          <t>Feature Request</t>
        </is>
      </c>
      <c r="I694" t="inlineStr">
        <is>
          <t>Adding approval steps is a blocker for our finance team. It affects our weekly pipeline review process every cycle. Let us know if you need examples.</t>
        </is>
      </c>
      <c r="J694" t="inlineStr">
        <is>
          <t>Neutral</t>
        </is>
      </c>
      <c r="K694" t="inlineStr">
        <is>
          <t>Low</t>
        </is>
      </c>
      <c r="L694" t="inlineStr">
        <is>
          <t>Minor Inconvenience</t>
        </is>
      </c>
    </row>
    <row r="695">
      <c r="A695" t="inlineStr">
        <is>
          <t>FB-00694</t>
        </is>
      </c>
      <c r="B695" t="inlineStr">
        <is>
          <t>CUST-0298</t>
        </is>
      </c>
      <c r="C695" t="inlineStr">
        <is>
          <t>2026-04-05</t>
        </is>
      </c>
      <c r="D695" t="inlineStr">
        <is>
          <t>Customer Survey</t>
        </is>
      </c>
      <c r="E695" t="inlineStr">
        <is>
          <t>Professional</t>
        </is>
      </c>
      <c r="F695" t="inlineStr">
        <is>
          <t>SMB</t>
        </is>
      </c>
      <c r="G695" t="inlineStr">
        <is>
          <t>Contact Management</t>
        </is>
      </c>
      <c r="H695" t="inlineStr">
        <is>
          <t>Performance Issue</t>
        </is>
      </c>
      <c r="I695" t="inlineStr">
        <is>
          <t>Quick note from our admin. We avoid contact list filtering during calls because it takes too long. So far 11 people on our side have reported it. Happy to join a feedback call.</t>
        </is>
      </c>
      <c r="J695" t="inlineStr">
        <is>
          <t>Neutral</t>
        </is>
      </c>
      <c r="K695" t="inlineStr">
        <is>
          <t>Medium</t>
        </is>
      </c>
      <c r="L695" t="inlineStr">
        <is>
          <t>Minor Inconvenience</t>
        </is>
      </c>
    </row>
    <row r="696">
      <c r="A696" t="inlineStr">
        <is>
          <t>FB-00695</t>
        </is>
      </c>
      <c r="B696" t="inlineStr">
        <is>
          <t>CUST-0146</t>
        </is>
      </c>
      <c r="C696" t="inlineStr">
        <is>
          <t>2026-04-05</t>
        </is>
      </c>
      <c r="D696" t="inlineStr">
        <is>
          <t>In-App Feedback</t>
        </is>
      </c>
      <c r="E696" t="inlineStr">
        <is>
          <t>Starter</t>
        </is>
      </c>
      <c r="F696" t="inlineStr">
        <is>
          <t>SMB</t>
        </is>
      </c>
      <c r="G696" t="inlineStr">
        <is>
          <t>Contact Management</t>
        </is>
      </c>
      <c r="H696" t="inlineStr">
        <is>
          <t>Bug</t>
        </is>
      </c>
      <c r="I696" t="inlineStr">
        <is>
          <t>Sharing this from our team. Our contact CSV import scrambles phone and email columns even after we map them correctly. It affects our onboarding process every cycle.</t>
        </is>
      </c>
      <c r="J696" t="inlineStr">
        <is>
          <t>Neutral</t>
        </is>
      </c>
      <c r="K696" t="inlineStr">
        <is>
          <t>High</t>
        </is>
      </c>
      <c r="L696" t="inlineStr">
        <is>
          <t>Workflow Slowdown</t>
        </is>
      </c>
    </row>
    <row r="697">
      <c r="A697" t="inlineStr">
        <is>
          <t>FB-00696</t>
        </is>
      </c>
      <c r="B697" t="inlineStr">
        <is>
          <t>CUST-0187</t>
        </is>
      </c>
      <c r="C697" t="inlineStr">
        <is>
          <t>2026-04-05</t>
        </is>
      </c>
      <c r="D697" t="inlineStr">
        <is>
          <t>Feature Request</t>
        </is>
      </c>
      <c r="E697" t="inlineStr">
        <is>
          <t>Enterprise</t>
        </is>
      </c>
      <c r="F697" t="inlineStr">
        <is>
          <t>Mid-Market</t>
        </is>
      </c>
      <c r="G697" t="inlineStr">
        <is>
          <t>Workflow Automation</t>
        </is>
      </c>
      <c r="H697" t="inlineStr">
        <is>
          <t>Feature Request</t>
        </is>
      </c>
      <c r="I697" t="inlineStr">
        <is>
          <t>Competitors ship automation recipes; we are rebuilding the same flows from scratch.</t>
        </is>
      </c>
      <c r="J697" t="inlineStr">
        <is>
          <t xml:space="preserve">Neutral </t>
        </is>
      </c>
      <c r="K697" t="inlineStr">
        <is>
          <t>Medium</t>
        </is>
      </c>
      <c r="L697" t="inlineStr">
        <is>
          <t>Workflow Slowdown</t>
        </is>
      </c>
    </row>
    <row r="698">
      <c r="A698" t="inlineStr">
        <is>
          <t>FB-00697</t>
        </is>
      </c>
      <c r="B698" t="inlineStr">
        <is>
          <t>CUST-0188</t>
        </is>
      </c>
      <c r="C698" t="inlineStr">
        <is>
          <t>05-Apr-2026</t>
        </is>
      </c>
      <c r="D698" t="inlineStr">
        <is>
          <t>In-App Feedback</t>
        </is>
      </c>
      <c r="E698" t="inlineStr">
        <is>
          <t>Enterprise</t>
        </is>
      </c>
      <c r="F698" t="inlineStr">
        <is>
          <t>Mid-Market</t>
        </is>
      </c>
      <c r="G698" t="inlineStr">
        <is>
          <t>Lead Management</t>
        </is>
      </c>
      <c r="H698" t="inlineStr">
        <is>
          <t>Performance Issue</t>
        </is>
      </c>
      <c r="I698" t="inlineStr">
        <is>
          <t>Reps have stopped using the board because of pipeline board loading. We estimate we lose roughly 43 hours a month on this. Is there a workaround?</t>
        </is>
      </c>
      <c r="J698" t="inlineStr">
        <is>
          <t>Negative</t>
        </is>
      </c>
      <c r="K698" t="inlineStr">
        <is>
          <t>LOW</t>
        </is>
      </c>
      <c r="L698" t="inlineStr">
        <is>
          <t>Workflow Slowdown</t>
        </is>
      </c>
    </row>
    <row r="699">
      <c r="A699" t="inlineStr">
        <is>
          <t>FB-00698</t>
        </is>
      </c>
      <c r="B699" t="inlineStr">
        <is>
          <t>CUST-0293</t>
        </is>
      </c>
      <c r="C699" t="inlineStr">
        <is>
          <t>2026-04-05</t>
        </is>
      </c>
      <c r="D699" t="inlineStr">
        <is>
          <t>In-App Feedback</t>
        </is>
      </c>
      <c r="E699" t="inlineStr">
        <is>
          <t>Enterprise</t>
        </is>
      </c>
      <c r="F699" t="inlineStr">
        <is>
          <t>Enterprise</t>
        </is>
      </c>
      <c r="G699" t="inlineStr">
        <is>
          <t>Workflow Automation</t>
        </is>
      </c>
      <c r="H699" t="inlineStr">
        <is>
          <t>Bug</t>
        </is>
      </c>
      <c r="I699" t="inlineStr">
        <is>
          <t>We found automation misfires only because a customer complained.</t>
        </is>
      </c>
      <c r="J699" t="inlineStr">
        <is>
          <t>Negative</t>
        </is>
      </c>
      <c r="K699" t="inlineStr">
        <is>
          <t>Medium</t>
        </is>
      </c>
      <c r="L699" t="inlineStr">
        <is>
          <t>Workflow Slowdown</t>
        </is>
      </c>
    </row>
    <row r="700">
      <c r="A700" t="inlineStr">
        <is>
          <t>FB-00699</t>
        </is>
      </c>
      <c r="B700" t="inlineStr">
        <is>
          <t>CUST-0278</t>
        </is>
      </c>
      <c r="C700" t="inlineStr">
        <is>
          <t>2026-04-05</t>
        </is>
      </c>
      <c r="D700" t="inlineStr">
        <is>
          <t>In-App Feedback</t>
        </is>
      </c>
      <c r="E700" t="inlineStr">
        <is>
          <t>Professional</t>
        </is>
      </c>
      <c r="F700" t="inlineStr">
        <is>
          <t>Mid-Market</t>
        </is>
      </c>
      <c r="G700" t="inlineStr">
        <is>
          <t>User Interface</t>
        </is>
      </c>
      <c r="H700" t="inlineStr">
        <is>
          <t>Usability Issue</t>
        </is>
      </c>
      <c r="I700" t="inlineStr">
        <is>
          <t>Our team keeps running into this. The navigation menu changed and nobody told us where things moved. It happens about 17 times a week for our team of 45. We need a fix before renewal.</t>
        </is>
      </c>
      <c r="J700" t="inlineStr">
        <is>
          <t>Negative</t>
        </is>
      </c>
      <c r="K700" t="inlineStr">
        <is>
          <t>Medium</t>
        </is>
      </c>
      <c r="L700" t="inlineStr">
        <is>
          <t>Blocks Key Task</t>
        </is>
      </c>
    </row>
    <row r="701">
      <c r="A701" t="inlineStr">
        <is>
          <t>FB-00700</t>
        </is>
      </c>
      <c r="B701" t="inlineStr">
        <is>
          <t>CUST-0069</t>
        </is>
      </c>
      <c r="C701" t="inlineStr">
        <is>
          <t>2026-04-06</t>
        </is>
      </c>
      <c r="D701" t="inlineStr">
        <is>
          <t>Feature Request</t>
        </is>
      </c>
      <c r="E701" t="inlineStr">
        <is>
          <t>Starter</t>
        </is>
      </c>
      <c r="F701" t="inlineStr">
        <is>
          <t>Mid-Market</t>
        </is>
      </c>
      <c r="G701" t="inlineStr">
        <is>
          <t>Contact Management</t>
        </is>
      </c>
      <c r="H701" t="inlineStr">
        <is>
          <t>Feature Request</t>
        </is>
      </c>
      <c r="I701" t="inlineStr">
        <is>
          <t>Feedback from our monthly review. Is there any plan for a tool to merge duplicate contacts? Merging one record at a time is not realistic. Let us know if you need examples.</t>
        </is>
      </c>
      <c r="J701" t="inlineStr">
        <is>
          <t>Neutral</t>
        </is>
      </c>
      <c r="K701" t="inlineStr">
        <is>
          <t>Low</t>
        </is>
      </c>
      <c r="L701" t="inlineStr">
        <is>
          <t>Blocks Key Task</t>
        </is>
      </c>
    </row>
    <row r="702">
      <c r="A702" t="inlineStr">
        <is>
          <t>FB-00701</t>
        </is>
      </c>
      <c r="B702" t="inlineStr">
        <is>
          <t>CUST-0226</t>
        </is>
      </c>
      <c r="C702" t="inlineStr">
        <is>
          <t>2026-04-06</t>
        </is>
      </c>
      <c r="D702" t="inlineStr">
        <is>
          <t>Customer Survey</t>
        </is>
      </c>
      <c r="E702" t="inlineStr">
        <is>
          <t>Professional</t>
        </is>
      </c>
      <c r="F702" t="inlineStr">
        <is>
          <t>Enterprise</t>
        </is>
      </c>
      <c r="G702" t="inlineStr">
        <is>
          <t>Contact Management</t>
        </is>
      </c>
      <c r="H702" t="inlineStr">
        <is>
          <t>Performance Issue</t>
        </is>
      </c>
      <c r="I702" t="inlineStr">
        <is>
          <t>We avoid contact list filtering during calls because it takes too long. So far 118 people on our side have reported it.</t>
        </is>
      </c>
      <c r="J702" t="inlineStr">
        <is>
          <t>Negative</t>
        </is>
      </c>
      <c r="K702" t="inlineStr">
        <is>
          <t>Critical</t>
        </is>
      </c>
      <c r="L702" t="inlineStr">
        <is>
          <t>Blocks Key Task</t>
        </is>
      </c>
    </row>
    <row r="703">
      <c r="A703" t="inlineStr">
        <is>
          <t>FB-00702</t>
        </is>
      </c>
      <c r="B703" t="inlineStr">
        <is>
          <t>CUST-0334</t>
        </is>
      </c>
      <c r="C703" t="inlineStr">
        <is>
          <t>2026-04-06</t>
        </is>
      </c>
      <c r="D703" t="inlineStr">
        <is>
          <t>Feature Request</t>
        </is>
      </c>
      <c r="E703" t="inlineStr">
        <is>
          <t>Enterprise</t>
        </is>
      </c>
      <c r="F703" t="inlineStr">
        <is>
          <t>SMB</t>
        </is>
      </c>
      <c r="G703" t="inlineStr">
        <is>
          <t>Workflow Automation</t>
        </is>
      </c>
      <c r="H703" t="inlineStr">
        <is>
          <t>Feature Request</t>
        </is>
      </c>
      <c r="I703" t="inlineStr">
        <is>
          <t>We need multi-level approvals in workflows so managers can sign off on discounts. So far 50 people on our side have reported it. Support suggested logging it here.</t>
        </is>
      </c>
      <c r="J703" t="inlineStr">
        <is>
          <t>Negative</t>
        </is>
      </c>
      <c r="K703" t="inlineStr">
        <is>
          <t>Low</t>
        </is>
      </c>
      <c r="L703" t="inlineStr">
        <is>
          <t>Minor Inconvenience</t>
        </is>
      </c>
    </row>
    <row r="704">
      <c r="A704" t="inlineStr">
        <is>
          <t>FB-00703</t>
        </is>
      </c>
      <c r="B704" t="inlineStr">
        <is>
          <t>CUST-0299</t>
        </is>
      </c>
      <c r="C704" t="inlineStr">
        <is>
          <t>2026-04-06</t>
        </is>
      </c>
      <c r="D704" t="inlineStr">
        <is>
          <t>Feature Request</t>
        </is>
      </c>
      <c r="E704" t="inlineStr">
        <is>
          <t>Professional</t>
        </is>
      </c>
      <c r="F704" t="inlineStr">
        <is>
          <t>Mid-Market</t>
        </is>
      </c>
      <c r="G704" t="inlineStr">
        <is>
          <t>Workflow Automation</t>
        </is>
      </c>
      <c r="H704" t="inlineStr">
        <is>
          <t>Feature Request</t>
        </is>
      </c>
      <c r="I704" t="inlineStr">
        <is>
          <t>We'd adopt automation faster with workflow templates we could customize. Our finance analyst flagged it while onboarding 69 new users.</t>
        </is>
      </c>
      <c r="J704" t="inlineStr">
        <is>
          <t>Neutral</t>
        </is>
      </c>
      <c r="K704" t="inlineStr">
        <is>
          <t>Low</t>
        </is>
      </c>
      <c r="L704" t="inlineStr">
        <is>
          <t>Minor Inconvenience</t>
        </is>
      </c>
    </row>
    <row r="705">
      <c r="A705" t="inlineStr">
        <is>
          <t>FB-00704</t>
        </is>
      </c>
      <c r="B705" t="inlineStr">
        <is>
          <t>CUST-0229</t>
        </is>
      </c>
      <c r="C705" t="inlineStr">
        <is>
          <t>2026-04-06</t>
        </is>
      </c>
      <c r="D705" t="inlineStr">
        <is>
          <t>In-App Feedback</t>
        </is>
      </c>
      <c r="E705" t="inlineStr">
        <is>
          <t>Starter</t>
        </is>
      </c>
      <c r="F705" t="inlineStr">
        <is>
          <t>Mid-Market</t>
        </is>
      </c>
      <c r="G705" t="inlineStr">
        <is>
          <t>Integrations</t>
        </is>
      </c>
      <c r="H705" t="inlineStr">
        <is>
          <t>Integration Issue</t>
        </is>
      </c>
      <c r="I705" t="inlineStr">
        <is>
          <t>Frustrated with this one. Reps no longer trust Outlook calendar sync, so they log activity by hand. Support suggested logging it here.</t>
        </is>
      </c>
      <c r="J705" t="inlineStr">
        <is>
          <t>Negative</t>
        </is>
      </c>
      <c r="K705" t="inlineStr">
        <is>
          <t>Medium</t>
        </is>
      </c>
      <c r="L705" t="inlineStr">
        <is>
          <t>Minor Inconvenience</t>
        </is>
      </c>
    </row>
    <row r="706">
      <c r="A706" t="inlineStr">
        <is>
          <t>FB-00705</t>
        </is>
      </c>
      <c r="B706" t="inlineStr">
        <is>
          <t>CUST-0295</t>
        </is>
      </c>
      <c r="C706" t="inlineStr">
        <is>
          <t>2026-04-06</t>
        </is>
      </c>
      <c r="D706" t="inlineStr">
        <is>
          <t>Support Ticket</t>
        </is>
      </c>
      <c r="E706" t="inlineStr">
        <is>
          <t>Starter</t>
        </is>
      </c>
      <c r="F706" t="inlineStr">
        <is>
          <t>SMB</t>
        </is>
      </c>
      <c r="G706" t="inlineStr">
        <is>
          <t>Lead Management</t>
        </is>
      </c>
      <c r="H706" t="inlineStr">
        <is>
          <t>Bug</t>
        </is>
      </c>
      <c r="I706" t="inlineStr">
        <is>
          <t>This has been a recurring problem for us. Web form submissions keep creating duplicated leads, and reps end up calling the same prospect twice. It affects our weekly pipeline review process every cycle.</t>
        </is>
      </c>
      <c r="J706" t="inlineStr">
        <is>
          <t>Negative</t>
        </is>
      </c>
      <c r="K706" t="inlineStr">
        <is>
          <t>Critical</t>
        </is>
      </c>
      <c r="L706" t="inlineStr">
        <is>
          <t>Revenue/Operations Risk</t>
        </is>
      </c>
    </row>
    <row r="707">
      <c r="A707" t="inlineStr">
        <is>
          <t>FB-00706</t>
        </is>
      </c>
      <c r="B707" t="inlineStr">
        <is>
          <t>CUST-0199</t>
        </is>
      </c>
      <c r="C707" t="inlineStr">
        <is>
          <t>2026-04-07</t>
        </is>
      </c>
      <c r="D707" t="inlineStr">
        <is>
          <t>Customer Survey</t>
        </is>
      </c>
      <c r="E707" t="inlineStr">
        <is>
          <t>Professional</t>
        </is>
      </c>
      <c r="F707" t="inlineStr">
        <is>
          <t>Mid-Market</t>
        </is>
      </c>
      <c r="G707" t="inlineStr">
        <is>
          <t>Contact Management</t>
        </is>
      </c>
      <c r="H707" t="inlineStr">
        <is>
          <t>Feature Request</t>
        </is>
      </c>
      <c r="I707" t="inlineStr">
        <is>
          <t>Our team keeps running into this. A bulk contact merge that keeps activity history would save our ops team hours. Our admin flagged it while onboarding 60 new users. Is there a workaround?</t>
        </is>
      </c>
      <c r="J707" t="inlineStr">
        <is>
          <t>Negative</t>
        </is>
      </c>
      <c r="K707" t="inlineStr">
        <is>
          <t>Medium</t>
        </is>
      </c>
      <c r="L707" t="inlineStr">
        <is>
          <t>Workflow Slowdown</t>
        </is>
      </c>
    </row>
    <row r="708">
      <c r="A708" t="inlineStr">
        <is>
          <t>FB-00707</t>
        </is>
      </c>
      <c r="B708" t="inlineStr">
        <is>
          <t>CUST-0108</t>
        </is>
      </c>
      <c r="C708" t="inlineStr">
        <is>
          <t>2026-04-07</t>
        </is>
      </c>
      <c r="D708" t="inlineStr">
        <is>
          <t>Feature Request</t>
        </is>
      </c>
      <c r="E708" t="inlineStr">
        <is>
          <t>Enterprise</t>
        </is>
      </c>
      <c r="F708" t="inlineStr">
        <is>
          <t>Mid-Market</t>
        </is>
      </c>
      <c r="G708" t="inlineStr">
        <is>
          <t>User Interface</t>
        </is>
      </c>
      <c r="H708" t="inlineStr">
        <is>
          <t>Feature Request</t>
        </is>
      </c>
      <c r="I708" t="inlineStr">
        <is>
          <t>Overall we like the product. Please add bulk edit actions; changing records one at a time wastes hours. It happens about 12 times a week for our team of 99.</t>
        </is>
      </c>
      <c r="J708" t="inlineStr">
        <is>
          <t>Positive</t>
        </is>
      </c>
      <c r="K708" t="inlineStr">
        <is>
          <t>Medium</t>
        </is>
      </c>
      <c r="L708" t="inlineStr">
        <is>
          <t>Blocks Key Task</t>
        </is>
      </c>
    </row>
    <row r="709">
      <c r="A709" t="inlineStr">
        <is>
          <t>FB-00708</t>
        </is>
      </c>
      <c r="B709" t="inlineStr">
        <is>
          <t>CUST-0074</t>
        </is>
      </c>
      <c r="C709" t="inlineStr">
        <is>
          <t>2026-04-07</t>
        </is>
      </c>
      <c r="D709" t="inlineStr">
        <is>
          <t>In-App Feedback</t>
        </is>
      </c>
      <c r="E709" t="inlineStr">
        <is>
          <t>Enterprise</t>
        </is>
      </c>
      <c r="F709" t="inlineStr">
        <is>
          <t>Mid-Market</t>
        </is>
      </c>
      <c r="G709" t="inlineStr">
        <is>
          <t>Lead Management</t>
        </is>
      </c>
      <c r="H709" t="inlineStr">
        <is>
          <t>Performance Issue</t>
        </is>
      </c>
      <c r="I709" t="inlineStr">
        <is>
          <t>Not what we expected for the price. Our pipeline board loading regularly exceeds ten seconds on Monday mornings. We estimate we lose roughly 21 hours a month on this. Support suggested logging it here.</t>
        </is>
      </c>
      <c r="J709" t="inlineStr">
        <is>
          <t>Negative</t>
        </is>
      </c>
      <c r="K709" t="inlineStr">
        <is>
          <t>High</t>
        </is>
      </c>
      <c r="L709" t="inlineStr">
        <is>
          <t>Blocks Key Task</t>
        </is>
      </c>
    </row>
    <row r="710">
      <c r="A710" t="inlineStr">
        <is>
          <t>FB-00709</t>
        </is>
      </c>
      <c r="B710" t="inlineStr">
        <is>
          <t>CUST-0381</t>
        </is>
      </c>
      <c r="C710" t="inlineStr">
        <is>
          <t>2026-04-07</t>
        </is>
      </c>
      <c r="D710" t="inlineStr">
        <is>
          <t>In-App Feedback</t>
        </is>
      </c>
      <c r="E710" t="inlineStr">
        <is>
          <t>Professional</t>
        </is>
      </c>
      <c r="F710" t="inlineStr">
        <is>
          <t>Mid-Market</t>
        </is>
      </c>
      <c r="G710" t="inlineStr">
        <is>
          <t>Reporting</t>
        </is>
      </c>
      <c r="H710" t="inlineStr">
        <is>
          <t>Performance Issue</t>
        </is>
      </c>
      <c r="I710" t="inlineStr">
        <is>
          <t>Execs gave up on the dashboard refresh and ask for screenshots instead. It happens about 10 times a week for our team of 23. Is there a workaround?</t>
        </is>
      </c>
      <c r="J710" t="inlineStr">
        <is>
          <t>Negative</t>
        </is>
      </c>
      <c r="K710" t="inlineStr">
        <is>
          <t>Medium</t>
        </is>
      </c>
      <c r="L710" t="inlineStr">
        <is>
          <t>Blocks Key Task</t>
        </is>
      </c>
    </row>
    <row r="711">
      <c r="A711" t="inlineStr">
        <is>
          <t>FB-00710</t>
        </is>
      </c>
      <c r="B711" t="inlineStr">
        <is>
          <t>CUST-0243</t>
        </is>
      </c>
      <c r="C711" t="inlineStr">
        <is>
          <t>2026-04-07</t>
        </is>
      </c>
      <c r="D711" t="inlineStr">
        <is>
          <t>Support Ticket</t>
        </is>
      </c>
      <c r="E711" t="inlineStr">
        <is>
          <t>Professional</t>
        </is>
      </c>
      <c r="F711" t="inlineStr">
        <is>
          <t>SMB</t>
        </is>
      </c>
      <c r="G711" t="inlineStr">
        <is>
          <t>Integrations</t>
        </is>
      </c>
      <c r="H711" t="inlineStr">
        <is>
          <t>Integration Issue</t>
        </is>
      </c>
      <c r="I711" t="inlineStr">
        <is>
          <t>Escalating on behalf of our ops lead. Webhook delivery is unreliable and there is no retry or log we can inspect. It affects our lead handoff process every cycle.</t>
        </is>
      </c>
      <c r="J711" t="inlineStr">
        <is>
          <t>Negative</t>
        </is>
      </c>
      <c r="K711" t="inlineStr">
        <is>
          <t>Medium</t>
        </is>
      </c>
      <c r="L711" t="inlineStr">
        <is>
          <t>Workflow Slowdown</t>
        </is>
      </c>
    </row>
    <row r="712">
      <c r="A712" t="inlineStr">
        <is>
          <t>FB-00711</t>
        </is>
      </c>
      <c r="B712" t="inlineStr">
        <is>
          <t>CUST-0320</t>
        </is>
      </c>
      <c r="C712" t="inlineStr">
        <is>
          <t>2026-04-08</t>
        </is>
      </c>
      <c r="D712" t="inlineStr">
        <is>
          <t>Feature Request</t>
        </is>
      </c>
      <c r="E712" t="inlineStr">
        <is>
          <t>Professional</t>
        </is>
      </c>
      <c r="F712" t="inlineStr">
        <is>
          <t>Mid-Market</t>
        </is>
      </c>
      <c r="G712" t="inlineStr">
        <is>
          <t>Workflow Automation</t>
        </is>
      </c>
      <c r="H712" t="inlineStr">
        <is>
          <t>Feature Request</t>
        </is>
      </c>
      <c r="I712" t="inlineStr">
        <is>
          <t>Feedback from our monthly review. A library of workflow templates would cut our setup time. So far 11 people on our side have reported it. Let us know if you need examples.</t>
        </is>
      </c>
      <c r="J712" t="inlineStr">
        <is>
          <t>Neutral</t>
        </is>
      </c>
      <c r="K712" t="inlineStr">
        <is>
          <t>Low</t>
        </is>
      </c>
      <c r="L712" t="inlineStr">
        <is>
          <t>Minor Inconvenience</t>
        </is>
      </c>
    </row>
    <row r="713">
      <c r="A713" t="inlineStr">
        <is>
          <t>FB-00712</t>
        </is>
      </c>
      <c r="B713" t="inlineStr">
        <is>
          <t>CUST-0179</t>
        </is>
      </c>
      <c r="C713" t="inlineStr">
        <is>
          <t>2026-04-08</t>
        </is>
      </c>
      <c r="D713" t="inlineStr">
        <is>
          <t>Support Ticket</t>
        </is>
      </c>
      <c r="E713" t="inlineStr">
        <is>
          <t>Enterprise</t>
        </is>
      </c>
      <c r="F713" t="inlineStr">
        <is>
          <t>Enterprise</t>
        </is>
      </c>
      <c r="G713" t="inlineStr">
        <is>
          <t>Workflow Automation</t>
        </is>
      </c>
      <c r="H713" t="inlineStr">
        <is>
          <t>Bug</t>
        </is>
      </c>
      <c r="I713" t="inlineStr">
        <is>
          <t>We found automation misfires only because a customer complained. So far 3 people on our side have reported it. Support suggested logging it here.</t>
        </is>
      </c>
      <c r="J713" t="inlineStr">
        <is>
          <t>Negative</t>
        </is>
      </c>
      <c r="K713" t="inlineStr">
        <is>
          <t>Medium</t>
        </is>
      </c>
      <c r="L713" t="inlineStr">
        <is>
          <t>Blocks Key Task</t>
        </is>
      </c>
    </row>
    <row r="714">
      <c r="A714" t="inlineStr">
        <is>
          <t>FB-00713</t>
        </is>
      </c>
      <c r="B714" t="inlineStr">
        <is>
          <t>CUST-0146</t>
        </is>
      </c>
      <c r="C714" t="inlineStr">
        <is>
          <t>2026-04-08</t>
        </is>
      </c>
      <c r="D714" t="inlineStr">
        <is>
          <t>In-App Feedback</t>
        </is>
      </c>
      <c r="E714" t="inlineStr">
        <is>
          <t>Starter</t>
        </is>
      </c>
      <c r="F714" t="inlineStr">
        <is>
          <t>SMB</t>
        </is>
      </c>
      <c r="G714" t="inlineStr">
        <is>
          <t>User Interface</t>
        </is>
      </c>
      <c r="H714" t="inlineStr">
        <is>
          <t>Usability Issue</t>
        </is>
      </c>
      <c r="I714" t="inlineStr">
        <is>
          <t>Frustrated with this one. The settings navigation changed and nobody told us where things moved. So far 22 people on our side have reported it. Please look into it soon.</t>
        </is>
      </c>
      <c r="J714" t="inlineStr">
        <is>
          <t>Negative</t>
        </is>
      </c>
      <c r="K714" t="inlineStr">
        <is>
          <t>Low</t>
        </is>
      </c>
      <c r="L714" t="inlineStr">
        <is>
          <t>Minor Inconvenience</t>
        </is>
      </c>
    </row>
    <row r="715">
      <c r="A715" t="inlineStr">
        <is>
          <t>FB-00714</t>
        </is>
      </c>
      <c r="B715" t="inlineStr">
        <is>
          <t>CUST-0210</t>
        </is>
      </c>
      <c r="C715" t="inlineStr">
        <is>
          <t>2026-04-09</t>
        </is>
      </c>
      <c r="D715" t="inlineStr">
        <is>
          <t>In-App Feedback</t>
        </is>
      </c>
      <c r="E715" t="inlineStr">
        <is>
          <t>Professional</t>
        </is>
      </c>
      <c r="F715" t="inlineStr">
        <is>
          <t>Mid-Market</t>
        </is>
      </c>
      <c r="G715" t="inlineStr">
        <is>
          <t>Reporting</t>
        </is>
      </c>
      <c r="H715" t="inlineStr">
        <is>
          <t>Feature Request</t>
        </is>
      </c>
      <c r="I715" t="inlineStr">
        <is>
          <t>Requesting a custom report builder so leadership gets numbers without logging in.</t>
        </is>
      </c>
      <c r="J715" t="inlineStr">
        <is>
          <t>Neutral</t>
        </is>
      </c>
      <c r="K715" t="inlineStr">
        <is>
          <t>Medium</t>
        </is>
      </c>
      <c r="L715" t="inlineStr">
        <is>
          <t>Workflow Slowdown</t>
        </is>
      </c>
    </row>
    <row r="716">
      <c r="A716" t="inlineStr">
        <is>
          <t>FB-00715</t>
        </is>
      </c>
      <c r="B716" t="inlineStr">
        <is>
          <t>CUST-0371</t>
        </is>
      </c>
      <c r="C716" t="inlineStr">
        <is>
          <t>2026-04-10</t>
        </is>
      </c>
      <c r="D716" t="inlineStr">
        <is>
          <t>In-App Feedback</t>
        </is>
      </c>
      <c r="E716" t="inlineStr">
        <is>
          <t>Enterprise</t>
        </is>
      </c>
      <c r="F716" t="inlineStr">
        <is>
          <t>Enterprise</t>
        </is>
      </c>
      <c r="G716" t="inlineStr">
        <is>
          <t>Integrations</t>
        </is>
      </c>
      <c r="H716" t="inlineStr">
        <is>
          <t>Integration Issue</t>
        </is>
      </c>
      <c r="I716" t="inlineStr">
        <is>
          <t>This has been a recurring problem for us. Our Gmail sync keeps disconnecting and activities are missing from the contact timeline. It affects our quarterly planning process every cycle.</t>
        </is>
      </c>
      <c r="J716" t="inlineStr">
        <is>
          <t>Negative</t>
        </is>
      </c>
      <c r="K716" t="inlineStr">
        <is>
          <t>High</t>
        </is>
      </c>
      <c r="L716" t="inlineStr">
        <is>
          <t>Blocks Key Task</t>
        </is>
      </c>
    </row>
    <row r="717">
      <c r="A717" t="inlineStr">
        <is>
          <t>FB-00716</t>
        </is>
      </c>
      <c r="B717" t="inlineStr">
        <is>
          <t>CUST-0313</t>
        </is>
      </c>
      <c r="C717" t="inlineStr">
        <is>
          <t>2026-04-10</t>
        </is>
      </c>
      <c r="D717" t="inlineStr">
        <is>
          <t>Customer Survey</t>
        </is>
      </c>
      <c r="E717" t="inlineStr">
        <is>
          <t>Starter</t>
        </is>
      </c>
      <c r="F717" t="inlineStr">
        <is>
          <t>SMB</t>
        </is>
      </c>
      <c r="G717" t="inlineStr">
        <is>
          <t>Contact Management</t>
        </is>
      </c>
      <c r="H717" t="inlineStr">
        <is>
          <t>Performance Issue</t>
        </is>
      </c>
      <c r="I717" t="inlineStr">
        <is>
          <t>Quick note from our admin. The contact list filtering times out on our largest accounts. It happens about 9 times a week for our team of 81. Happy to join a feedback call.</t>
        </is>
      </c>
      <c r="J717" t="inlineStr">
        <is>
          <t>Neutral</t>
        </is>
      </c>
      <c r="K717" t="inlineStr">
        <is>
          <t>Critical</t>
        </is>
      </c>
      <c r="L717" t="inlineStr">
        <is>
          <t>Revenue/Operations Risk</t>
        </is>
      </c>
    </row>
    <row r="718">
      <c r="A718" t="inlineStr">
        <is>
          <t>FB-00717</t>
        </is>
      </c>
      <c r="B718" t="inlineStr">
        <is>
          <t>CUST-0197</t>
        </is>
      </c>
      <c r="C718" t="inlineStr">
        <is>
          <t>2026-04-10</t>
        </is>
      </c>
      <c r="D718" t="inlineStr">
        <is>
          <t>Customer Survey</t>
        </is>
      </c>
      <c r="E718" t="inlineStr">
        <is>
          <t>Professional</t>
        </is>
      </c>
      <c r="F718" t="inlineStr">
        <is>
          <t>Mid-Market</t>
        </is>
      </c>
      <c r="G718" t="inlineStr">
        <is>
          <t>Reporting</t>
        </is>
      </c>
      <c r="H718" t="inlineStr">
        <is>
          <t>Feature Request</t>
        </is>
      </c>
      <c r="I718" t="inlineStr">
        <is>
          <t>Noting this during onboarding. We need scheduled report emails so non-technical managers can create their own views. It affects our onboarding process every cycle. Let us know if you need examples.</t>
        </is>
      </c>
      <c r="J718" t="inlineStr">
        <is>
          <t>Neutral</t>
        </is>
      </c>
      <c r="K718" t="inlineStr">
        <is>
          <t>Medium</t>
        </is>
      </c>
      <c r="L718" t="inlineStr">
        <is>
          <t>Blocks Key Task</t>
        </is>
      </c>
    </row>
    <row r="719">
      <c r="A719" t="inlineStr">
        <is>
          <t>FB-00718</t>
        </is>
      </c>
      <c r="B719" t="inlineStr">
        <is>
          <t>CUST-0059</t>
        </is>
      </c>
      <c r="C719" t="inlineStr">
        <is>
          <t>2026-04-11</t>
        </is>
      </c>
      <c r="D719" t="inlineStr">
        <is>
          <t>Support Ticket</t>
        </is>
      </c>
      <c r="E719" t="inlineStr">
        <is>
          <t>Starter</t>
        </is>
      </c>
      <c r="F719" t="inlineStr">
        <is>
          <t>SMB</t>
        </is>
      </c>
      <c r="G719" t="inlineStr">
        <is>
          <t>Workflow Automation</t>
        </is>
      </c>
      <c r="H719" t="inlineStr">
        <is>
          <t>Usability Issue</t>
        </is>
      </c>
      <c r="I719" t="inlineStr">
        <is>
          <t>The workflow builder is hard to follow once a flow has more than a handful of steps. So far 35 people on our side have reported it.</t>
        </is>
      </c>
      <c r="J719" t="inlineStr">
        <is>
          <t>Positive</t>
        </is>
      </c>
      <c r="K719" t="inlineStr">
        <is>
          <t>Low</t>
        </is>
      </c>
      <c r="L719" t="inlineStr">
        <is>
          <t>Minor Inconvenience</t>
        </is>
      </c>
    </row>
    <row r="720">
      <c r="A720" t="inlineStr">
        <is>
          <t>FB-00719</t>
        </is>
      </c>
      <c r="B720" t="inlineStr">
        <is>
          <t>CUST-0188</t>
        </is>
      </c>
      <c r="C720" t="inlineStr">
        <is>
          <t>2026-04-11</t>
        </is>
      </c>
      <c r="D720" t="inlineStr">
        <is>
          <t>In-App Feedback</t>
        </is>
      </c>
      <c r="E720" t="inlineStr">
        <is>
          <t>Enterprise</t>
        </is>
      </c>
      <c r="F720" t="inlineStr">
        <is>
          <t>Mid-Market</t>
        </is>
      </c>
      <c r="G720" t="inlineStr">
        <is>
          <t>Reporting</t>
        </is>
      </c>
      <c r="H720" t="inlineStr">
        <is>
          <t>Feature Request</t>
        </is>
      </c>
      <c r="I720" t="inlineStr">
        <is>
          <t>Raising this again after our last business review. We need scheduled report emails so non-technical managers can create their own views. We estimate we lose roughly 23 hours a month on this.</t>
        </is>
      </c>
      <c r="J720" t="inlineStr">
        <is>
          <t>Negative</t>
        </is>
      </c>
      <c r="K720" t="inlineStr">
        <is>
          <t>High</t>
        </is>
      </c>
      <c r="L720" t="inlineStr">
        <is>
          <t>Blocks Key Task</t>
        </is>
      </c>
    </row>
    <row r="721">
      <c r="A721" t="inlineStr">
        <is>
          <t>FB-00720</t>
        </is>
      </c>
      <c r="B721" t="inlineStr">
        <is>
          <t>CUST-0092</t>
        </is>
      </c>
      <c r="C721" t="inlineStr">
        <is>
          <t>2026-04-12</t>
        </is>
      </c>
      <c r="D721" t="inlineStr">
        <is>
          <t>Customer Survey</t>
        </is>
      </c>
      <c r="E721" t="inlineStr">
        <is>
          <t>Professional</t>
        </is>
      </c>
      <c r="F721" t="inlineStr">
        <is>
          <t>Mid-Market</t>
        </is>
      </c>
      <c r="G721" t="inlineStr">
        <is>
          <t>Workflow Automation</t>
        </is>
      </c>
      <c r="H721" t="inlineStr">
        <is>
          <t>Feature Request</t>
        </is>
      </c>
      <c r="I721" t="inlineStr">
        <is>
          <t>Recent updates have been a nice improvement. A library of workflow templates would cut our setup time. It happens about 17 times a week for our team of 106.</t>
        </is>
      </c>
      <c r="J721" t="inlineStr">
        <is>
          <t>Positive</t>
        </is>
      </c>
      <c r="K721" t="inlineStr">
        <is>
          <t>Low</t>
        </is>
      </c>
      <c r="L721" t="inlineStr">
        <is>
          <t>Minor Inconvenience</t>
        </is>
      </c>
    </row>
    <row r="722">
      <c r="A722" t="inlineStr">
        <is>
          <t>FB-00721</t>
        </is>
      </c>
      <c r="B722" t="inlineStr">
        <is>
          <t>CUST-0091</t>
        </is>
      </c>
      <c r="C722" t="inlineStr">
        <is>
          <t>2026-04-12</t>
        </is>
      </c>
      <c r="D722" t="inlineStr">
        <is>
          <t>In-App Feedback</t>
        </is>
      </c>
      <c r="E722" t="inlineStr">
        <is>
          <t>Professional</t>
        </is>
      </c>
      <c r="F722" t="inlineStr">
        <is>
          <t>SMB</t>
        </is>
      </c>
      <c r="G722" t="inlineStr">
        <is>
          <t>Reporting</t>
        </is>
      </c>
      <c r="H722" t="inlineStr">
        <is>
          <t>Performance Issue</t>
        </is>
      </c>
      <c r="I722" t="inlineStr">
        <is>
          <t>Overall we like the product. The report load time is painfully slow with a full year of data. So far 91 people on our side have reported it.</t>
        </is>
      </c>
      <c r="J722" t="inlineStr">
        <is>
          <t>Positive</t>
        </is>
      </c>
      <c r="K722" t="inlineStr">
        <is>
          <t>High</t>
        </is>
      </c>
      <c r="L722" t="inlineStr">
        <is>
          <t>Workflow Slowdown</t>
        </is>
      </c>
    </row>
    <row r="723">
      <c r="A723" t="inlineStr">
        <is>
          <t>FB-00722</t>
        </is>
      </c>
      <c r="B723" t="inlineStr">
        <is>
          <t>CUST-0187</t>
        </is>
      </c>
      <c r="C723" t="inlineStr">
        <is>
          <t>2026-04-12</t>
        </is>
      </c>
      <c r="D723" t="inlineStr">
        <is>
          <t>Customer Survey</t>
        </is>
      </c>
      <c r="E723" t="inlineStr">
        <is>
          <t>Enterprise</t>
        </is>
      </c>
      <c r="F723" t="inlineStr">
        <is>
          <t>Mid-Market</t>
        </is>
      </c>
      <c r="G723" t="inlineStr">
        <is>
          <t>Reporting</t>
        </is>
      </c>
      <c r="H723" t="inlineStr">
        <is>
          <t>Feature Request</t>
        </is>
      </c>
      <c r="I723" t="inlineStr">
        <is>
          <t>Please add forecast rollups; managers keep a separate spreadsheet. We estimate we lose roughly 58 hours a month on this. Please look into it soon.</t>
        </is>
      </c>
      <c r="J723" t="inlineStr">
        <is>
          <t>Negative</t>
        </is>
      </c>
      <c r="K723" t="inlineStr">
        <is>
          <t>Medium</t>
        </is>
      </c>
      <c r="L723" t="inlineStr">
        <is>
          <t>Minor Inconvenience</t>
        </is>
      </c>
    </row>
    <row r="724">
      <c r="A724" t="inlineStr">
        <is>
          <t>FB-00723</t>
        </is>
      </c>
      <c r="B724" t="inlineStr">
        <is>
          <t>CUST-0297</t>
        </is>
      </c>
      <c r="C724" t="inlineStr">
        <is>
          <t>2026-04-12</t>
        </is>
      </c>
      <c r="D724" t="inlineStr">
        <is>
          <t>Support Ticket</t>
        </is>
      </c>
      <c r="E724" t="inlineStr">
        <is>
          <t>Professional</t>
        </is>
      </c>
      <c r="F724" t="inlineStr">
        <is>
          <t>Mid-Market</t>
        </is>
      </c>
      <c r="G724" t="inlineStr">
        <is>
          <t>Contact Management</t>
        </is>
      </c>
      <c r="H724" t="inlineStr">
        <is>
          <t>Feature Request</t>
        </is>
      </c>
      <c r="I724" t="inlineStr">
        <is>
          <t>A tool to merge duplicate contacts that keeps activity history would save our ops team hours. Our admin flagged it while onboarding 28 new users.</t>
        </is>
      </c>
      <c r="J724" t="inlineStr">
        <is>
          <t>Neutral</t>
        </is>
      </c>
      <c r="K724" t="inlineStr">
        <is>
          <t>Low</t>
        </is>
      </c>
      <c r="L724" t="inlineStr">
        <is>
          <t>Minor Inconvenience</t>
        </is>
      </c>
    </row>
    <row r="725">
      <c r="A725" t="inlineStr">
        <is>
          <t>FB-00724</t>
        </is>
      </c>
      <c r="B725" t="inlineStr">
        <is>
          <t>CUST-0157</t>
        </is>
      </c>
      <c r="C725" t="inlineStr">
        <is>
          <t>2026-04-13</t>
        </is>
      </c>
      <c r="D725" t="inlineStr">
        <is>
          <t>Feature Request</t>
        </is>
      </c>
      <c r="E725" t="inlineStr">
        <is>
          <t>Starter</t>
        </is>
      </c>
      <c r="F725" t="inlineStr">
        <is>
          <t>SMB</t>
        </is>
      </c>
      <c r="G725" t="inlineStr">
        <is>
          <t>Workflow Automation</t>
        </is>
      </c>
      <c r="H725" t="inlineStr">
        <is>
          <t>Feature Request</t>
        </is>
      </c>
      <c r="I725" t="inlineStr">
        <is>
          <t>Overall we like the product. Please provide workflow templates for common processes like onboarding and renewals. It affects our weekly pipeline review process every cycle. Thanks to the team.</t>
        </is>
      </c>
      <c r="J725" t="inlineStr">
        <is>
          <t>Positive</t>
        </is>
      </c>
      <c r="K725" t="inlineStr">
        <is>
          <t>Low</t>
        </is>
      </c>
      <c r="L725" t="inlineStr">
        <is>
          <t>Minor Inconvenience</t>
        </is>
      </c>
    </row>
    <row r="726">
      <c r="A726" t="inlineStr">
        <is>
          <t>FB-00725</t>
        </is>
      </c>
      <c r="B726" t="inlineStr">
        <is>
          <t>CUST-0198</t>
        </is>
      </c>
      <c r="C726" t="inlineStr">
        <is>
          <t>2026-04-13</t>
        </is>
      </c>
      <c r="D726" t="inlineStr">
        <is>
          <t>Customer Survey</t>
        </is>
      </c>
      <c r="E726" t="inlineStr">
        <is>
          <t>Starter</t>
        </is>
      </c>
      <c r="F726" t="inlineStr">
        <is>
          <t>SMB</t>
        </is>
      </c>
      <c r="G726" t="inlineStr">
        <is>
          <t>User Interface</t>
        </is>
      </c>
      <c r="H726" t="inlineStr">
        <is>
          <t>Usability Issue</t>
        </is>
      </c>
      <c r="I726" t="inlineStr">
        <is>
          <t>Too many clicks to reach common screens because of the page layout. We estimate we lose roughly 22 hours a month on this.</t>
        </is>
      </c>
      <c r="J726" t="inlineStr">
        <is>
          <t>Neutral</t>
        </is>
      </c>
      <c r="K726" t="inlineStr">
        <is>
          <t>Low</t>
        </is>
      </c>
      <c r="L726" t="inlineStr">
        <is>
          <t>Minor Inconvenience</t>
        </is>
      </c>
    </row>
    <row r="727">
      <c r="A727" t="inlineStr">
        <is>
          <t>FB-00726</t>
        </is>
      </c>
      <c r="B727" t="inlineStr">
        <is>
          <t>CUST-0158</t>
        </is>
      </c>
      <c r="C727" t="inlineStr">
        <is>
          <t>2026-04-13</t>
        </is>
      </c>
      <c r="D727" t="inlineStr">
        <is>
          <t>Support Ticket</t>
        </is>
      </c>
      <c r="E727" t="inlineStr">
        <is>
          <t>Starter</t>
        </is>
      </c>
      <c r="F727" t="inlineStr">
        <is>
          <t>SMB</t>
        </is>
      </c>
      <c r="G727" t="inlineStr">
        <is>
          <t>Contact Management</t>
        </is>
      </c>
      <c r="H727" t="inlineStr">
        <is>
          <t>Bug</t>
        </is>
      </c>
      <c r="I727" t="inlineStr">
        <is>
          <t>Our team keeps running into this. The import field mapping silently skipped rows and we only noticed days later. We estimate we lose roughly 52 hours a month on this. Please look into it soon.</t>
        </is>
      </c>
      <c r="J727" t="inlineStr">
        <is>
          <t>Negative</t>
        </is>
      </c>
      <c r="K727" t="inlineStr">
        <is>
          <t>Critical</t>
        </is>
      </c>
      <c r="L727" t="inlineStr">
        <is>
          <t>Revenue/Operations Risk</t>
        </is>
      </c>
    </row>
    <row r="728">
      <c r="A728" t="inlineStr">
        <is>
          <t>FB-00727</t>
        </is>
      </c>
      <c r="B728" t="inlineStr">
        <is>
          <t>CUST-0378</t>
        </is>
      </c>
      <c r="C728" t="inlineStr">
        <is>
          <t>2026-04-13</t>
        </is>
      </c>
      <c r="D728" t="inlineStr">
        <is>
          <t>Customer Survey</t>
        </is>
      </c>
      <c r="E728" t="inlineStr">
        <is>
          <t>Starter</t>
        </is>
      </c>
      <c r="F728" t="inlineStr">
        <is>
          <t>SMB</t>
        </is>
      </c>
      <c r="G728" t="inlineStr">
        <is>
          <t>Contact Management</t>
        </is>
      </c>
      <c r="H728" t="inlineStr">
        <is>
          <t>Performance Issue</t>
        </is>
      </c>
      <c r="I728" t="inlineStr">
        <is>
          <t>Frustrated with this one. We avoid saved contact filters during calls because it takes too long. Our sales manager flagged it while onboarding 17 new users. Please look into it soon.</t>
        </is>
      </c>
      <c r="J728" t="inlineStr">
        <is>
          <t>Negative</t>
        </is>
      </c>
      <c r="K728" t="inlineStr">
        <is>
          <t>High</t>
        </is>
      </c>
      <c r="L728" t="inlineStr">
        <is>
          <t>Blocks Key Task</t>
        </is>
      </c>
    </row>
    <row r="729">
      <c r="A729" t="inlineStr">
        <is>
          <t>FB-00728</t>
        </is>
      </c>
      <c r="B729" t="inlineStr">
        <is>
          <t>CUST-0084</t>
        </is>
      </c>
      <c r="C729" t="inlineStr">
        <is>
          <t>2026-04-13</t>
        </is>
      </c>
      <c r="D729" t="inlineStr">
        <is>
          <t>Customer Survey</t>
        </is>
      </c>
      <c r="E729" t="inlineStr">
        <is>
          <t>Enterprise</t>
        </is>
      </c>
      <c r="F729" t="inlineStr">
        <is>
          <t>Enterprise</t>
        </is>
      </c>
      <c r="G729" t="inlineStr">
        <is>
          <t>Workflow Automation</t>
        </is>
      </c>
      <c r="H729" t="inlineStr">
        <is>
          <t>Usability Issue</t>
        </is>
      </c>
      <c r="I729" t="inlineStr">
        <is>
          <t>I can't tell what a branch does in the workflow editor without opening every node. It affects our quarterly planning process every cycle. Let us know if you need examples.</t>
        </is>
      </c>
      <c r="J729" t="inlineStr">
        <is>
          <t>Neutral</t>
        </is>
      </c>
      <c r="K729" t="inlineStr">
        <is>
          <t>Medium</t>
        </is>
      </c>
      <c r="L729" t="inlineStr">
        <is>
          <t>Workflow Slowdown</t>
        </is>
      </c>
    </row>
    <row r="730">
      <c r="A730" t="inlineStr">
        <is>
          <t>FB-00729</t>
        </is>
      </c>
      <c r="B730" t="inlineStr">
        <is>
          <t>CUST-0069</t>
        </is>
      </c>
      <c r="C730" t="inlineStr">
        <is>
          <t>2026-04-13</t>
        </is>
      </c>
      <c r="D730" t="inlineStr">
        <is>
          <t>Feature Request</t>
        </is>
      </c>
      <c r="E730" t="inlineStr">
        <is>
          <t>Starter</t>
        </is>
      </c>
      <c r="F730" t="inlineStr">
        <is>
          <t>Mid-Market</t>
        </is>
      </c>
      <c r="G730" t="inlineStr">
        <is>
          <t>Contact Management</t>
        </is>
      </c>
      <c r="H730" t="inlineStr">
        <is>
          <t>Feature Request</t>
        </is>
      </c>
      <c r="I730" t="inlineStr">
        <is>
          <t>Quick note from our admin. Please build a tool to merge duplicate contacts with a preview of what will be combined.</t>
        </is>
      </c>
      <c r="J730" t="inlineStr">
        <is>
          <t>Neutral</t>
        </is>
      </c>
      <c r="K730" t="inlineStr">
        <is>
          <t>Medium</t>
        </is>
      </c>
      <c r="L730" t="inlineStr">
        <is>
          <t>Minor Inconvenience</t>
        </is>
      </c>
    </row>
    <row r="731">
      <c r="A731" t="inlineStr">
        <is>
          <t>FB-00730</t>
        </is>
      </c>
      <c r="B731" t="inlineStr">
        <is>
          <t>CUST-0361</t>
        </is>
      </c>
      <c r="C731" t="inlineStr">
        <is>
          <t>2026-04-14</t>
        </is>
      </c>
      <c r="D731" t="inlineStr">
        <is>
          <t>In-App Feedback</t>
        </is>
      </c>
      <c r="E731" t="inlineStr">
        <is>
          <t>Professional</t>
        </is>
      </c>
      <c r="F731" t="inlineStr">
        <is>
          <t>Mid-Market</t>
        </is>
      </c>
      <c r="G731" t="inlineStr">
        <is>
          <t>Workflow Automation</t>
        </is>
      </c>
      <c r="H731" t="inlineStr">
        <is>
          <t>Bug</t>
        </is>
      </c>
      <c r="I731" t="inlineStr">
        <is>
          <t>We are hitting workflow failures: emails don't send and nobody gets notified. It affects our lead handoff process every cycle. Please look into it soon.</t>
        </is>
      </c>
      <c r="J731" t="inlineStr">
        <is>
          <t>Negative</t>
        </is>
      </c>
      <c r="K731" t="inlineStr">
        <is>
          <t>Critical</t>
        </is>
      </c>
      <c r="L731" t="inlineStr">
        <is>
          <t>Revenue/Operations Risk</t>
        </is>
      </c>
    </row>
    <row r="732">
      <c r="A732" t="inlineStr">
        <is>
          <t>FB-00731</t>
        </is>
      </c>
      <c r="B732" t="inlineStr">
        <is>
          <t>CUST-0365</t>
        </is>
      </c>
      <c r="C732" t="inlineStr">
        <is>
          <t>2026-04-14</t>
        </is>
      </c>
      <c r="D732" t="inlineStr">
        <is>
          <t>Customer Survey</t>
        </is>
      </c>
      <c r="E732" t="inlineStr">
        <is>
          <t>Starter</t>
        </is>
      </c>
      <c r="F732" t="inlineStr">
        <is>
          <t>SMB</t>
        </is>
      </c>
      <c r="G732" t="inlineStr">
        <is>
          <t>Lead Management</t>
        </is>
      </c>
      <c r="H732" t="inlineStr">
        <is>
          <t>Performance Issue</t>
        </is>
      </c>
      <c r="I732" t="inlineStr">
        <is>
          <t>Our team keeps running into this. Reps have stopped using the board because of pipeline board loading.</t>
        </is>
      </c>
      <c r="J732" t="inlineStr">
        <is>
          <t>Negative</t>
        </is>
      </c>
      <c r="K732" t="inlineStr">
        <is>
          <t>High</t>
        </is>
      </c>
      <c r="L732" t="inlineStr">
        <is>
          <t>Workflow Slowdown</t>
        </is>
      </c>
    </row>
    <row r="733">
      <c r="A733" t="inlineStr">
        <is>
          <t>FB-00732</t>
        </is>
      </c>
      <c r="B733" t="inlineStr">
        <is>
          <t>CUST-0284</t>
        </is>
      </c>
      <c r="C733" t="inlineStr">
        <is>
          <t>2026-04-15</t>
        </is>
      </c>
      <c r="D733" t="inlineStr">
        <is>
          <t>In-App Feedback</t>
        </is>
      </c>
      <c r="E733" t="inlineStr">
        <is>
          <t>Enterprise</t>
        </is>
      </c>
      <c r="F733" t="inlineStr">
        <is>
          <t>Enterprise</t>
        </is>
      </c>
      <c r="G733" t="inlineStr">
        <is>
          <t>Integrations</t>
        </is>
      </c>
      <c r="H733" t="inlineStr">
        <is>
          <t>FEATURE REQUEST</t>
        </is>
      </c>
      <c r="I733" t="inlineStr">
        <is>
          <t>FYI for the product team. Requesting SAML login for our compliance audit. So far 5 people on our side have reported it.</t>
        </is>
      </c>
      <c r="J733" t="inlineStr">
        <is>
          <t>Neutral</t>
        </is>
      </c>
      <c r="K733" t="inlineStr">
        <is>
          <t>Low</t>
        </is>
      </c>
      <c r="L733" t="inlineStr">
        <is>
          <t>Minor Inconvenience</t>
        </is>
      </c>
    </row>
    <row r="734">
      <c r="A734" t="inlineStr">
        <is>
          <t>FB-00733</t>
        </is>
      </c>
      <c r="B734" t="inlineStr">
        <is>
          <t>CUST-0065</t>
        </is>
      </c>
      <c r="C734" t="inlineStr">
        <is>
          <t>2026-04-15</t>
        </is>
      </c>
      <c r="D734" t="inlineStr">
        <is>
          <t>Support Ticket</t>
        </is>
      </c>
      <c r="E734" t="inlineStr">
        <is>
          <t>Professional</t>
        </is>
      </c>
      <c r="F734" t="inlineStr">
        <is>
          <t>Mid-Market</t>
        </is>
      </c>
      <c r="G734" t="inlineStr">
        <is>
          <t>Workflow Automation</t>
        </is>
      </c>
      <c r="H734" t="inlineStr">
        <is>
          <t>Bug</t>
        </is>
      </c>
      <c r="I734" t="inlineStr">
        <is>
          <t>Quick note from our admin. Several workflow failures left deals stuck in the wrong stage. It happens about 32 times a week for our team of 95. Happy to join a feedback call.</t>
        </is>
      </c>
      <c r="J734" t="inlineStr">
        <is>
          <t>Neutral</t>
        </is>
      </c>
      <c r="K734" t="inlineStr">
        <is>
          <t>Low</t>
        </is>
      </c>
      <c r="L734" t="inlineStr">
        <is>
          <t>Minor Inconvenience</t>
        </is>
      </c>
    </row>
    <row r="735">
      <c r="A735" t="inlineStr">
        <is>
          <t>FB-00734</t>
        </is>
      </c>
      <c r="B735" t="inlineStr">
        <is>
          <t>CUST-0199</t>
        </is>
      </c>
      <c r="C735" t="inlineStr">
        <is>
          <t>2026-04-15</t>
        </is>
      </c>
      <c r="D735" t="inlineStr">
        <is>
          <t>Support Ticket</t>
        </is>
      </c>
      <c r="E735" t="inlineStr">
        <is>
          <t>Professional</t>
        </is>
      </c>
      <c r="F735" t="inlineStr">
        <is>
          <t>Mid-Market</t>
        </is>
      </c>
      <c r="G735" t="inlineStr">
        <is>
          <t>Contact Management</t>
        </is>
      </c>
      <c r="H735" t="inlineStr">
        <is>
          <t>Feature Request</t>
        </is>
      </c>
      <c r="I735" t="inlineStr">
        <is>
          <t>We need a bulk contact merge because our database has years of overlapping records. It happens about 9 times a week for our team of 103.</t>
        </is>
      </c>
      <c r="J735" t="inlineStr">
        <is>
          <t>Neutral</t>
        </is>
      </c>
      <c r="K735" t="inlineStr">
        <is>
          <t>Low</t>
        </is>
      </c>
      <c r="L735" t="inlineStr">
        <is>
          <t>Minor Inconvenience</t>
        </is>
      </c>
    </row>
    <row r="736">
      <c r="A736" t="inlineStr">
        <is>
          <t>FB-00735</t>
        </is>
      </c>
      <c r="B736" t="inlineStr">
        <is>
          <t>CUST-0391</t>
        </is>
      </c>
      <c r="C736" t="inlineStr">
        <is>
          <t>2026-04-16</t>
        </is>
      </c>
      <c r="D736" t="inlineStr">
        <is>
          <t>Feature Request</t>
        </is>
      </c>
      <c r="E736" t="inlineStr">
        <is>
          <t>Enterprise</t>
        </is>
      </c>
      <c r="F736" t="inlineStr">
        <is>
          <t>Mid-Market</t>
        </is>
      </c>
      <c r="G736" t="inlineStr">
        <is>
          <t>Integrations</t>
        </is>
      </c>
      <c r="H736" t="inlineStr">
        <is>
          <t>Feature Request</t>
        </is>
      </c>
      <c r="I736" t="inlineStr">
        <is>
          <t>Our security team requires SCIM provisioning before we can expand seats.</t>
        </is>
      </c>
      <c r="J736" t="inlineStr">
        <is>
          <t>Positive</t>
        </is>
      </c>
      <c r="K736" t="inlineStr">
        <is>
          <t>Medium</t>
        </is>
      </c>
      <c r="L736" t="inlineStr">
        <is>
          <t>Workflow Slowdown</t>
        </is>
      </c>
    </row>
    <row r="737">
      <c r="A737" t="inlineStr">
        <is>
          <t>FB-00736</t>
        </is>
      </c>
      <c r="B737" t="inlineStr">
        <is>
          <t>CUST-0254</t>
        </is>
      </c>
      <c r="C737" t="inlineStr">
        <is>
          <t>2026-04-16</t>
        </is>
      </c>
      <c r="D737" t="inlineStr">
        <is>
          <t>Support Ticket</t>
        </is>
      </c>
      <c r="E737" t="inlineStr">
        <is>
          <t>Professional</t>
        </is>
      </c>
      <c r="F737" t="inlineStr">
        <is>
          <t>SMB</t>
        </is>
      </c>
      <c r="G737" t="inlineStr">
        <is>
          <t>Lead Management</t>
        </is>
      </c>
      <c r="H737" t="inlineStr">
        <is>
          <t>Usability Issue</t>
        </is>
      </c>
      <c r="I737" t="inlineStr">
        <is>
          <t>Escalating on behalf of our ops lead. The lead assignment settings are confusing and new leads sometimes sit unassigned over weekends. We estimate we lose roughly 46 hours a month on this. Support suggested logging it here.</t>
        </is>
      </c>
      <c r="J737" t="inlineStr">
        <is>
          <t>Negative</t>
        </is>
      </c>
      <c r="K737" t="inlineStr">
        <is>
          <t>Medium</t>
        </is>
      </c>
      <c r="L737" t="inlineStr">
        <is>
          <t>Workflow Slowdown</t>
        </is>
      </c>
    </row>
    <row r="738">
      <c r="A738" t="inlineStr">
        <is>
          <t>FB-00737</t>
        </is>
      </c>
      <c r="B738" t="inlineStr">
        <is>
          <t>CUST-0306</t>
        </is>
      </c>
      <c r="C738" t="inlineStr">
        <is>
          <t>2026-04-16</t>
        </is>
      </c>
      <c r="D738" t="inlineStr">
        <is>
          <t>Support Ticket</t>
        </is>
      </c>
      <c r="E738" t="inlineStr">
        <is>
          <t>Professional</t>
        </is>
      </c>
      <c r="F738" t="inlineStr">
        <is>
          <t>SMB</t>
        </is>
      </c>
      <c r="G738" t="inlineStr">
        <is>
          <t>Workflow Automation</t>
        </is>
      </c>
      <c r="H738" t="inlineStr">
        <is>
          <t>Bug</t>
        </is>
      </c>
      <c r="I738" t="inlineStr">
        <is>
          <t>Escalating on behalf of our ops lead. We found workflow runs failing silently only because a customer complained. We need a fix before renewal.</t>
        </is>
      </c>
      <c r="J738" t="inlineStr">
        <is>
          <t>Negative</t>
        </is>
      </c>
      <c r="K738" t="inlineStr">
        <is>
          <t>High</t>
        </is>
      </c>
      <c r="L738" t="inlineStr">
        <is>
          <t>Blocks Key Task</t>
        </is>
      </c>
    </row>
    <row r="739">
      <c r="A739" t="inlineStr">
        <is>
          <t>FB-00738</t>
        </is>
      </c>
      <c r="B739" t="inlineStr">
        <is>
          <t>CUST-0376</t>
        </is>
      </c>
      <c r="C739" t="inlineStr">
        <is>
          <t>2026-04-16</t>
        </is>
      </c>
      <c r="D739" t="inlineStr">
        <is>
          <t>Customer Survey</t>
        </is>
      </c>
      <c r="E739" t="inlineStr">
        <is>
          <t>Professional</t>
        </is>
      </c>
      <c r="F739" t="inlineStr">
        <is>
          <t>Enterprise</t>
        </is>
      </c>
      <c r="G739" t="inlineStr">
        <is>
          <t>Reporting</t>
        </is>
      </c>
      <c r="H739" t="inlineStr">
        <is>
          <t>Performance Issue</t>
        </is>
      </c>
      <c r="I739" t="inlineStr">
        <is>
          <t>This has been a recurring problem for us. Dashboard refresh got noticeably worse over the last few months. We estimate we lose roughly 26 hours a month on this. Please look into it soon.</t>
        </is>
      </c>
      <c r="J739" t="inlineStr">
        <is>
          <t>Negative</t>
        </is>
      </c>
      <c r="K739" t="inlineStr">
        <is>
          <t>Medium</t>
        </is>
      </c>
      <c r="L739" t="inlineStr">
        <is>
          <t>Minor Inconvenience</t>
        </is>
      </c>
    </row>
    <row r="740">
      <c r="A740" t="inlineStr">
        <is>
          <t>FB-00739</t>
        </is>
      </c>
      <c r="B740" t="inlineStr">
        <is>
          <t>CUST-0235</t>
        </is>
      </c>
      <c r="C740" t="inlineStr">
        <is>
          <t>2026-04-16</t>
        </is>
      </c>
      <c r="D740" t="inlineStr">
        <is>
          <t>Feature Request</t>
        </is>
      </c>
      <c r="E740" t="inlineStr">
        <is>
          <t>Enterprise</t>
        </is>
      </c>
      <c r="F740" t="inlineStr">
        <is>
          <t xml:space="preserve"> Mid-Market</t>
        </is>
      </c>
      <c r="G740" t="inlineStr">
        <is>
          <t>Integrations</t>
        </is>
      </c>
      <c r="H740" t="inlineStr">
        <is>
          <t>Feature Request</t>
        </is>
      </c>
      <c r="I740" t="inlineStr">
        <is>
          <t>FYI for the product team. Requesting SSO support for our compliance audit. It happens about 35 times a week for our team of 68.</t>
        </is>
      </c>
      <c r="J740" t="inlineStr">
        <is>
          <t>Neutral</t>
        </is>
      </c>
      <c r="K740" t="inlineStr">
        <is>
          <t>Medium</t>
        </is>
      </c>
      <c r="L740" t="inlineStr">
        <is>
          <t>Workflow Slowdown</t>
        </is>
      </c>
    </row>
    <row r="741">
      <c r="A741" t="inlineStr">
        <is>
          <t>FB-00740</t>
        </is>
      </c>
      <c r="B741" t="inlineStr">
        <is>
          <t>CUST-0204</t>
        </is>
      </c>
      <c r="C741" t="inlineStr">
        <is>
          <t>2026-04-16</t>
        </is>
      </c>
      <c r="D741" t="inlineStr">
        <is>
          <t>Feature Request</t>
        </is>
      </c>
      <c r="E741" t="inlineStr">
        <is>
          <t>Enterprise</t>
        </is>
      </c>
      <c r="F741" t="inlineStr">
        <is>
          <t>Enterprise</t>
        </is>
      </c>
      <c r="G741" t="inlineStr">
        <is>
          <t>Workflow Automation</t>
        </is>
      </c>
      <c r="H741" t="inlineStr">
        <is>
          <t>Feature Request</t>
        </is>
      </c>
      <c r="I741" t="inlineStr">
        <is>
          <t>We'd adopt automation faster with prebuilt automations we could customize. It happens about 23 times a week for our team of 100. Keep up the good work.</t>
        </is>
      </c>
      <c r="J741" t="inlineStr">
        <is>
          <t>Positive</t>
        </is>
      </c>
      <c r="K741" t="inlineStr">
        <is>
          <t>Low</t>
        </is>
      </c>
      <c r="L741" t="inlineStr">
        <is>
          <t>Minor Inconvenience</t>
        </is>
      </c>
    </row>
    <row r="742">
      <c r="A742" t="inlineStr">
        <is>
          <t>FB-00741</t>
        </is>
      </c>
      <c r="B742" t="inlineStr">
        <is>
          <t>CUST-0420</t>
        </is>
      </c>
      <c r="C742" t="inlineStr">
        <is>
          <t>2026-04-17</t>
        </is>
      </c>
      <c r="D742" t="inlineStr">
        <is>
          <t>Feature Request</t>
        </is>
      </c>
      <c r="E742" t="inlineStr">
        <is>
          <t>Enterprise</t>
        </is>
      </c>
      <c r="F742" t="inlineStr">
        <is>
          <t>Enterprise</t>
        </is>
      </c>
      <c r="G742" t="inlineStr">
        <is>
          <t>User Interface</t>
        </is>
      </c>
      <c r="H742" t="inlineStr">
        <is>
          <t>Feature Request</t>
        </is>
      </c>
      <c r="I742" t="inlineStr">
        <is>
          <t>Requesting a mobile app so reps can log activity right after a meeting. We estimate we lose roughly 9 hours a month on this. Let us know if you need examples.</t>
        </is>
      </c>
      <c r="J742" t="inlineStr">
        <is>
          <t>Neutral</t>
        </is>
      </c>
      <c r="K742" t="inlineStr">
        <is>
          <t>High</t>
        </is>
      </c>
      <c r="L742" t="inlineStr">
        <is>
          <t>Blocks Key Task</t>
        </is>
      </c>
    </row>
    <row r="743">
      <c r="A743" t="inlineStr">
        <is>
          <t>FB-00742</t>
        </is>
      </c>
      <c r="B743" t="inlineStr">
        <is>
          <t>CUST-0147</t>
        </is>
      </c>
      <c r="C743" t="inlineStr">
        <is>
          <t>2026-04-17</t>
        </is>
      </c>
      <c r="D743" t="inlineStr">
        <is>
          <t>Support Ticket</t>
        </is>
      </c>
      <c r="E743" t="inlineStr">
        <is>
          <t>Enterprise</t>
        </is>
      </c>
      <c r="F743" t="inlineStr">
        <is>
          <t>Enterprise</t>
        </is>
      </c>
      <c r="G743" t="inlineStr">
        <is>
          <t>Workflow Automation</t>
        </is>
      </c>
      <c r="H743" t="inlineStr">
        <is>
          <t>Bug</t>
        </is>
      </c>
      <c r="I743" t="inlineStr">
        <is>
          <t>Frustrated with this one. We are hitting workflow failures: emails don't send and nobody gets notified. Is there a workaround?</t>
        </is>
      </c>
      <c r="J743" t="inlineStr">
        <is>
          <t>Negative</t>
        </is>
      </c>
      <c r="K743" t="inlineStr">
        <is>
          <t>High</t>
        </is>
      </c>
      <c r="L743" t="inlineStr">
        <is>
          <t>Workflow Slowdown</t>
        </is>
      </c>
    </row>
    <row r="744">
      <c r="A744" t="inlineStr">
        <is>
          <t>FB-00743</t>
        </is>
      </c>
      <c r="B744" t="inlineStr">
        <is>
          <t>CUST-0367</t>
        </is>
      </c>
      <c r="C744" t="inlineStr">
        <is>
          <t>2026-04-18</t>
        </is>
      </c>
      <c r="D744" t="inlineStr">
        <is>
          <t>Feature Request</t>
        </is>
      </c>
      <c r="E744" t="inlineStr">
        <is>
          <t>Enterprise</t>
        </is>
      </c>
      <c r="F744" t="inlineStr">
        <is>
          <t>Mid-Market</t>
        </is>
      </c>
      <c r="G744" t="inlineStr">
        <is>
          <t>Contact Management</t>
        </is>
      </c>
      <c r="H744" t="inlineStr">
        <is>
          <t>Feature Request</t>
        </is>
      </c>
      <c r="I744" t="inlineStr">
        <is>
          <t>Please build a tool to merge duplicate contacts with a preview of what will be combined. Let us know if you need examples.</t>
        </is>
      </c>
      <c r="J744" t="inlineStr">
        <is>
          <t>Neutral</t>
        </is>
      </c>
      <c r="K744" t="inlineStr">
        <is>
          <t>Medium</t>
        </is>
      </c>
      <c r="L744" t="inlineStr">
        <is>
          <t>Workflow Slowdown</t>
        </is>
      </c>
    </row>
    <row r="745">
      <c r="A745" t="inlineStr">
        <is>
          <t>FB-00744</t>
        </is>
      </c>
      <c r="B745" t="inlineStr">
        <is>
          <t>CUST-0385</t>
        </is>
      </c>
      <c r="C745" t="inlineStr">
        <is>
          <t>2026-04-18</t>
        </is>
      </c>
      <c r="D745" t="inlineStr">
        <is>
          <t>Feature Request</t>
        </is>
      </c>
      <c r="E745" t="inlineStr">
        <is>
          <t>Starter</t>
        </is>
      </c>
      <c r="F745" t="inlineStr">
        <is>
          <t>SMB</t>
        </is>
      </c>
      <c r="G745" t="inlineStr">
        <is>
          <t>Integrations</t>
        </is>
      </c>
      <c r="H745" t="inlineStr">
        <is>
          <t>Feature Request</t>
        </is>
      </c>
      <c r="I745" t="inlineStr">
        <is>
          <t>FYI for the product team. Requesting a native accounting integration to remove manual re-entry. Let us know if you need examples.</t>
        </is>
      </c>
      <c r="J745" t="inlineStr">
        <is>
          <t>Neutral</t>
        </is>
      </c>
      <c r="K745" t="inlineStr">
        <is>
          <t>Low</t>
        </is>
      </c>
      <c r="L745" t="inlineStr">
        <is>
          <t>Workflow Slowdown</t>
        </is>
      </c>
    </row>
    <row r="746">
      <c r="A746" t="inlineStr">
        <is>
          <t>FB-00745</t>
        </is>
      </c>
      <c r="B746" t="inlineStr">
        <is>
          <t>CUST-0108</t>
        </is>
      </c>
      <c r="C746" t="inlineStr">
        <is>
          <t>2026-04-18</t>
        </is>
      </c>
      <c r="D746" t="inlineStr">
        <is>
          <t>In-App Feedback</t>
        </is>
      </c>
      <c r="E746" t="inlineStr">
        <is>
          <t>Enterprise</t>
        </is>
      </c>
      <c r="F746" t="inlineStr">
        <is>
          <t>Mid-Market</t>
        </is>
      </c>
      <c r="G746" t="inlineStr">
        <is>
          <t>Reporting</t>
        </is>
      </c>
      <c r="H746" t="inlineStr">
        <is>
          <t>Bug</t>
        </is>
      </c>
      <c r="I746" t="inlineStr">
        <is>
          <t>Our Excel export drops formatting and shows dates as numbers. We estimate we lose roughly 27 hours a month on this. Happy to join a feedback call.</t>
        </is>
      </c>
      <c r="J746" t="inlineStr">
        <is>
          <t>Neutral</t>
        </is>
      </c>
      <c r="K746" t="inlineStr">
        <is>
          <t>High</t>
        </is>
      </c>
      <c r="L746" t="inlineStr">
        <is>
          <t>Blocks Key Task</t>
        </is>
      </c>
    </row>
    <row r="747">
      <c r="A747" t="inlineStr">
        <is>
          <t>FB-00746</t>
        </is>
      </c>
      <c r="B747" t="inlineStr">
        <is>
          <t>CUST-0131</t>
        </is>
      </c>
      <c r="C747" t="inlineStr">
        <is>
          <t>2026-04-18</t>
        </is>
      </c>
      <c r="D747" t="inlineStr">
        <is>
          <t>In-App Feedback</t>
        </is>
      </c>
      <c r="E747" t="inlineStr">
        <is>
          <t>Starter</t>
        </is>
      </c>
      <c r="F747" t="inlineStr">
        <is>
          <t>SMB</t>
        </is>
      </c>
      <c r="G747" t="inlineStr">
        <is>
          <t>Workflow Automation</t>
        </is>
      </c>
      <c r="H747" t="inlineStr">
        <is>
          <t>Usability Issue</t>
        </is>
      </c>
      <c r="I747" t="inlineStr">
        <is>
          <t>The automation canvas is hard to follow once a flow has more than a handful of steps. It affects our quarterly planning process every cycle. Support suggested logging it here.</t>
        </is>
      </c>
      <c r="J747" t="inlineStr">
        <is>
          <t>Negative</t>
        </is>
      </c>
      <c r="K747" t="inlineStr">
        <is>
          <t>Medium</t>
        </is>
      </c>
      <c r="L747" t="inlineStr">
        <is>
          <t>Workflow Slowdown</t>
        </is>
      </c>
    </row>
    <row r="748">
      <c r="A748" t="inlineStr">
        <is>
          <t>FB-00747</t>
        </is>
      </c>
      <c r="B748" t="inlineStr">
        <is>
          <t>CUST-0195</t>
        </is>
      </c>
      <c r="C748" t="inlineStr">
        <is>
          <t>2026-04-19</t>
        </is>
      </c>
      <c r="D748" t="inlineStr">
        <is>
          <t>Feature Request</t>
        </is>
      </c>
      <c r="E748" t="inlineStr">
        <is>
          <t>Professional</t>
        </is>
      </c>
      <c r="F748" t="inlineStr">
        <is>
          <t>SMB</t>
        </is>
      </c>
      <c r="G748" t="inlineStr">
        <is>
          <t>Integrations</t>
        </is>
      </c>
      <c r="H748" t="inlineStr">
        <is>
          <t>Feature Request</t>
        </is>
      </c>
      <c r="I748" t="inlineStr">
        <is>
          <t>Overall we like the product. Please build a marketing automation connector; our team copies data across systems daily. It happens about 39 times a week for our team of 102.</t>
        </is>
      </c>
      <c r="J748" t="inlineStr">
        <is>
          <t>Positive</t>
        </is>
      </c>
      <c r="K748" t="inlineStr">
        <is>
          <t>High</t>
        </is>
      </c>
      <c r="L748" t="inlineStr">
        <is>
          <t>Workflow Slowdown</t>
        </is>
      </c>
    </row>
    <row r="749">
      <c r="A749" t="inlineStr">
        <is>
          <t>FB-00748</t>
        </is>
      </c>
      <c r="B749" t="inlineStr">
        <is>
          <t>CUST-0102</t>
        </is>
      </c>
      <c r="C749" t="inlineStr">
        <is>
          <t>2026-04-19</t>
        </is>
      </c>
      <c r="D749" t="inlineStr">
        <is>
          <t>Support Ticket</t>
        </is>
      </c>
      <c r="E749" t="inlineStr">
        <is>
          <t>Professional</t>
        </is>
      </c>
      <c r="F749" t="inlineStr">
        <is>
          <t>Mid-Market</t>
        </is>
      </c>
      <c r="G749" t="inlineStr">
        <is>
          <t>Integrations</t>
        </is>
      </c>
      <c r="H749" t="inlineStr">
        <is>
          <t>Integration Issue</t>
        </is>
      </c>
      <c r="I749" t="inlineStr">
        <is>
          <t>After the token expires, Outlook calendar sync stops with no warning. We estimate we lose roughly 54 hours a month on this.</t>
        </is>
      </c>
      <c r="J749" t="inlineStr">
        <is>
          <t>Neutral</t>
        </is>
      </c>
      <c r="K749" t="inlineStr">
        <is>
          <t>Critical</t>
        </is>
      </c>
      <c r="L749" t="inlineStr">
        <is>
          <t>Revenue/Operations Risk</t>
        </is>
      </c>
    </row>
    <row r="750">
      <c r="A750" t="inlineStr">
        <is>
          <t>FB-00749</t>
        </is>
      </c>
      <c r="B750" t="inlineStr">
        <is>
          <t>CUST-0197</t>
        </is>
      </c>
      <c r="C750" t="inlineStr">
        <is>
          <t>2026-04-19</t>
        </is>
      </c>
      <c r="D750" t="inlineStr">
        <is>
          <t>Customer Survey</t>
        </is>
      </c>
      <c r="E750" t="inlineStr">
        <is>
          <t>Professional</t>
        </is>
      </c>
      <c r="F750" t="inlineStr">
        <is>
          <t xml:space="preserve"> Mid-Market</t>
        </is>
      </c>
      <c r="G750" t="inlineStr">
        <is>
          <t>Reporting</t>
        </is>
      </c>
      <c r="H750" t="inlineStr">
        <is>
          <t>Performance Issue</t>
        </is>
      </c>
      <c r="I750" t="inlineStr">
        <is>
          <t>Our report load time spins for a minute before showing any chart.</t>
        </is>
      </c>
      <c r="J750" t="inlineStr">
        <is>
          <t>Negative</t>
        </is>
      </c>
      <c r="K750" t="inlineStr">
        <is>
          <t>Low</t>
        </is>
      </c>
      <c r="L750" t="inlineStr">
        <is>
          <t>Minor Inconvenience</t>
        </is>
      </c>
    </row>
    <row r="751">
      <c r="A751" t="inlineStr">
        <is>
          <t>FB-00750</t>
        </is>
      </c>
      <c r="B751" t="inlineStr">
        <is>
          <t>CUST-0062</t>
        </is>
      </c>
      <c r="C751" t="inlineStr">
        <is>
          <t>2026-04-19</t>
        </is>
      </c>
      <c r="D751" t="inlineStr">
        <is>
          <t>Support Ticket</t>
        </is>
      </c>
      <c r="E751" t="inlineStr">
        <is>
          <t>Professional</t>
        </is>
      </c>
      <c r="F751" t="inlineStr">
        <is>
          <t>Mid-Market</t>
        </is>
      </c>
      <c r="G751" t="inlineStr">
        <is>
          <t>Contact Management</t>
        </is>
      </c>
      <c r="H751" t="inlineStr">
        <is>
          <t>Bug</t>
        </is>
      </c>
      <c r="I751" t="inlineStr">
        <is>
          <t>Sharing this from our team. The import field mapping rejects files with accented characters in names. Let us know if you need examples.</t>
        </is>
      </c>
      <c r="J751" t="inlineStr">
        <is>
          <t>Neutral</t>
        </is>
      </c>
      <c r="K751" t="inlineStr">
        <is>
          <t>High</t>
        </is>
      </c>
      <c r="L751" t="inlineStr">
        <is>
          <t>Blocks Key Task</t>
        </is>
      </c>
    </row>
    <row r="752">
      <c r="A752" t="inlineStr">
        <is>
          <t>FB-00751</t>
        </is>
      </c>
      <c r="B752" t="inlineStr">
        <is>
          <t>CUST-0015</t>
        </is>
      </c>
      <c r="C752" t="inlineStr">
        <is>
          <t>2026-04-19</t>
        </is>
      </c>
      <c r="D752" t="inlineStr">
        <is>
          <t>In-App Feedback</t>
        </is>
      </c>
      <c r="E752" t="inlineStr">
        <is>
          <t>Professional</t>
        </is>
      </c>
      <c r="F752" t="inlineStr">
        <is>
          <t>Mid-Market</t>
        </is>
      </c>
      <c r="G752" t="inlineStr">
        <is>
          <t>Contact Management</t>
        </is>
      </c>
      <c r="H752" t="inlineStr">
        <is>
          <t>Bug</t>
        </is>
      </c>
      <c r="I752" t="inlineStr">
        <is>
          <t>This has been a recurring problem for us. Our spreadsheet import scrambles phone and email columns even after we map them correctly. Please look into it soon.</t>
        </is>
      </c>
      <c r="J752" t="inlineStr">
        <is>
          <t>Negative</t>
        </is>
      </c>
      <c r="K752" t="inlineStr">
        <is>
          <t>High</t>
        </is>
      </c>
      <c r="L752" t="inlineStr">
        <is>
          <t>Workflow Slowdown</t>
        </is>
      </c>
    </row>
    <row r="753">
      <c r="A753" t="inlineStr">
        <is>
          <t>FB-00752</t>
        </is>
      </c>
      <c r="B753" t="inlineStr">
        <is>
          <t>CUST-0200</t>
        </is>
      </c>
      <c r="C753" t="inlineStr">
        <is>
          <t>2026-04-19</t>
        </is>
      </c>
      <c r="D753" t="inlineStr">
        <is>
          <t>In-App Feedback</t>
        </is>
      </c>
      <c r="E753" t="inlineStr">
        <is>
          <t>Professional</t>
        </is>
      </c>
      <c r="F753" t="inlineStr">
        <is>
          <t>Mid-Market</t>
        </is>
      </c>
      <c r="G753" t="inlineStr">
        <is>
          <t>Contact Management</t>
        </is>
      </c>
      <c r="H753" t="inlineStr">
        <is>
          <t>Bug</t>
        </is>
      </c>
      <c r="I753" t="inlineStr">
        <is>
          <t>The spreadsheet import fails halfway through with a generic error and no row-level detail. We estimate we lose roughly 13 hours a month on this.</t>
        </is>
      </c>
      <c r="J753" t="inlineStr">
        <is>
          <t>Negative</t>
        </is>
      </c>
      <c r="K753" t="inlineStr">
        <is>
          <t>Low</t>
        </is>
      </c>
      <c r="L753" t="inlineStr">
        <is>
          <t>Minor Inconvenience</t>
        </is>
      </c>
    </row>
    <row r="754">
      <c r="A754" t="inlineStr">
        <is>
          <t>FB-00753</t>
        </is>
      </c>
      <c r="B754" t="inlineStr">
        <is>
          <t>CUST-0188</t>
        </is>
      </c>
      <c r="C754" t="inlineStr">
        <is>
          <t>2026-04-20</t>
        </is>
      </c>
      <c r="D754" t="inlineStr">
        <is>
          <t>Customer Survey</t>
        </is>
      </c>
      <c r="E754" t="inlineStr">
        <is>
          <t>Enterprise</t>
        </is>
      </c>
      <c r="F754" t="inlineStr">
        <is>
          <t>Mid-Market</t>
        </is>
      </c>
      <c r="G754" t="inlineStr">
        <is>
          <t>User Interface</t>
        </is>
      </c>
      <c r="H754" t="inlineStr">
        <is>
          <t>Usability Issue</t>
        </is>
      </c>
      <c r="I754" t="inlineStr">
        <is>
          <t>Feedback from our monthly review. New hires get lost in the navigation menu; it takes weeks to learn. So far 82 people on our side have reported it. Let us know if you need examples.</t>
        </is>
      </c>
      <c r="J754" t="inlineStr">
        <is>
          <t>Neutral</t>
        </is>
      </c>
      <c r="K754" t="inlineStr">
        <is>
          <t>Medium</t>
        </is>
      </c>
      <c r="L754" t="inlineStr">
        <is>
          <t>Workflow Slowdown</t>
        </is>
      </c>
    </row>
    <row r="755">
      <c r="A755" t="inlineStr">
        <is>
          <t>FB-00754</t>
        </is>
      </c>
      <c r="B755" t="inlineStr">
        <is>
          <t>CUST-0162</t>
        </is>
      </c>
      <c r="C755" t="inlineStr">
        <is>
          <t>2026-04-20</t>
        </is>
      </c>
      <c r="D755" t="inlineStr">
        <is>
          <t>In-App Feedback</t>
        </is>
      </c>
      <c r="E755" t="inlineStr">
        <is>
          <t>Professional</t>
        </is>
      </c>
      <c r="F755" t="inlineStr">
        <is>
          <t>Mid-Market</t>
        </is>
      </c>
      <c r="G755" t="inlineStr">
        <is>
          <t>Lead Management</t>
        </is>
      </c>
      <c r="H755" t="inlineStr">
        <is>
          <t>Performance Issue</t>
        </is>
      </c>
      <c r="I755" t="inlineStr">
        <is>
          <t>This has been a recurring problem for us. Reps have stopped using the board because of lead view load times.</t>
        </is>
      </c>
      <c r="J755" t="inlineStr">
        <is>
          <t>Negative</t>
        </is>
      </c>
      <c r="K755" t="inlineStr">
        <is>
          <t>High</t>
        </is>
      </c>
      <c r="L755" t="inlineStr">
        <is>
          <t>Blocks Key Task</t>
        </is>
      </c>
    </row>
    <row r="756">
      <c r="A756" t="inlineStr">
        <is>
          <t>FB-00755</t>
        </is>
      </c>
      <c r="B756" t="inlineStr">
        <is>
          <t>CUST-0030</t>
        </is>
      </c>
      <c r="C756" t="inlineStr">
        <is>
          <t>2026-04-21</t>
        </is>
      </c>
      <c r="D756" t="inlineStr">
        <is>
          <t>Support Ticket</t>
        </is>
      </c>
      <c r="E756" t="inlineStr">
        <is>
          <t>Professional</t>
        </is>
      </c>
      <c r="F756" t="inlineStr">
        <is>
          <t>Mid-Market</t>
        </is>
      </c>
      <c r="G756" t="inlineStr">
        <is>
          <t>Reporting</t>
        </is>
      </c>
      <c r="H756" t="inlineStr">
        <is>
          <t>Feature Request</t>
        </is>
      </c>
      <c r="I756" t="inlineStr">
        <is>
          <t>Sharing this from our team. Requesting a custom report builder so leadership gets numbers without logging in. So far 114 people on our side have reported it. Happy to join a feedback call.</t>
        </is>
      </c>
      <c r="J756" t="inlineStr">
        <is>
          <t>Neutral</t>
        </is>
      </c>
      <c r="K756" t="inlineStr">
        <is>
          <t>Low</t>
        </is>
      </c>
      <c r="L756" t="inlineStr">
        <is>
          <t>Blocks Key Task</t>
        </is>
      </c>
    </row>
    <row r="757">
      <c r="A757" t="inlineStr">
        <is>
          <t>FB-00756</t>
        </is>
      </c>
      <c r="B757" t="inlineStr">
        <is>
          <t>CUST-0325</t>
        </is>
      </c>
      <c r="C757" t="inlineStr">
        <is>
          <t>2026-04-21</t>
        </is>
      </c>
      <c r="D757" t="inlineStr">
        <is>
          <t>Feature Request</t>
        </is>
      </c>
      <c r="E757" t="inlineStr">
        <is>
          <t>Starter</t>
        </is>
      </c>
      <c r="F757" t="inlineStr">
        <is>
          <t>SMB</t>
        </is>
      </c>
      <c r="G757" t="inlineStr">
        <is>
          <t>Lead Management</t>
        </is>
      </c>
      <c r="H757" t="inlineStr">
        <is>
          <t>Feature Request</t>
        </is>
      </c>
      <c r="I757" t="inlineStr">
        <is>
          <t>Would love to see a lead score model that marketing and sales can both tune. So far 70 people on our side have reported it.</t>
        </is>
      </c>
      <c r="J757" t="inlineStr">
        <is>
          <t>Neutral</t>
        </is>
      </c>
      <c r="K757" t="inlineStr">
        <is>
          <t>Low</t>
        </is>
      </c>
      <c r="L757" t="inlineStr">
        <is>
          <t>Minor Inconvenience</t>
        </is>
      </c>
    </row>
    <row r="758">
      <c r="A758" t="inlineStr">
        <is>
          <t>FB-00757</t>
        </is>
      </c>
      <c r="B758" t="inlineStr">
        <is>
          <t>CUST-0313</t>
        </is>
      </c>
      <c r="C758" t="inlineStr">
        <is>
          <t>2026-04-21</t>
        </is>
      </c>
      <c r="D758" t="inlineStr">
        <is>
          <t>Feature Request</t>
        </is>
      </c>
      <c r="E758" t="inlineStr">
        <is>
          <t>Starter</t>
        </is>
      </c>
      <c r="F758" t="inlineStr">
        <is>
          <t>SMB</t>
        </is>
      </c>
      <c r="G758" t="inlineStr">
        <is>
          <t>Contact Management</t>
        </is>
      </c>
      <c r="H758" t="inlineStr">
        <is>
          <t>Feature Request</t>
        </is>
      </c>
      <c r="I758" t="inlineStr">
        <is>
          <t>Feedback from our monthly review. We need contact de-duplication tooling because our database has years of overlapping records.</t>
        </is>
      </c>
      <c r="J758" t="inlineStr">
        <is>
          <t>Neutral</t>
        </is>
      </c>
      <c r="K758" t="inlineStr">
        <is>
          <t>Medium</t>
        </is>
      </c>
      <c r="L758" t="inlineStr">
        <is>
          <t>Minor Inconvenience</t>
        </is>
      </c>
    </row>
    <row r="759">
      <c r="A759" t="inlineStr">
        <is>
          <t>FB-00758</t>
        </is>
      </c>
      <c r="B759" t="inlineStr">
        <is>
          <t>CUST-0207</t>
        </is>
      </c>
      <c r="C759" t="inlineStr">
        <is>
          <t>2026-04-21</t>
        </is>
      </c>
      <c r="D759" t="inlineStr">
        <is>
          <t>Support Ticket</t>
        </is>
      </c>
      <c r="E759" t="inlineStr">
        <is>
          <t>Professional</t>
        </is>
      </c>
      <c r="F759" t="inlineStr">
        <is>
          <t>Mid-Market</t>
        </is>
      </c>
      <c r="G759" t="inlineStr">
        <is>
          <t>Contact Management</t>
        </is>
      </c>
      <c r="H759" t="inlineStr">
        <is>
          <t>Bug</t>
        </is>
      </c>
      <c r="I759" t="inlineStr">
        <is>
          <t>Escalating on behalf of our ops lead. The import field mapping silently skipped rows and we only noticed days later. Our customer success lead flagged it while onboarding 85 new users. Support suggested logging it here.</t>
        </is>
      </c>
      <c r="J759" t="inlineStr">
        <is>
          <t>Negative</t>
        </is>
      </c>
      <c r="K759" t="inlineStr">
        <is>
          <t>Medium</t>
        </is>
      </c>
      <c r="L759" t="inlineStr">
        <is>
          <t>Workflow Slowdown</t>
        </is>
      </c>
    </row>
    <row r="760">
      <c r="A760" t="inlineStr">
        <is>
          <t>FB-00759</t>
        </is>
      </c>
      <c r="B760" t="inlineStr">
        <is>
          <t>CUST-0128</t>
        </is>
      </c>
      <c r="C760" t="inlineStr">
        <is>
          <t>2026-04-22</t>
        </is>
      </c>
      <c r="D760" t="inlineStr">
        <is>
          <t>Customer Survey</t>
        </is>
      </c>
      <c r="E760" t="inlineStr">
        <is>
          <t>Professional</t>
        </is>
      </c>
      <c r="F760" t="inlineStr">
        <is>
          <t>SMB</t>
        </is>
      </c>
      <c r="G760" t="inlineStr">
        <is>
          <t>Workflow Automation</t>
        </is>
      </c>
      <c r="H760" t="inlineStr">
        <is>
          <t>Feature Request</t>
        </is>
      </c>
      <c r="I760" t="inlineStr">
        <is>
          <t>Requesting approval steps; today approvals happen over chat. It affects our month-end reporting process every cycle. Let us know if you need examples.</t>
        </is>
      </c>
      <c r="J760" t="inlineStr">
        <is>
          <t>Neutral</t>
        </is>
      </c>
      <c r="K760" t="inlineStr">
        <is>
          <t>Low</t>
        </is>
      </c>
      <c r="L760" t="inlineStr">
        <is>
          <t>Minor Inconvenience</t>
        </is>
      </c>
    </row>
    <row r="761">
      <c r="A761" t="inlineStr">
        <is>
          <t>FB-00760</t>
        </is>
      </c>
      <c r="B761" t="inlineStr">
        <is>
          <t>CUST-0242</t>
        </is>
      </c>
      <c r="C761" t="inlineStr">
        <is>
          <t>2026-04-23</t>
        </is>
      </c>
      <c r="D761" t="inlineStr">
        <is>
          <t>Customer Survey</t>
        </is>
      </c>
      <c r="E761" t="inlineStr">
        <is>
          <t>Starter</t>
        </is>
      </c>
      <c r="F761" t="inlineStr">
        <is>
          <t>SMB</t>
        </is>
      </c>
      <c r="G761" t="inlineStr">
        <is>
          <t>Lead Management</t>
        </is>
      </c>
      <c r="H761" t="inlineStr">
        <is>
          <t>Performance Issue</t>
        </is>
      </c>
      <c r="I761" t="inlineStr">
        <is>
          <t>Complaint about lead view load times: the board freezes while cards render. It affects our weekly pipeline review process every cycle.</t>
        </is>
      </c>
      <c r="J761" t="inlineStr">
        <is>
          <t>Negative</t>
        </is>
      </c>
      <c r="K761" t="inlineStr">
        <is>
          <t>High</t>
        </is>
      </c>
      <c r="L761" t="inlineStr">
        <is>
          <t>Blocks Key Task</t>
        </is>
      </c>
    </row>
    <row r="762">
      <c r="A762" t="inlineStr">
        <is>
          <t>FB-00761</t>
        </is>
      </c>
      <c r="B762" t="inlineStr">
        <is>
          <t>CUST-0140</t>
        </is>
      </c>
      <c r="C762" t="inlineStr">
        <is>
          <t>2026-04-23</t>
        </is>
      </c>
      <c r="D762" t="inlineStr">
        <is>
          <t>In-App Feedback</t>
        </is>
      </c>
      <c r="E762" t="inlineStr">
        <is>
          <t>Professional</t>
        </is>
      </c>
      <c r="F762" t="inlineStr">
        <is>
          <t>Mid-Market</t>
        </is>
      </c>
      <c r="G762" t="inlineStr">
        <is>
          <t>Integrations</t>
        </is>
      </c>
      <c r="H762" t="inlineStr">
        <is>
          <t>Integration Issue</t>
        </is>
      </c>
      <c r="I762" t="inlineStr">
        <is>
          <t>Noting this during onboarding. We keep hitting API rate limits during nightly syncs with our data warehouse. We estimate we lose roughly 56 hours a month on this.</t>
        </is>
      </c>
      <c r="J762" t="inlineStr">
        <is>
          <t>Neutral</t>
        </is>
      </c>
      <c r="K762" t="inlineStr">
        <is>
          <t>Medium</t>
        </is>
      </c>
      <c r="L762" t="inlineStr">
        <is>
          <t>Minor Inconvenience</t>
        </is>
      </c>
    </row>
    <row r="763">
      <c r="A763" t="inlineStr">
        <is>
          <t>FB-00762</t>
        </is>
      </c>
      <c r="B763" t="inlineStr">
        <is>
          <t>CUST-0149</t>
        </is>
      </c>
      <c r="C763" t="inlineStr">
        <is>
          <t>2026-04-23</t>
        </is>
      </c>
      <c r="D763" t="inlineStr">
        <is>
          <t>Customer Survey</t>
        </is>
      </c>
      <c r="E763" t="inlineStr">
        <is>
          <t>Professional</t>
        </is>
      </c>
      <c r="F763" t="inlineStr">
        <is>
          <t>Mid-Market</t>
        </is>
      </c>
      <c r="G763" t="inlineStr">
        <is>
          <t>Workflow Automation</t>
        </is>
      </c>
      <c r="H763" t="inlineStr">
        <is>
          <t>Feature Request</t>
        </is>
      </c>
      <c r="I763" t="inlineStr">
        <is>
          <t>Great support experience recently. Requesting a discount approval flow; today approvals happen over chat. It affects our lead handoff process every cycle. Keep up the good work.</t>
        </is>
      </c>
      <c r="J763" t="inlineStr">
        <is>
          <t>Positive</t>
        </is>
      </c>
      <c r="K763" t="inlineStr">
        <is>
          <t>Low</t>
        </is>
      </c>
      <c r="L763" t="inlineStr">
        <is>
          <t>Minor Inconvenience</t>
        </is>
      </c>
    </row>
    <row r="764">
      <c r="A764" t="inlineStr">
        <is>
          <t>FB-00763</t>
        </is>
      </c>
      <c r="B764" t="inlineStr">
        <is>
          <t>CUST-0003</t>
        </is>
      </c>
      <c r="C764" t="inlineStr">
        <is>
          <t>2026-04-23</t>
        </is>
      </c>
      <c r="D764" t="inlineStr">
        <is>
          <t>In-App Feedback</t>
        </is>
      </c>
      <c r="E764" t="inlineStr">
        <is>
          <t>Starter</t>
        </is>
      </c>
      <c r="F764" t="inlineStr">
        <is>
          <t>Mid-Market</t>
        </is>
      </c>
      <c r="G764" t="inlineStr">
        <is>
          <t>User Interface</t>
        </is>
      </c>
      <c r="H764" t="inlineStr">
        <is>
          <t>Performance Issue</t>
        </is>
      </c>
      <c r="I764" t="inlineStr">
        <is>
          <t>Escalating on behalf of our ops lead. UI freezing makes data entry frustrating during live calls. Please look into it soon.</t>
        </is>
      </c>
      <c r="J764" t="inlineStr">
        <is>
          <t>Negative</t>
        </is>
      </c>
      <c r="K764" t="inlineStr">
        <is>
          <t>Medium</t>
        </is>
      </c>
      <c r="L764" t="inlineStr">
        <is>
          <t>Workflow Slowdown</t>
        </is>
      </c>
    </row>
    <row r="765">
      <c r="A765" t="inlineStr">
        <is>
          <t>FB-00764</t>
        </is>
      </c>
      <c r="B765" t="inlineStr">
        <is>
          <t>CUST-0286</t>
        </is>
      </c>
      <c r="C765" t="inlineStr">
        <is>
          <t>2026-04-23</t>
        </is>
      </c>
      <c r="D765" t="inlineStr">
        <is>
          <t>Feature Request</t>
        </is>
      </c>
      <c r="E765" t="inlineStr">
        <is>
          <t>Enterprise</t>
        </is>
      </c>
      <c r="F765" t="inlineStr">
        <is>
          <t>Enterprise</t>
        </is>
      </c>
      <c r="G765" t="inlineStr">
        <is>
          <t>Integrations</t>
        </is>
      </c>
      <c r="H765" t="inlineStr">
        <is>
          <t>Feature Request</t>
        </is>
      </c>
      <c r="I765" t="inlineStr">
        <is>
          <t>Not what we expected for the price. Requesting a native accounting integration to remove manual re-entry. So far 29 people on our side have reported it.</t>
        </is>
      </c>
      <c r="J765" t="inlineStr">
        <is>
          <t>Negative</t>
        </is>
      </c>
      <c r="K765" t="inlineStr">
        <is>
          <t>High</t>
        </is>
      </c>
      <c r="L765" t="inlineStr">
        <is>
          <t>Blocks Key Task</t>
        </is>
      </c>
    </row>
    <row r="766">
      <c r="A766" t="inlineStr">
        <is>
          <t>FB-00765</t>
        </is>
      </c>
      <c r="B766" t="inlineStr">
        <is>
          <t>CUST-0124</t>
        </is>
      </c>
      <c r="C766" t="inlineStr">
        <is>
          <t>2026-04-24</t>
        </is>
      </c>
      <c r="D766" t="inlineStr">
        <is>
          <t>In-App Feedback</t>
        </is>
      </c>
      <c r="E766" t="inlineStr">
        <is>
          <t>Starter</t>
        </is>
      </c>
      <c r="F766" t="inlineStr">
        <is>
          <t>SMB</t>
        </is>
      </c>
      <c r="G766" t="inlineStr">
        <is>
          <t>Workflow Automation</t>
        </is>
      </c>
      <c r="H766" t="inlineStr">
        <is>
          <t>Bug</t>
        </is>
      </c>
      <c r="I766" t="inlineStr">
        <is>
          <t>Our team keeps running into this. We are hitting automation misfires: emails don't send and nobody gets notified. Please look into it soon.</t>
        </is>
      </c>
      <c r="J766" t="inlineStr">
        <is>
          <t>Negative</t>
        </is>
      </c>
      <c r="K766" t="inlineStr">
        <is>
          <t>High</t>
        </is>
      </c>
      <c r="L766" t="inlineStr">
        <is>
          <t>Blocks Key Task</t>
        </is>
      </c>
    </row>
    <row r="767">
      <c r="A767" t="inlineStr">
        <is>
          <t>FB-00766</t>
        </is>
      </c>
      <c r="B767" t="inlineStr">
        <is>
          <t>CUST-0153</t>
        </is>
      </c>
      <c r="C767" t="inlineStr">
        <is>
          <t>2026-04-24</t>
        </is>
      </c>
      <c r="D767" t="inlineStr">
        <is>
          <t>In-App Feedback</t>
        </is>
      </c>
      <c r="E767" t="inlineStr">
        <is>
          <t>Enterprise</t>
        </is>
      </c>
      <c r="F767" t="inlineStr">
        <is>
          <t>Enterprise</t>
        </is>
      </c>
      <c r="G767" t="inlineStr">
        <is>
          <t>Reporting</t>
        </is>
      </c>
      <c r="H767" t="inlineStr">
        <is>
          <t>Feature Request</t>
        </is>
      </c>
      <c r="I767" t="inlineStr">
        <is>
          <t>Please add scheduled report emails; today an analyst rebuilds the same report every week. So far 83 people on our side have reported it. Happy to beta test.</t>
        </is>
      </c>
      <c r="J767" t="inlineStr">
        <is>
          <t>Positive</t>
        </is>
      </c>
      <c r="K767" t="inlineStr">
        <is>
          <t>Low</t>
        </is>
      </c>
      <c r="L767" t="inlineStr">
        <is>
          <t>Minor Inconvenience</t>
        </is>
      </c>
    </row>
    <row r="768">
      <c r="A768" t="inlineStr">
        <is>
          <t>FB-00767</t>
        </is>
      </c>
      <c r="B768" t="inlineStr">
        <is>
          <t>CUST-0048</t>
        </is>
      </c>
      <c r="C768" t="inlineStr">
        <is>
          <t>2026-04-25</t>
        </is>
      </c>
      <c r="D768" t="inlineStr">
        <is>
          <t>In-App Feedback</t>
        </is>
      </c>
      <c r="E768" t="inlineStr">
        <is>
          <t>Starter</t>
        </is>
      </c>
      <c r="F768" t="inlineStr">
        <is>
          <t>SMB</t>
        </is>
      </c>
      <c r="G768" t="inlineStr">
        <is>
          <t>Contact Management</t>
        </is>
      </c>
      <c r="H768" t="inlineStr">
        <is>
          <t>Performance Issue</t>
        </is>
      </c>
      <c r="I768" t="inlineStr">
        <is>
          <t>Our team keeps running into this. Our contact search is slow and often returns stale results right after an update. So far 26 people on our side have reported it. Please look into it soon.</t>
        </is>
      </c>
      <c r="J768" t="inlineStr">
        <is>
          <t>Negative</t>
        </is>
      </c>
      <c r="K768" t="inlineStr">
        <is>
          <t>High</t>
        </is>
      </c>
      <c r="L768" t="inlineStr">
        <is>
          <t>Blocks Key Task</t>
        </is>
      </c>
    </row>
    <row r="769">
      <c r="A769" t="inlineStr">
        <is>
          <t>FB-00768</t>
        </is>
      </c>
      <c r="B769" t="inlineStr">
        <is>
          <t>CUST-0378</t>
        </is>
      </c>
      <c r="C769" t="inlineStr">
        <is>
          <t>2026-04-25</t>
        </is>
      </c>
      <c r="D769" t="inlineStr">
        <is>
          <t>Customer Survey</t>
        </is>
      </c>
      <c r="E769" t="inlineStr">
        <is>
          <t>Starter</t>
        </is>
      </c>
      <c r="F769" t="inlineStr">
        <is>
          <t>SMB</t>
        </is>
      </c>
      <c r="G769" t="inlineStr">
        <is>
          <t>Workflow Automation</t>
        </is>
      </c>
      <c r="H769" t="inlineStr">
        <is>
          <t>Usability Issue</t>
        </is>
      </c>
      <c r="I769" t="inlineStr">
        <is>
          <t>Our new admins struggle with the workflow builder; there is no guidance or validation. So far 82 people on our side have reported it.</t>
        </is>
      </c>
      <c r="J769" t="inlineStr">
        <is>
          <t>Negative</t>
        </is>
      </c>
      <c r="K769" t="inlineStr">
        <is>
          <t>Medium</t>
        </is>
      </c>
      <c r="L769" t="inlineStr">
        <is>
          <t>Workflow Slowdown</t>
        </is>
      </c>
    </row>
    <row r="770">
      <c r="A770" t="inlineStr">
        <is>
          <t>FB-00769</t>
        </is>
      </c>
      <c r="B770" t="inlineStr">
        <is>
          <t>CUST-0277</t>
        </is>
      </c>
      <c r="C770" t="inlineStr">
        <is>
          <t>2026-04-25</t>
        </is>
      </c>
      <c r="D770" t="inlineStr">
        <is>
          <t>Feature Request</t>
        </is>
      </c>
      <c r="E770" t="inlineStr">
        <is>
          <t>Professional</t>
        </is>
      </c>
      <c r="F770" t="inlineStr">
        <is>
          <t>Mid-Market</t>
        </is>
      </c>
      <c r="G770" t="inlineStr">
        <is>
          <t>Lead Management</t>
        </is>
      </c>
      <c r="H770" t="inlineStr">
        <is>
          <t>feature request</t>
        </is>
      </c>
      <c r="I770" t="inlineStr">
        <is>
          <t>Overall we like the product. We need a lead score model so reps can focus on the prospects most likely to close.</t>
        </is>
      </c>
      <c r="J770" t="inlineStr">
        <is>
          <t>Positive</t>
        </is>
      </c>
      <c r="K770" t="inlineStr">
        <is>
          <t>Low</t>
        </is>
      </c>
      <c r="L770" t="inlineStr">
        <is>
          <t>Minor Inconvenience</t>
        </is>
      </c>
    </row>
    <row r="771">
      <c r="A771" t="inlineStr">
        <is>
          <t>FB-00770</t>
        </is>
      </c>
      <c r="B771" t="inlineStr">
        <is>
          <t>CUST-0315</t>
        </is>
      </c>
      <c r="C771" t="inlineStr">
        <is>
          <t>2026-04-26</t>
        </is>
      </c>
      <c r="D771" t="inlineStr">
        <is>
          <t>Customer Survey</t>
        </is>
      </c>
      <c r="E771" t="inlineStr">
        <is>
          <t>Professional</t>
        </is>
      </c>
      <c r="F771" t="inlineStr">
        <is>
          <t>SMB</t>
        </is>
      </c>
      <c r="G771" t="inlineStr">
        <is>
          <t>Workflow Automation</t>
        </is>
      </c>
      <c r="H771" t="inlineStr">
        <is>
          <t>Bug</t>
        </is>
      </c>
      <c r="I771" t="inlineStr">
        <is>
          <t>Several workflow runs failing silently left deals stuck in the wrong stage. It affects our weekly pipeline review process every cycle. Let us know if you need examples.</t>
        </is>
      </c>
      <c r="J771" t="inlineStr">
        <is>
          <t>Neutral</t>
        </is>
      </c>
      <c r="K771" t="inlineStr">
        <is>
          <t>High</t>
        </is>
      </c>
      <c r="L771" t="inlineStr">
        <is>
          <t>Blocks Key Task</t>
        </is>
      </c>
    </row>
    <row r="772">
      <c r="A772" t="inlineStr">
        <is>
          <t>FB-00771</t>
        </is>
      </c>
      <c r="B772" t="inlineStr">
        <is>
          <t>CUST-0384</t>
        </is>
      </c>
      <c r="C772" t="inlineStr">
        <is>
          <t>2026-04-26</t>
        </is>
      </c>
      <c r="D772" t="inlineStr">
        <is>
          <t>Feature Request</t>
        </is>
      </c>
      <c r="E772" t="inlineStr">
        <is>
          <t>Enterprise</t>
        </is>
      </c>
      <c r="F772" t="inlineStr">
        <is>
          <t>Mid-Market</t>
        </is>
      </c>
      <c r="G772" t="inlineStr">
        <is>
          <t>Integrations</t>
        </is>
      </c>
      <c r="H772" t="inlineStr">
        <is>
          <t>Feature Request</t>
        </is>
      </c>
      <c r="I772" t="inlineStr">
        <is>
          <t>FYI for the product team. Requesting SSO support for our compliance audit. We estimate we lose roughly 16 hours a month on this.</t>
        </is>
      </c>
      <c r="J772" t="inlineStr">
        <is>
          <t>Neutral</t>
        </is>
      </c>
      <c r="K772" t="inlineStr">
        <is>
          <t>Low</t>
        </is>
      </c>
      <c r="L772" t="inlineStr">
        <is>
          <t>Workflow Slowdown</t>
        </is>
      </c>
    </row>
    <row r="773">
      <c r="A773" t="inlineStr">
        <is>
          <t>FB-00772</t>
        </is>
      </c>
      <c r="B773" t="inlineStr">
        <is>
          <t>CUST-0102</t>
        </is>
      </c>
      <c r="C773" t="inlineStr">
        <is>
          <t>2026-04-26</t>
        </is>
      </c>
      <c r="D773" t="inlineStr">
        <is>
          <t>Customer Survey</t>
        </is>
      </c>
      <c r="E773" t="inlineStr">
        <is>
          <t>Professional</t>
        </is>
      </c>
      <c r="F773" t="inlineStr">
        <is>
          <t>Mid-Market</t>
        </is>
      </c>
      <c r="G773" t="inlineStr">
        <is>
          <t>Lead Management</t>
        </is>
      </c>
      <c r="H773" t="inlineStr">
        <is>
          <t>Performance Issue</t>
        </is>
      </c>
      <c r="I773" t="inlineStr">
        <is>
          <t>Complaint about lead list loading: the board freezes while cards render. It affects our onboarding process every cycle.</t>
        </is>
      </c>
      <c r="J773" t="inlineStr">
        <is>
          <t>Negative</t>
        </is>
      </c>
      <c r="K773" t="inlineStr">
        <is>
          <t>Low</t>
        </is>
      </c>
      <c r="L773" t="inlineStr">
        <is>
          <t>Minor Inconvenience</t>
        </is>
      </c>
    </row>
    <row r="774">
      <c r="A774" t="inlineStr">
        <is>
          <t>FB-00773</t>
        </is>
      </c>
      <c r="B774" t="inlineStr">
        <is>
          <t>CUST-0096</t>
        </is>
      </c>
      <c r="C774" t="inlineStr">
        <is>
          <t>2026-04-27</t>
        </is>
      </c>
      <c r="D774" t="inlineStr">
        <is>
          <t>In-App Feedback</t>
        </is>
      </c>
      <c r="E774" t="inlineStr">
        <is>
          <t xml:space="preserve">Enterprise </t>
        </is>
      </c>
      <c r="F774" t="inlineStr">
        <is>
          <t>Enterprise</t>
        </is>
      </c>
      <c r="G774" t="inlineStr">
        <is>
          <t>Workflow Automation</t>
        </is>
      </c>
      <c r="H774" t="inlineStr">
        <is>
          <t>Feature Request</t>
        </is>
      </c>
      <c r="I774" t="inlineStr">
        <is>
          <t>Please provide workflow templates for common processes like onboarding and renewals. We estimate we lose roughly 43 hours a month on this. Let us know if you need examples.</t>
        </is>
      </c>
      <c r="J774" t="inlineStr">
        <is>
          <t>Neutral</t>
        </is>
      </c>
      <c r="K774" t="inlineStr">
        <is>
          <t>Low</t>
        </is>
      </c>
      <c r="L774" t="inlineStr">
        <is>
          <t>Workflow Slowdown</t>
        </is>
      </c>
    </row>
    <row r="775">
      <c r="A775" t="inlineStr">
        <is>
          <t>FB-00774</t>
        </is>
      </c>
      <c r="B775" t="inlineStr">
        <is>
          <t>CUST-0268</t>
        </is>
      </c>
      <c r="C775" t="inlineStr">
        <is>
          <t>2026-04-27</t>
        </is>
      </c>
      <c r="D775" t="inlineStr">
        <is>
          <t>In-App Feedback</t>
        </is>
      </c>
      <c r="E775" t="inlineStr">
        <is>
          <t>Professional</t>
        </is>
      </c>
      <c r="F775" t="inlineStr">
        <is>
          <t>Enterprise</t>
        </is>
      </c>
      <c r="G775" t="inlineStr">
        <is>
          <t>Integrations</t>
        </is>
      </c>
      <c r="H775" t="inlineStr">
        <is>
          <t>Integration Issue</t>
        </is>
      </c>
      <c r="I775" t="inlineStr">
        <is>
          <t>After the token expires, Outlook calendar sync stops with no warning. Our finance analyst flagged it while onboarding 77 new users.</t>
        </is>
      </c>
      <c r="J775" t="inlineStr">
        <is>
          <t>Neutral</t>
        </is>
      </c>
      <c r="K775" t="inlineStr">
        <is>
          <t>Low</t>
        </is>
      </c>
      <c r="L775" t="inlineStr">
        <is>
          <t>Minor Inconvenience</t>
        </is>
      </c>
    </row>
    <row r="776">
      <c r="A776" t="inlineStr">
        <is>
          <t>FB-00775</t>
        </is>
      </c>
      <c r="B776" t="inlineStr">
        <is>
          <t>CUST-0165</t>
        </is>
      </c>
      <c r="C776" t="inlineStr">
        <is>
          <t>2026-04-27</t>
        </is>
      </c>
      <c r="D776" t="inlineStr">
        <is>
          <t>In-App Feedback</t>
        </is>
      </c>
      <c r="E776" t="inlineStr">
        <is>
          <t>Enterprise</t>
        </is>
      </c>
      <c r="F776" t="inlineStr">
        <is>
          <t>Mid-Market</t>
        </is>
      </c>
      <c r="G776" t="inlineStr">
        <is>
          <t>Integrations</t>
        </is>
      </c>
      <c r="H776" t="inlineStr">
        <is>
          <t>Feature Request</t>
        </is>
      </c>
      <c r="I776" t="inlineStr">
        <is>
          <t>Requesting a marketing automation connector to remove manual re-entry. We estimate we lose roughly 47 hours a month on this. Happy to join a feedback call.</t>
        </is>
      </c>
      <c r="J776" t="inlineStr">
        <is>
          <t>Neutral</t>
        </is>
      </c>
      <c r="K776" t="inlineStr">
        <is>
          <t>Low</t>
        </is>
      </c>
      <c r="L776" t="inlineStr">
        <is>
          <t>Minor Inconvenience</t>
        </is>
      </c>
    </row>
    <row r="777">
      <c r="A777" t="inlineStr">
        <is>
          <t>FB-00776</t>
        </is>
      </c>
      <c r="B777" t="inlineStr">
        <is>
          <t>CUST-0376</t>
        </is>
      </c>
      <c r="C777" t="inlineStr">
        <is>
          <t>2026-04-27</t>
        </is>
      </c>
      <c r="D777" t="inlineStr">
        <is>
          <t>Support Ticket</t>
        </is>
      </c>
      <c r="E777" t="inlineStr">
        <is>
          <t>Professional</t>
        </is>
      </c>
      <c r="F777" t="inlineStr">
        <is>
          <t>Enterprise</t>
        </is>
      </c>
      <c r="G777" t="inlineStr">
        <is>
          <t>Lead Management</t>
        </is>
      </c>
      <c r="H777" t="inlineStr">
        <is>
          <t>Performance Issue</t>
        </is>
      </c>
      <c r="I777" t="inlineStr">
        <is>
          <t>The lead view load times gets very slow once we pass a few thousand open leads. Our RevOps lead flagged it while onboarding 37 new users. Please look into it soon.</t>
        </is>
      </c>
      <c r="J777" t="inlineStr">
        <is>
          <t>Negative</t>
        </is>
      </c>
      <c r="K777" t="inlineStr">
        <is>
          <t>Medium</t>
        </is>
      </c>
      <c r="L777" t="inlineStr">
        <is>
          <t>Workflow Slowdown</t>
        </is>
      </c>
    </row>
    <row r="778">
      <c r="A778" t="inlineStr">
        <is>
          <t>FB-00777</t>
        </is>
      </c>
      <c r="B778" t="inlineStr">
        <is>
          <t>CUST-0251</t>
        </is>
      </c>
      <c r="C778" t="inlineStr">
        <is>
          <t>2026-04-27</t>
        </is>
      </c>
      <c r="D778" t="inlineStr">
        <is>
          <t>Customer Survey</t>
        </is>
      </c>
      <c r="E778" t="inlineStr">
        <is>
          <t>Professional</t>
        </is>
      </c>
      <c r="F778" t="inlineStr">
        <is>
          <t>Mid-Market</t>
        </is>
      </c>
      <c r="G778" t="inlineStr">
        <is>
          <t>Reporting</t>
        </is>
      </c>
      <c r="H778" t="inlineStr">
        <is>
          <t>Feature Request</t>
        </is>
      </c>
      <c r="I778" t="inlineStr">
        <is>
          <t>Recent updates have been a nice improvement. Requesting scheduled report emails so leadership gets numbers without logging in. Our sales manager flagged it while onboarding 56 new users.</t>
        </is>
      </c>
      <c r="J778" t="inlineStr">
        <is>
          <t>Positive</t>
        </is>
      </c>
      <c r="K778" t="inlineStr">
        <is>
          <t>Medium</t>
        </is>
      </c>
      <c r="L778" t="inlineStr">
        <is>
          <t>Blocks Key Task</t>
        </is>
      </c>
    </row>
    <row r="779">
      <c r="A779" t="inlineStr">
        <is>
          <t>FB-00778</t>
        </is>
      </c>
      <c r="B779" t="inlineStr">
        <is>
          <t>CUST-0229</t>
        </is>
      </c>
      <c r="C779" t="inlineStr">
        <is>
          <t>2026-04-27</t>
        </is>
      </c>
      <c r="D779" t="inlineStr">
        <is>
          <t>In-App Feedback</t>
        </is>
      </c>
      <c r="E779" t="inlineStr">
        <is>
          <t>Starter</t>
        </is>
      </c>
      <c r="F779" t="inlineStr">
        <is>
          <t>Mid-Market</t>
        </is>
      </c>
      <c r="G779" t="inlineStr">
        <is>
          <t>Contact Management</t>
        </is>
      </c>
      <c r="H779" t="inlineStr">
        <is>
          <t>Bug</t>
        </is>
      </c>
      <c r="I779" t="inlineStr">
        <is>
          <t>Our spreadsheet import scrambles phone and email columns even after we map them correctly. It affects our quarterly planning process every cycle.</t>
        </is>
      </c>
      <c r="J779" t="inlineStr">
        <is>
          <t>Neutral</t>
        </is>
      </c>
      <c r="K779" t="inlineStr">
        <is>
          <t xml:space="preserve">Critical </t>
        </is>
      </c>
      <c r="L779" t="inlineStr">
        <is>
          <t>Revenue/Operations Risk</t>
        </is>
      </c>
    </row>
    <row r="780">
      <c r="A780" t="inlineStr">
        <is>
          <t>FB-00779</t>
        </is>
      </c>
      <c r="B780" t="inlineStr">
        <is>
          <t>CUST-0284</t>
        </is>
      </c>
      <c r="C780" t="inlineStr">
        <is>
          <t>2026-04-28</t>
        </is>
      </c>
      <c r="D780" t="inlineStr">
        <is>
          <t>Feature Request</t>
        </is>
      </c>
      <c r="E780" t="inlineStr">
        <is>
          <t>Enterprise</t>
        </is>
      </c>
      <c r="F780" t="inlineStr">
        <is>
          <t>Enterprise</t>
        </is>
      </c>
      <c r="G780" t="inlineStr">
        <is>
          <t>Workflow Automation</t>
        </is>
      </c>
      <c r="H780" t="inlineStr">
        <is>
          <t>Feature Request</t>
        </is>
      </c>
      <c r="I780" t="inlineStr">
        <is>
          <t>Recent updates have been a nice improvement. Adding multi-level approvals is a blocker for our finance team. It happens about 17 times a week for our team of 97.</t>
        </is>
      </c>
      <c r="J780" t="inlineStr">
        <is>
          <t>Positive</t>
        </is>
      </c>
      <c r="K780" t="inlineStr">
        <is>
          <t>Low</t>
        </is>
      </c>
      <c r="L780" t="inlineStr">
        <is>
          <t>Blocks Key Task</t>
        </is>
      </c>
    </row>
    <row r="781">
      <c r="A781" t="inlineStr">
        <is>
          <t>FB-00780</t>
        </is>
      </c>
      <c r="B781" t="inlineStr">
        <is>
          <t>CUST-0069</t>
        </is>
      </c>
      <c r="C781" t="inlineStr">
        <is>
          <t>2026-04-28</t>
        </is>
      </c>
      <c r="D781" t="inlineStr">
        <is>
          <t>Customer Survey</t>
        </is>
      </c>
      <c r="E781" t="inlineStr">
        <is>
          <t>Starter</t>
        </is>
      </c>
      <c r="F781" t="inlineStr">
        <is>
          <t>Mid-Market</t>
        </is>
      </c>
      <c r="G781" t="inlineStr">
        <is>
          <t>Contact Management</t>
        </is>
      </c>
      <c r="H781" t="inlineStr">
        <is>
          <t>Feature Request</t>
        </is>
      </c>
      <c r="I781" t="inlineStr">
        <is>
          <t>Please extend custom contact fields; the current limit is too small for our use case. It affects our month-end reporting process every cycle. Let us know if you need examples.</t>
        </is>
      </c>
      <c r="J781" t="inlineStr">
        <is>
          <t>Neutral</t>
        </is>
      </c>
      <c r="K781" t="inlineStr">
        <is>
          <t>Medium</t>
        </is>
      </c>
      <c r="L781" t="inlineStr">
        <is>
          <t>Workflow Slowdown</t>
        </is>
      </c>
    </row>
    <row r="782">
      <c r="A782" t="inlineStr">
        <is>
          <t>FB-00781</t>
        </is>
      </c>
      <c r="B782" t="inlineStr">
        <is>
          <t>CUST-0175</t>
        </is>
      </c>
      <c r="C782" t="inlineStr">
        <is>
          <t>2026-04-28</t>
        </is>
      </c>
      <c r="D782" t="inlineStr">
        <is>
          <t>In-App Feedback</t>
        </is>
      </c>
      <c r="E782" t="inlineStr">
        <is>
          <t>Professional</t>
        </is>
      </c>
      <c r="F782" t="inlineStr">
        <is>
          <t>Mid-Market</t>
        </is>
      </c>
      <c r="G782" t="inlineStr">
        <is>
          <t>Integrations</t>
        </is>
      </c>
      <c r="H782" t="inlineStr">
        <is>
          <t>Integration Issue</t>
        </is>
      </c>
      <c r="I782" t="inlineStr">
        <is>
          <t>Not what we expected for the price. After the token expires, Outlook calendar sync stops with no warning. We need a fix before renewal.</t>
        </is>
      </c>
      <c r="J782" t="inlineStr">
        <is>
          <t>Negative</t>
        </is>
      </c>
      <c r="K782" t="inlineStr">
        <is>
          <t>Medium</t>
        </is>
      </c>
      <c r="L782" t="inlineStr">
        <is>
          <t>Minor Inconvenience</t>
        </is>
      </c>
    </row>
    <row r="783">
      <c r="A783" t="inlineStr">
        <is>
          <t>FB-00782</t>
        </is>
      </c>
      <c r="B783" t="inlineStr">
        <is>
          <t>CUST-0146</t>
        </is>
      </c>
      <c r="C783" t="inlineStr">
        <is>
          <t>2026-04-28</t>
        </is>
      </c>
      <c r="D783" t="inlineStr">
        <is>
          <t>Support Ticket</t>
        </is>
      </c>
      <c r="E783" t="inlineStr">
        <is>
          <t>Starter</t>
        </is>
      </c>
      <c r="F783" t="inlineStr">
        <is>
          <t>SMB</t>
        </is>
      </c>
      <c r="G783" t="inlineStr">
        <is>
          <t>Lead Management</t>
        </is>
      </c>
      <c r="H783" t="inlineStr">
        <is>
          <t>Feature Request</t>
        </is>
      </c>
      <c r="I783" t="inlineStr">
        <is>
          <t>Would love to see lead scoring rules that marketing and sales can both tune. Our marketing ops owner flagged it while onboarding 105 new users. Happy to join a feedback call.</t>
        </is>
      </c>
      <c r="J783" t="inlineStr">
        <is>
          <t>Neutral</t>
        </is>
      </c>
      <c r="K783" t="inlineStr">
        <is>
          <t>Low</t>
        </is>
      </c>
      <c r="L783" t="inlineStr">
        <is>
          <t>Minor Inconvenience</t>
        </is>
      </c>
    </row>
    <row r="784">
      <c r="A784" t="inlineStr">
        <is>
          <t>FB-00783</t>
        </is>
      </c>
      <c r="B784" t="inlineStr">
        <is>
          <t>CUST-0017</t>
        </is>
      </c>
      <c r="C784" t="inlineStr">
        <is>
          <t>2026-04-28</t>
        </is>
      </c>
      <c r="D784" t="inlineStr">
        <is>
          <t>Feature Request</t>
        </is>
      </c>
      <c r="E784" t="inlineStr">
        <is>
          <t>Starter</t>
        </is>
      </c>
      <c r="F784" t="inlineStr">
        <is>
          <t>Mid-Market</t>
        </is>
      </c>
      <c r="G784" t="inlineStr">
        <is>
          <t>Lead Management</t>
        </is>
      </c>
      <c r="H784" t="inlineStr">
        <is>
          <t>feature request</t>
        </is>
      </c>
      <c r="I784" t="inlineStr">
        <is>
          <t>Right now reps rank leads by gut feel; lead scoring rules would fix that. Let us know if you need examples.</t>
        </is>
      </c>
      <c r="J784" t="inlineStr">
        <is>
          <t>Neutral</t>
        </is>
      </c>
      <c r="K784" t="inlineStr">
        <is>
          <t>Low</t>
        </is>
      </c>
      <c r="L784" t="inlineStr">
        <is>
          <t>Minor Inconvenience</t>
        </is>
      </c>
    </row>
    <row r="785">
      <c r="A785" t="inlineStr">
        <is>
          <t>FB-00784</t>
        </is>
      </c>
      <c r="B785" t="inlineStr">
        <is>
          <t>CUST-0133</t>
        </is>
      </c>
      <c r="C785" t="inlineStr">
        <is>
          <t>29-Apr-2026</t>
        </is>
      </c>
      <c r="D785" t="inlineStr">
        <is>
          <t>Customer Survey</t>
        </is>
      </c>
      <c r="E785" t="inlineStr">
        <is>
          <t>Professional</t>
        </is>
      </c>
      <c r="F785" t="inlineStr">
        <is>
          <t>Mid-Market</t>
        </is>
      </c>
      <c r="G785" t="inlineStr">
        <is>
          <t>Workflow Automation</t>
        </is>
      </c>
      <c r="H785" t="inlineStr">
        <is>
          <t>Usability Issue</t>
        </is>
      </c>
      <c r="I785" t="inlineStr">
        <is>
          <t>Feedback from our monthly review. Our new admins struggle with the workflow builder; there is no guidance or validation. It happens about 14 times a week for our team of 64. Happy to join a feedback call.</t>
        </is>
      </c>
      <c r="J785" t="inlineStr">
        <is>
          <t>Neutral</t>
        </is>
      </c>
      <c r="K785" t="inlineStr">
        <is>
          <t>Low</t>
        </is>
      </c>
      <c r="L785" t="inlineStr">
        <is>
          <t>Workflow Slowdown</t>
        </is>
      </c>
    </row>
    <row r="786">
      <c r="A786" t="inlineStr">
        <is>
          <t>FB-00785</t>
        </is>
      </c>
      <c r="B786" t="inlineStr">
        <is>
          <t>CUST-0062</t>
        </is>
      </c>
      <c r="C786" t="inlineStr">
        <is>
          <t>2026-04-29</t>
        </is>
      </c>
      <c r="D786" t="inlineStr">
        <is>
          <t>In-App Feedback</t>
        </is>
      </c>
      <c r="E786" t="inlineStr">
        <is>
          <t>Professional</t>
        </is>
      </c>
      <c r="F786" t="inlineStr">
        <is>
          <t>Mid-Market</t>
        </is>
      </c>
      <c r="G786" t="inlineStr">
        <is>
          <t>Lead Management</t>
        </is>
      </c>
      <c r="H786" t="inlineStr">
        <is>
          <t>Performance Issue</t>
        </is>
      </c>
      <c r="I786" t="inlineStr">
        <is>
          <t>Noting this during onboarding. Complaint about lead list loading: the board freezes while cards render. So far 49 people on our side have reported it.</t>
        </is>
      </c>
      <c r="J786" t="inlineStr">
        <is>
          <t>Neutral</t>
        </is>
      </c>
      <c r="K786" t="inlineStr">
        <is>
          <t>High</t>
        </is>
      </c>
      <c r="L786" t="inlineStr">
        <is>
          <t>Revenue/Operations Risk</t>
        </is>
      </c>
    </row>
    <row r="787">
      <c r="A787" t="inlineStr">
        <is>
          <t>FB-00786</t>
        </is>
      </c>
      <c r="B787" t="inlineStr">
        <is>
          <t>CUST-0399</t>
        </is>
      </c>
      <c r="C787" t="inlineStr">
        <is>
          <t>2026-04-29</t>
        </is>
      </c>
      <c r="D787" t="inlineStr">
        <is>
          <t>Support Ticket</t>
        </is>
      </c>
      <c r="E787" t="inlineStr">
        <is>
          <t>Enterprise</t>
        </is>
      </c>
      <c r="F787" t="inlineStr">
        <is>
          <t>Enterprise</t>
        </is>
      </c>
      <c r="G787" t="inlineStr">
        <is>
          <t>Integrations</t>
        </is>
      </c>
      <c r="H787" t="inlineStr">
        <is>
          <t>Integration Issue</t>
        </is>
      </c>
      <c r="I787" t="inlineStr">
        <is>
          <t>Overall we like the product. Reps no longer trust email sync, so they log activity by hand. It happens about 23 times a week for our team of 37. Keep up the good work.</t>
        </is>
      </c>
      <c r="J787" t="inlineStr">
        <is>
          <t>Positive</t>
        </is>
      </c>
      <c r="K787" t="inlineStr">
        <is>
          <t>Medium</t>
        </is>
      </c>
      <c r="L787" t="inlineStr">
        <is>
          <t>Minor Inconvenience</t>
        </is>
      </c>
    </row>
    <row r="788">
      <c r="A788" t="inlineStr">
        <is>
          <t>FB-00787</t>
        </is>
      </c>
      <c r="B788" t="inlineStr">
        <is>
          <t>CUST-0066</t>
        </is>
      </c>
      <c r="C788" t="inlineStr">
        <is>
          <t>2026-04-29</t>
        </is>
      </c>
      <c r="D788" t="inlineStr">
        <is>
          <t xml:space="preserve"> In-App Feedback</t>
        </is>
      </c>
      <c r="E788" t="inlineStr">
        <is>
          <t>Starter</t>
        </is>
      </c>
      <c r="F788" t="inlineStr">
        <is>
          <t>SMB</t>
        </is>
      </c>
      <c r="G788" t="inlineStr">
        <is>
          <t>Workflow Automation</t>
        </is>
      </c>
      <c r="H788" t="inlineStr">
        <is>
          <t>Usability Issue</t>
        </is>
      </c>
      <c r="I788" t="inlineStr">
        <is>
          <t>Our team keeps running into this. Our new admins struggle with the workflow editor; there is no guidance or validation. Our customer success lead flagged it while onboarding 117 new users. Please look into it soon.</t>
        </is>
      </c>
      <c r="J788" t="inlineStr">
        <is>
          <t>Negative</t>
        </is>
      </c>
      <c r="K788" t="inlineStr">
        <is>
          <t>High</t>
        </is>
      </c>
      <c r="L788" t="inlineStr">
        <is>
          <t>Workflow Slowdown</t>
        </is>
      </c>
    </row>
    <row r="789">
      <c r="A789" t="inlineStr">
        <is>
          <t>FB-00788</t>
        </is>
      </c>
      <c r="B789" t="inlineStr">
        <is>
          <t>CUST-0314</t>
        </is>
      </c>
      <c r="C789" t="inlineStr">
        <is>
          <t>29-Apr-2026</t>
        </is>
      </c>
      <c r="D789" t="inlineStr">
        <is>
          <t>Customer Survey</t>
        </is>
      </c>
      <c r="E789" t="inlineStr">
        <is>
          <t>Enterprise</t>
        </is>
      </c>
      <c r="F789" t="inlineStr">
        <is>
          <t>Mid-Market</t>
        </is>
      </c>
      <c r="G789" t="inlineStr">
        <is>
          <t>Integrations</t>
        </is>
      </c>
      <c r="H789" t="inlineStr">
        <is>
          <t>Feature Request</t>
        </is>
      </c>
      <c r="I789" t="inlineStr">
        <is>
          <t>Quick note from our admin. Requesting SSO support for our compliance audit. So far 29 people on our side have reported it. Let us know if you need examples.</t>
        </is>
      </c>
      <c r="J789" t="inlineStr">
        <is>
          <t>Neutral</t>
        </is>
      </c>
      <c r="K789" t="inlineStr">
        <is>
          <t>Medium</t>
        </is>
      </c>
      <c r="L789" t="inlineStr">
        <is>
          <t>Workflow Slowdown</t>
        </is>
      </c>
    </row>
    <row r="790">
      <c r="A790" t="inlineStr">
        <is>
          <t>FB-00789</t>
        </is>
      </c>
      <c r="B790" t="inlineStr">
        <is>
          <t>CUST-0197</t>
        </is>
      </c>
      <c r="C790" t="inlineStr">
        <is>
          <t>2026-04-30</t>
        </is>
      </c>
      <c r="D790" t="inlineStr">
        <is>
          <t>Support Ticket</t>
        </is>
      </c>
      <c r="E790" t="inlineStr">
        <is>
          <t>Professional</t>
        </is>
      </c>
      <c r="F790" t="inlineStr">
        <is>
          <t>Mid-Market</t>
        </is>
      </c>
      <c r="G790" t="inlineStr">
        <is>
          <t>Contact Management</t>
        </is>
      </c>
      <c r="H790" t="inlineStr">
        <is>
          <t>Feature Request</t>
        </is>
      </c>
      <c r="I790" t="inlineStr">
        <is>
          <t>FYI for the product team. We need a bulk contact merge because our database has years of overlapping records. So far 9 people on our side have reported it.</t>
        </is>
      </c>
      <c r="J790" t="inlineStr">
        <is>
          <t>Neutral</t>
        </is>
      </c>
      <c r="K790" t="inlineStr">
        <is>
          <t>High</t>
        </is>
      </c>
      <c r="L790" t="inlineStr">
        <is>
          <t>Blocks Key Task</t>
        </is>
      </c>
    </row>
    <row r="791">
      <c r="A791" t="inlineStr">
        <is>
          <t>FB-00790</t>
        </is>
      </c>
      <c r="B791" t="inlineStr">
        <is>
          <t>CUST-0032</t>
        </is>
      </c>
      <c r="C791" t="inlineStr">
        <is>
          <t>2026-04-30</t>
        </is>
      </c>
      <c r="D791" t="inlineStr">
        <is>
          <t>Customer Survey</t>
        </is>
      </c>
      <c r="E791" t="inlineStr">
        <is>
          <t>Starter</t>
        </is>
      </c>
      <c r="F791" t="inlineStr">
        <is>
          <t>SMB</t>
        </is>
      </c>
      <c r="G791" t="inlineStr">
        <is>
          <t>Integrations</t>
        </is>
      </c>
      <c r="H791" t="inlineStr">
        <is>
          <t xml:space="preserve"> Feature Request</t>
        </is>
      </c>
      <c r="I791" t="inlineStr">
        <is>
          <t>Please build a native Slack integration; our team copies data across systems daily.</t>
        </is>
      </c>
      <c r="J791" t="inlineStr">
        <is>
          <t>Positive</t>
        </is>
      </c>
      <c r="K791" t="inlineStr">
        <is>
          <t>Medium</t>
        </is>
      </c>
      <c r="L791" t="inlineStr">
        <is>
          <t>Workflow Slowdown</t>
        </is>
      </c>
    </row>
    <row r="792">
      <c r="A792" t="inlineStr">
        <is>
          <t>FB-00791</t>
        </is>
      </c>
      <c r="B792" t="inlineStr">
        <is>
          <t>CUST-0165</t>
        </is>
      </c>
      <c r="C792" t="inlineStr">
        <is>
          <t>2026-05-01</t>
        </is>
      </c>
      <c r="D792" t="inlineStr">
        <is>
          <t>Customer Survey</t>
        </is>
      </c>
      <c r="E792" t="inlineStr">
        <is>
          <t>Enterprise</t>
        </is>
      </c>
      <c r="F792" t="inlineStr">
        <is>
          <t>Mid-Market</t>
        </is>
      </c>
      <c r="G792" t="inlineStr">
        <is>
          <t>Integrations</t>
        </is>
      </c>
      <c r="H792" t="inlineStr">
        <is>
          <t>Feature Request</t>
        </is>
      </c>
      <c r="I792" t="inlineStr">
        <is>
          <t>Requesting SAML login for our compliance audit. It affects our month-end reporting process every cycle.</t>
        </is>
      </c>
      <c r="J792" t="inlineStr">
        <is>
          <t>Positive</t>
        </is>
      </c>
      <c r="K792" t="inlineStr">
        <is>
          <t>Low</t>
        </is>
      </c>
      <c r="L792" t="inlineStr">
        <is>
          <t>Minor Inconvenience</t>
        </is>
      </c>
    </row>
    <row r="793">
      <c r="A793" t="inlineStr">
        <is>
          <t>FB-00792</t>
        </is>
      </c>
      <c r="B793" t="inlineStr">
        <is>
          <t>CUST-0082</t>
        </is>
      </c>
      <c r="C793" t="inlineStr">
        <is>
          <t>2026-05-01</t>
        </is>
      </c>
      <c r="D793" t="inlineStr">
        <is>
          <t>Support Ticket</t>
        </is>
      </c>
      <c r="E793" t="inlineStr">
        <is>
          <t>Starter</t>
        </is>
      </c>
      <c r="F793" t="inlineStr">
        <is>
          <t>SMB</t>
        </is>
      </c>
      <c r="G793" t="inlineStr">
        <is>
          <t>Contact Management</t>
        </is>
      </c>
      <c r="H793" t="inlineStr">
        <is>
          <t>Bug</t>
        </is>
      </c>
      <c r="I793" t="inlineStr">
        <is>
          <t>Not what we expected for the price. The spreadsheet import rejects files with accented characters in names. We need a fix before renewal.</t>
        </is>
      </c>
      <c r="J793" t="inlineStr">
        <is>
          <t>Negative</t>
        </is>
      </c>
      <c r="K793" t="inlineStr">
        <is>
          <t>Medium</t>
        </is>
      </c>
      <c r="L793" t="inlineStr">
        <is>
          <t>Minor Inconvenience</t>
        </is>
      </c>
    </row>
    <row r="794">
      <c r="A794" t="inlineStr">
        <is>
          <t>FB-00793</t>
        </is>
      </c>
      <c r="B794" t="inlineStr">
        <is>
          <t>CUST-0248</t>
        </is>
      </c>
      <c r="C794" t="inlineStr">
        <is>
          <t>2026-05-02</t>
        </is>
      </c>
      <c r="D794" t="inlineStr">
        <is>
          <t>Customer Survey</t>
        </is>
      </c>
      <c r="E794" t="inlineStr">
        <is>
          <t>Starter</t>
        </is>
      </c>
      <c r="F794" t="inlineStr">
        <is>
          <t>SMB</t>
        </is>
      </c>
      <c r="G794" t="inlineStr">
        <is>
          <t>Lead Management</t>
        </is>
      </c>
      <c r="H794" t="inlineStr">
        <is>
          <t>Performance Issue</t>
        </is>
      </c>
      <c r="I794" t="inlineStr">
        <is>
          <t>Raising this again after our last business review. Reps have stopped using the board because of lead view load times. It affects our month-end reporting process every cycle. Is there a workaround?</t>
        </is>
      </c>
      <c r="J794" t="inlineStr">
        <is>
          <t>Negative</t>
        </is>
      </c>
      <c r="K794" t="inlineStr">
        <is>
          <t>Low</t>
        </is>
      </c>
      <c r="L794" t="inlineStr">
        <is>
          <t>Minor Inconvenience</t>
        </is>
      </c>
    </row>
    <row r="795">
      <c r="A795" t="inlineStr">
        <is>
          <t>FB-00794</t>
        </is>
      </c>
      <c r="B795" t="inlineStr">
        <is>
          <t>CUST-0406</t>
        </is>
      </c>
      <c r="C795" t="inlineStr">
        <is>
          <t>2026-05-02</t>
        </is>
      </c>
      <c r="D795" t="inlineStr">
        <is>
          <t>In-App Feedback</t>
        </is>
      </c>
      <c r="E795" t="inlineStr">
        <is>
          <t>Professional</t>
        </is>
      </c>
      <c r="F795" t="inlineStr">
        <is>
          <t>Mid-Market</t>
        </is>
      </c>
      <c r="G795" t="inlineStr">
        <is>
          <t>User Interface</t>
        </is>
      </c>
      <c r="H795" t="inlineStr">
        <is>
          <t>Feature Request</t>
        </is>
      </c>
      <c r="I795" t="inlineStr">
        <is>
          <t>Sharing this from our team. Our field reps need offline mobile access to update deals between visits.</t>
        </is>
      </c>
      <c r="J795" t="inlineStr">
        <is>
          <t>Neutral</t>
        </is>
      </c>
      <c r="K795" t="inlineStr">
        <is>
          <t>Low</t>
        </is>
      </c>
      <c r="L795" t="inlineStr">
        <is>
          <t>Workflow Slowdown</t>
        </is>
      </c>
    </row>
    <row r="796">
      <c r="A796" t="inlineStr">
        <is>
          <t>FB-00795</t>
        </is>
      </c>
      <c r="B796" t="inlineStr">
        <is>
          <t>CUST-0419</t>
        </is>
      </c>
      <c r="C796" t="inlineStr">
        <is>
          <t>2026-05-02</t>
        </is>
      </c>
      <c r="D796" t="inlineStr">
        <is>
          <t>Support Ticket</t>
        </is>
      </c>
      <c r="E796" t="inlineStr">
        <is>
          <t>Starter</t>
        </is>
      </c>
      <c r="F796" t="inlineStr">
        <is>
          <t>SMB</t>
        </is>
      </c>
      <c r="G796" t="inlineStr">
        <is>
          <t>Lead Management</t>
        </is>
      </c>
      <c r="H796" t="inlineStr">
        <is>
          <t>Bug</t>
        </is>
      </c>
      <c r="I796" t="inlineStr">
        <is>
          <t>Escalating on behalf of our ops lead. After every list import we find lead de-duplication failures that have to be cleaned up by hand. We estimate we lose roughly 20 hours a month on this. We need a fix before renewal.</t>
        </is>
      </c>
      <c r="J796" t="inlineStr">
        <is>
          <t>Negative</t>
        </is>
      </c>
      <c r="K796" t="inlineStr">
        <is>
          <t>High</t>
        </is>
      </c>
      <c r="L796" t="inlineStr">
        <is>
          <t>Blocks Key Task</t>
        </is>
      </c>
    </row>
    <row r="797">
      <c r="A797" t="inlineStr">
        <is>
          <t>FB-00796</t>
        </is>
      </c>
      <c r="B797" t="inlineStr">
        <is>
          <t>CUST-0306</t>
        </is>
      </c>
      <c r="C797" t="inlineStr">
        <is>
          <t>2026-05-02</t>
        </is>
      </c>
      <c r="D797" t="inlineStr">
        <is>
          <t>Customer Survey</t>
        </is>
      </c>
      <c r="E797" t="inlineStr">
        <is>
          <t>Professional</t>
        </is>
      </c>
      <c r="F797" t="inlineStr">
        <is>
          <t>SMB</t>
        </is>
      </c>
      <c r="G797" t="inlineStr">
        <is>
          <t>User Interface</t>
        </is>
      </c>
      <c r="H797" t="inlineStr">
        <is>
          <t>Feature Request</t>
        </is>
      </c>
      <c r="I797" t="inlineStr">
        <is>
          <t>Admins ask for bulk actions on lists every time we reorganize territories. It affects our weekly pipeline review process every cycle.</t>
        </is>
      </c>
      <c r="J797" t="inlineStr">
        <is>
          <t>Neutral</t>
        </is>
      </c>
      <c r="K797" t="inlineStr">
        <is>
          <t>Low</t>
        </is>
      </c>
      <c r="L797" t="inlineStr">
        <is>
          <t>Minor Inconvenience</t>
        </is>
      </c>
    </row>
    <row r="798">
      <c r="A798" t="inlineStr">
        <is>
          <t>FB-00797</t>
        </is>
      </c>
      <c r="B798" t="inlineStr">
        <is>
          <t>CUST-0380</t>
        </is>
      </c>
      <c r="C798" t="inlineStr">
        <is>
          <t>2026-05-02</t>
        </is>
      </c>
      <c r="D798" t="inlineStr">
        <is>
          <t>Feature Request</t>
        </is>
      </c>
      <c r="E798" t="inlineStr">
        <is>
          <t>Professional</t>
        </is>
      </c>
      <c r="F798" t="inlineStr">
        <is>
          <t>Mid-Market</t>
        </is>
      </c>
      <c r="G798" t="inlineStr">
        <is>
          <t>Integrations</t>
        </is>
      </c>
      <c r="H798" t="inlineStr">
        <is>
          <t>Feature Request</t>
        </is>
      </c>
      <c r="I798" t="inlineStr">
        <is>
          <t>Please build a native accounting integration; our team copies data across systems daily. Our RevOps lead flagged it while onboarding 117 new users. Let us know if you need examples.</t>
        </is>
      </c>
      <c r="J798" t="inlineStr">
        <is>
          <t>Neutral</t>
        </is>
      </c>
      <c r="K798" t="inlineStr">
        <is>
          <t>High</t>
        </is>
      </c>
      <c r="L798" t="inlineStr">
        <is>
          <t>Blocks Key Task</t>
        </is>
      </c>
    </row>
    <row r="799">
      <c r="A799" t="inlineStr">
        <is>
          <t>FB-00798</t>
        </is>
      </c>
      <c r="B799" t="inlineStr">
        <is>
          <t>CUST-0236</t>
        </is>
      </c>
      <c r="C799" t="inlineStr">
        <is>
          <t>2026-05-03</t>
        </is>
      </c>
      <c r="D799" t="inlineStr">
        <is>
          <t>In-App Feedback</t>
        </is>
      </c>
      <c r="E799" t="inlineStr">
        <is>
          <t>Starter</t>
        </is>
      </c>
      <c r="F799" t="inlineStr">
        <is>
          <t>SMB</t>
        </is>
      </c>
      <c r="G799" t="inlineStr">
        <is>
          <t>Lead Management</t>
        </is>
      </c>
      <c r="H799" t="inlineStr">
        <is>
          <t>Performance Issue</t>
        </is>
      </c>
      <c r="I799" t="inlineStr">
        <is>
          <t>Escalating on behalf of our ops lead. Reps have stopped using the board because of pipeline board loading. We estimate we lose roughly 15 hours a month on this.</t>
        </is>
      </c>
      <c r="J799" t="inlineStr">
        <is>
          <t>Negative</t>
        </is>
      </c>
      <c r="K799" t="inlineStr">
        <is>
          <t>High</t>
        </is>
      </c>
      <c r="L799" t="inlineStr">
        <is>
          <t>Blocks Key Task</t>
        </is>
      </c>
    </row>
    <row r="800">
      <c r="A800" t="inlineStr">
        <is>
          <t>FB-00799</t>
        </is>
      </c>
      <c r="B800" t="inlineStr">
        <is>
          <t>CUST-0260</t>
        </is>
      </c>
      <c r="C800" t="inlineStr">
        <is>
          <t>2026-05-03</t>
        </is>
      </c>
      <c r="D800" t="inlineStr">
        <is>
          <t>Support Ticket</t>
        </is>
      </c>
      <c r="E800" t="inlineStr">
        <is>
          <t>Starter</t>
        </is>
      </c>
      <c r="F800" t="inlineStr">
        <is>
          <t>SMB</t>
        </is>
      </c>
      <c r="G800" t="inlineStr">
        <is>
          <t>Contact Management</t>
        </is>
      </c>
      <c r="H800" t="inlineStr">
        <is>
          <t>Bug</t>
        </is>
      </c>
      <c r="I800" t="inlineStr">
        <is>
          <t>The import field mapping fails halfway through with a generic error and no row-level detail. It happens about 32 times a week for our team of 54.</t>
        </is>
      </c>
      <c r="J800" t="inlineStr">
        <is>
          <t>Negative</t>
        </is>
      </c>
      <c r="K800" t="inlineStr">
        <is>
          <t>Medium</t>
        </is>
      </c>
      <c r="L800" t="inlineStr">
        <is>
          <t>Blocks Key Task</t>
        </is>
      </c>
    </row>
    <row r="801">
      <c r="A801" t="inlineStr">
        <is>
          <t>FB-00800</t>
        </is>
      </c>
      <c r="B801" t="inlineStr">
        <is>
          <t>CUST-0334</t>
        </is>
      </c>
      <c r="C801" t="inlineStr">
        <is>
          <t>2026-05-03</t>
        </is>
      </c>
      <c r="D801" t="inlineStr">
        <is>
          <t>Customer Survey</t>
        </is>
      </c>
      <c r="E801" t="inlineStr">
        <is>
          <t>Enterprise</t>
        </is>
      </c>
      <c r="F801" t="inlineStr">
        <is>
          <t>SMB</t>
        </is>
      </c>
      <c r="G801" t="inlineStr">
        <is>
          <t>Reporting</t>
        </is>
      </c>
      <c r="H801" t="inlineStr">
        <is>
          <t>Feature Request</t>
        </is>
      </c>
      <c r="I801" t="inlineStr">
        <is>
          <t>Recent updates have been a nice improvement. We need sales forecasting by team and region for quarterly planning. Thanks to the team.</t>
        </is>
      </c>
      <c r="J801" t="inlineStr">
        <is>
          <t>Positive</t>
        </is>
      </c>
      <c r="K801" t="inlineStr">
        <is>
          <t>Medium</t>
        </is>
      </c>
      <c r="L801" t="inlineStr">
        <is>
          <t>Minor Inconvenience</t>
        </is>
      </c>
    </row>
    <row r="802">
      <c r="A802" t="inlineStr">
        <is>
          <t>FB-00801</t>
        </is>
      </c>
      <c r="B802" t="inlineStr">
        <is>
          <t>CUST-0253</t>
        </is>
      </c>
      <c r="C802" t="inlineStr">
        <is>
          <t>2026-05-03</t>
        </is>
      </c>
      <c r="D802" t="inlineStr">
        <is>
          <t>Support Ticket</t>
        </is>
      </c>
      <c r="E802" t="inlineStr">
        <is>
          <t>Professional</t>
        </is>
      </c>
      <c r="F802" t="inlineStr">
        <is>
          <t>SMB</t>
        </is>
      </c>
      <c r="G802" t="inlineStr">
        <is>
          <t>Workflow Automation</t>
        </is>
      </c>
      <c r="H802" t="inlineStr">
        <is>
          <t>Bug</t>
        </is>
      </c>
      <c r="I802" t="inlineStr">
        <is>
          <t>Noting this during onboarding. Since the last release we've had automation misfires and tasks are being created twice. We estimate we lose roughly 17 hours a month on this.</t>
        </is>
      </c>
      <c r="J802" t="inlineStr">
        <is>
          <t>Neutral</t>
        </is>
      </c>
      <c r="K802" t="inlineStr">
        <is>
          <t>Medium</t>
        </is>
      </c>
      <c r="L802" t="inlineStr">
        <is>
          <t>Workflow Slowdown</t>
        </is>
      </c>
    </row>
    <row r="803">
      <c r="A803" t="inlineStr">
        <is>
          <t>FB-00802</t>
        </is>
      </c>
      <c r="B803" t="inlineStr">
        <is>
          <t>CUST-0293</t>
        </is>
      </c>
      <c r="C803" t="inlineStr">
        <is>
          <t>2026-05-03</t>
        </is>
      </c>
      <c r="D803" t="inlineStr">
        <is>
          <t>Feature Request</t>
        </is>
      </c>
      <c r="E803" t="inlineStr">
        <is>
          <t>Enterprise</t>
        </is>
      </c>
      <c r="F803" t="inlineStr">
        <is>
          <t>enterprise</t>
        </is>
      </c>
      <c r="G803" t="inlineStr">
        <is>
          <t>Reporting</t>
        </is>
      </c>
      <c r="H803" t="inlineStr">
        <is>
          <t>Feature Request</t>
        </is>
      </c>
      <c r="I803" t="inlineStr">
        <is>
          <t>We need scheduled report emails so non-technical managers can create their own views. Let us know if you need examples.</t>
        </is>
      </c>
      <c r="J803" t="inlineStr">
        <is>
          <t>Neutral</t>
        </is>
      </c>
      <c r="K803" t="inlineStr">
        <is>
          <t>High</t>
        </is>
      </c>
      <c r="L803" t="inlineStr">
        <is>
          <t>Workflow Slowdown</t>
        </is>
      </c>
    </row>
    <row r="804">
      <c r="A804" t="inlineStr">
        <is>
          <t>FB-00803</t>
        </is>
      </c>
      <c r="B804" t="inlineStr">
        <is>
          <t>CUST-0260</t>
        </is>
      </c>
      <c r="C804" t="inlineStr">
        <is>
          <t>2026-05-04</t>
        </is>
      </c>
      <c r="D804" t="inlineStr">
        <is>
          <t>Support Ticket</t>
        </is>
      </c>
      <c r="E804" t="inlineStr">
        <is>
          <t>Starter</t>
        </is>
      </c>
      <c r="F804" t="inlineStr">
        <is>
          <t>SMB</t>
        </is>
      </c>
      <c r="G804" t="inlineStr">
        <is>
          <t>Contact Management</t>
        </is>
      </c>
      <c r="H804" t="inlineStr">
        <is>
          <t>Bug</t>
        </is>
      </c>
      <c r="I804" t="inlineStr">
        <is>
          <t>Escalating on behalf of our ops lead. The spreadsheet import fails halfway through with a generic error and no row-level detail. It happens about 29 times a week for our team of 91. Please look into it soon.</t>
        </is>
      </c>
      <c r="J804" t="inlineStr">
        <is>
          <t>Negative</t>
        </is>
      </c>
      <c r="K804" t="inlineStr">
        <is>
          <t>High</t>
        </is>
      </c>
      <c r="L804" t="inlineStr">
        <is>
          <t>Blocks Key Task</t>
        </is>
      </c>
    </row>
    <row r="805">
      <c r="A805" t="inlineStr">
        <is>
          <t>FB-00804</t>
        </is>
      </c>
      <c r="B805" t="inlineStr">
        <is>
          <t>CUST-0216</t>
        </is>
      </c>
      <c r="C805" t="inlineStr">
        <is>
          <t>2026-05-05</t>
        </is>
      </c>
      <c r="D805" t="inlineStr">
        <is>
          <t>In-App Feedback</t>
        </is>
      </c>
      <c r="E805" t="inlineStr">
        <is>
          <t>Starter</t>
        </is>
      </c>
      <c r="F805" t="inlineStr">
        <is>
          <t>Mid-Market</t>
        </is>
      </c>
      <c r="G805" t="inlineStr">
        <is>
          <t>Lead Management</t>
        </is>
      </c>
      <c r="H805" t="inlineStr">
        <is>
          <t>Bug</t>
        </is>
      </c>
      <c r="I805" t="inlineStr">
        <is>
          <t>After every list import we find duplicate lead records that have to be cleaned up by hand. Is there a workaround?</t>
        </is>
      </c>
      <c r="J805" t="inlineStr">
        <is>
          <t>Negative</t>
        </is>
      </c>
      <c r="K805" t="inlineStr">
        <is>
          <t>High</t>
        </is>
      </c>
      <c r="L805" t="inlineStr">
        <is>
          <t>Blocks Key Task</t>
        </is>
      </c>
    </row>
    <row r="806">
      <c r="A806" t="inlineStr">
        <is>
          <t>FB-00805</t>
        </is>
      </c>
      <c r="B806" t="inlineStr">
        <is>
          <t>CUST-0372</t>
        </is>
      </c>
      <c r="C806" t="inlineStr">
        <is>
          <t>2026-05-05</t>
        </is>
      </c>
      <c r="D806" t="inlineStr">
        <is>
          <t>IN-APP FEEDBACK</t>
        </is>
      </c>
      <c r="E806" t="inlineStr">
        <is>
          <t>Starter</t>
        </is>
      </c>
      <c r="F806" t="inlineStr">
        <is>
          <t>SMB</t>
        </is>
      </c>
      <c r="G806" t="inlineStr">
        <is>
          <t>Contact Management</t>
        </is>
      </c>
      <c r="H806" t="inlineStr">
        <is>
          <t>Bug</t>
        </is>
      </c>
      <c r="I806" t="inlineStr">
        <is>
          <t>Raising this again after our last business review. The contact CSV import rejects files with accented characters in names. It happens about 3 times a week for our team of 108. Is there a workaround?</t>
        </is>
      </c>
      <c r="J806" t="inlineStr">
        <is>
          <t>Negative</t>
        </is>
      </c>
      <c r="K806" t="inlineStr">
        <is>
          <t>Low</t>
        </is>
      </c>
      <c r="L806" t="inlineStr">
        <is>
          <t>Minor Inconvenience</t>
        </is>
      </c>
    </row>
    <row r="807">
      <c r="A807" t="inlineStr">
        <is>
          <t>FB-00806</t>
        </is>
      </c>
      <c r="B807" t="inlineStr">
        <is>
          <t>CUST-0099</t>
        </is>
      </c>
      <c r="C807" t="inlineStr">
        <is>
          <t>2026-05-06</t>
        </is>
      </c>
      <c r="D807" t="inlineStr">
        <is>
          <t>Customer Survey</t>
        </is>
      </c>
      <c r="E807" t="inlineStr">
        <is>
          <t>Starter</t>
        </is>
      </c>
      <c r="F807" t="inlineStr">
        <is>
          <t>Mid-Market</t>
        </is>
      </c>
      <c r="G807" t="inlineStr">
        <is>
          <t>Lead Management</t>
        </is>
      </c>
      <c r="H807" t="inlineStr">
        <is>
          <t>Performance Issue</t>
        </is>
      </c>
      <c r="I807" t="inlineStr">
        <is>
          <t>Frustrated with this one. The pipeline board loading gets very slow once we pass a few thousand open leads. Is there a workaround?</t>
        </is>
      </c>
      <c r="J807" t="inlineStr">
        <is>
          <t>Negative</t>
        </is>
      </c>
      <c r="K807" t="inlineStr">
        <is>
          <t>High</t>
        </is>
      </c>
      <c r="L807" t="inlineStr">
        <is>
          <t>Workflow Slowdown</t>
        </is>
      </c>
    </row>
    <row r="808">
      <c r="A808" t="inlineStr">
        <is>
          <t>FB-00807</t>
        </is>
      </c>
      <c r="B808" t="inlineStr">
        <is>
          <t>CUST-0187</t>
        </is>
      </c>
      <c r="C808" t="inlineStr">
        <is>
          <t>2026-05-06</t>
        </is>
      </c>
      <c r="D808" t="inlineStr">
        <is>
          <t>Feature Request</t>
        </is>
      </c>
      <c r="E808" t="inlineStr">
        <is>
          <t>Enterprise</t>
        </is>
      </c>
      <c r="F808" t="inlineStr">
        <is>
          <t>Mid-Market</t>
        </is>
      </c>
      <c r="G808" t="inlineStr">
        <is>
          <t>Integrations</t>
        </is>
      </c>
      <c r="H808" t="inlineStr">
        <is>
          <t>Feature Request</t>
        </is>
      </c>
      <c r="I808" t="inlineStr">
        <is>
          <t>Sharing this from our team. Please add SAML login; managing users by hand does not scale. It happens about 18 times a week for our team of 73.</t>
        </is>
      </c>
      <c r="J808" t="inlineStr">
        <is>
          <t>Neutral</t>
        </is>
      </c>
      <c r="K808" t="inlineStr">
        <is>
          <t>Low</t>
        </is>
      </c>
      <c r="L808" t="inlineStr">
        <is>
          <t>Minor Inconvenience</t>
        </is>
      </c>
    </row>
    <row r="809">
      <c r="A809" t="inlineStr">
        <is>
          <t>FB-00808</t>
        </is>
      </c>
      <c r="B809" t="inlineStr">
        <is>
          <t>CUST-0232</t>
        </is>
      </c>
      <c r="C809" t="inlineStr">
        <is>
          <t>2026-05-07</t>
        </is>
      </c>
      <c r="D809" t="inlineStr">
        <is>
          <t>Customer Survey</t>
        </is>
      </c>
      <c r="E809" t="inlineStr">
        <is>
          <t>Enterprise</t>
        </is>
      </c>
      <c r="F809" t="inlineStr">
        <is>
          <t>Mid-Market</t>
        </is>
      </c>
      <c r="G809" t="inlineStr">
        <is>
          <t>Workflow Automation</t>
        </is>
      </c>
      <c r="H809" t="inlineStr">
        <is>
          <t>Feature Request</t>
        </is>
      </c>
      <c r="I809" t="inlineStr">
        <is>
          <t>Feedback from our monthly review. We need approval steps in workflows so managers can sign off on discounts. It affects our weekly pipeline review process every cycle.</t>
        </is>
      </c>
      <c r="J809" t="inlineStr">
        <is>
          <t>Neutral</t>
        </is>
      </c>
      <c r="K809" t="inlineStr">
        <is>
          <t>Low</t>
        </is>
      </c>
      <c r="L809" t="inlineStr">
        <is>
          <t>Minor Inconvenience</t>
        </is>
      </c>
    </row>
    <row r="810">
      <c r="A810" t="inlineStr">
        <is>
          <t>FB-00809</t>
        </is>
      </c>
      <c r="B810" t="inlineStr">
        <is>
          <t>CUST-0284</t>
        </is>
      </c>
      <c r="C810" t="inlineStr">
        <is>
          <t>2026-05-07</t>
        </is>
      </c>
      <c r="D810" t="inlineStr">
        <is>
          <t>Customer Survey</t>
        </is>
      </c>
      <c r="E810" t="inlineStr">
        <is>
          <t>Enterprise</t>
        </is>
      </c>
      <c r="F810" t="inlineStr">
        <is>
          <t>Enterprise</t>
        </is>
      </c>
      <c r="G810" t="inlineStr">
        <is>
          <t>Contact Management</t>
        </is>
      </c>
      <c r="H810" t="inlineStr">
        <is>
          <t>Bug</t>
        </is>
      </c>
      <c r="I810" t="inlineStr">
        <is>
          <t>The spreadsheet import fails halfway through with a generic error and no row-level detail. It affects our quarterly planning process every cycle. Please look into it soon.</t>
        </is>
      </c>
      <c r="J810" t="inlineStr">
        <is>
          <t>Negative</t>
        </is>
      </c>
      <c r="K810" t="inlineStr">
        <is>
          <t>Low</t>
        </is>
      </c>
      <c r="L810" t="inlineStr">
        <is>
          <t>Workflow Slowdown</t>
        </is>
      </c>
    </row>
    <row r="811">
      <c r="A811" t="inlineStr">
        <is>
          <t>FB-00810</t>
        </is>
      </c>
      <c r="B811" t="inlineStr">
        <is>
          <t>CUST-0342</t>
        </is>
      </c>
      <c r="C811" t="inlineStr">
        <is>
          <t>2026-05-07</t>
        </is>
      </c>
      <c r="D811" t="inlineStr">
        <is>
          <t>Support Ticket</t>
        </is>
      </c>
      <c r="E811" t="inlineStr">
        <is>
          <t>Enterprise</t>
        </is>
      </c>
      <c r="F811" t="inlineStr">
        <is>
          <t>Enterprise</t>
        </is>
      </c>
      <c r="G811" t="inlineStr">
        <is>
          <t>Integrations</t>
        </is>
      </c>
      <c r="H811" t="inlineStr">
        <is>
          <t>Integration Issue</t>
        </is>
      </c>
      <c r="I811" t="inlineStr">
        <is>
          <t>Quick note from our admin. Our Gmail sync keeps disconnecting and activities are missing from the contact timeline. Happy to join a feedback call.</t>
        </is>
      </c>
      <c r="J811" t="inlineStr">
        <is>
          <t>Neutral</t>
        </is>
      </c>
      <c r="K811" t="inlineStr">
        <is>
          <t>Medium</t>
        </is>
      </c>
      <c r="L811" t="inlineStr">
        <is>
          <t>Blocks Key Task</t>
        </is>
      </c>
    </row>
    <row r="812">
      <c r="A812" t="inlineStr">
        <is>
          <t>FB-00811</t>
        </is>
      </c>
      <c r="B812" t="inlineStr">
        <is>
          <t>CUST-0344</t>
        </is>
      </c>
      <c r="C812" t="inlineStr">
        <is>
          <t>2026-05-07</t>
        </is>
      </c>
      <c r="D812" t="inlineStr">
        <is>
          <t>Support Ticket</t>
        </is>
      </c>
      <c r="E812" t="inlineStr">
        <is>
          <t>Starter</t>
        </is>
      </c>
      <c r="F812" t="inlineStr">
        <is>
          <t>Mid-Market</t>
        </is>
      </c>
      <c r="G812" t="inlineStr">
        <is>
          <t>Contact Management</t>
        </is>
      </c>
      <c r="H812" t="inlineStr">
        <is>
          <t>Bug</t>
        </is>
      </c>
      <c r="I812" t="inlineStr">
        <is>
          <t>The contact CSV import rejects files with accented characters in names.</t>
        </is>
      </c>
      <c r="J812" t="inlineStr">
        <is>
          <t>Negative</t>
        </is>
      </c>
      <c r="K812" t="inlineStr">
        <is>
          <t>Critical</t>
        </is>
      </c>
      <c r="L812" t="inlineStr">
        <is>
          <t>Blocks Key Task</t>
        </is>
      </c>
    </row>
    <row r="813">
      <c r="A813" t="inlineStr">
        <is>
          <t>FB-00812</t>
        </is>
      </c>
      <c r="B813" t="inlineStr">
        <is>
          <t>CUST-0158</t>
        </is>
      </c>
      <c r="C813" t="inlineStr">
        <is>
          <t>2026-05-07</t>
        </is>
      </c>
      <c r="D813" t="inlineStr">
        <is>
          <t>Support Ticket</t>
        </is>
      </c>
      <c r="E813" t="inlineStr">
        <is>
          <t>Starter</t>
        </is>
      </c>
      <c r="F813" t="inlineStr">
        <is>
          <t>SMB</t>
        </is>
      </c>
      <c r="G813" t="inlineStr">
        <is>
          <t>Contact Management</t>
        </is>
      </c>
      <c r="H813" t="inlineStr">
        <is>
          <t>Bug</t>
        </is>
      </c>
      <c r="I813" t="inlineStr">
        <is>
          <t>The spreadsheet import silently skipped rows and we only noticed days later. Our marketing ops owner flagged it while onboarding 78 new users. Support suggested logging it here.</t>
        </is>
      </c>
      <c r="J813" t="inlineStr">
        <is>
          <t>Negative</t>
        </is>
      </c>
      <c r="K813" t="inlineStr">
        <is>
          <t>Low</t>
        </is>
      </c>
      <c r="L813" t="inlineStr">
        <is>
          <t>Minor Inconvenience</t>
        </is>
      </c>
    </row>
    <row r="814">
      <c r="A814" t="inlineStr">
        <is>
          <t>FB-00813</t>
        </is>
      </c>
      <c r="B814" t="inlineStr">
        <is>
          <t>CUST-0121</t>
        </is>
      </c>
      <c r="C814" t="inlineStr">
        <is>
          <t>2026-05-07</t>
        </is>
      </c>
      <c r="D814" t="inlineStr">
        <is>
          <t>Support Ticket</t>
        </is>
      </c>
      <c r="E814" t="inlineStr">
        <is>
          <t>Starter</t>
        </is>
      </c>
      <c r="F814" t="inlineStr">
        <is>
          <t>SMB</t>
        </is>
      </c>
      <c r="G814" t="inlineStr">
        <is>
          <t>Lead Management</t>
        </is>
      </c>
      <c r="H814" t="inlineStr">
        <is>
          <t>Bug</t>
        </is>
      </c>
      <c r="I814" t="inlineStr">
        <is>
          <t>Quick note from our admin. Web form submissions keep creating duplicated leads, and reps end up calling the same prospect twice.</t>
        </is>
      </c>
      <c r="J814" t="inlineStr">
        <is>
          <t>Neutral</t>
        </is>
      </c>
      <c r="K814" t="inlineStr">
        <is>
          <t>Medium</t>
        </is>
      </c>
      <c r="L814" t="inlineStr">
        <is>
          <t>Workflow Slowdown</t>
        </is>
      </c>
    </row>
    <row r="815">
      <c r="A815" t="inlineStr">
        <is>
          <t>FB-00814</t>
        </is>
      </c>
      <c r="B815" t="inlineStr">
        <is>
          <t>CUST-0074</t>
        </is>
      </c>
      <c r="C815" t="inlineStr">
        <is>
          <t>2026-05-08</t>
        </is>
      </c>
      <c r="D815" t="inlineStr">
        <is>
          <t>Support Ticket</t>
        </is>
      </c>
      <c r="E815" t="inlineStr">
        <is>
          <t>Enterprise</t>
        </is>
      </c>
      <c r="F815" t="inlineStr">
        <is>
          <t>Mid-Market</t>
        </is>
      </c>
      <c r="G815" t="inlineStr">
        <is>
          <t>Contact Management</t>
        </is>
      </c>
      <c r="H815" t="inlineStr">
        <is>
          <t>Feature Request</t>
        </is>
      </c>
      <c r="I815" t="inlineStr">
        <is>
          <t>FYI for the product team. Contact de-duplication tooling that keeps activity history would save our ops team hours. Our RevOps lead flagged it while onboarding 75 new users.</t>
        </is>
      </c>
      <c r="J815" t="inlineStr">
        <is>
          <t>Neutral</t>
        </is>
      </c>
      <c r="K815" t="inlineStr">
        <is>
          <t>Medium</t>
        </is>
      </c>
      <c r="L815" t="inlineStr">
        <is>
          <t>Minor Inconvenience</t>
        </is>
      </c>
    </row>
    <row r="816">
      <c r="A816" t="inlineStr">
        <is>
          <t>FB-00815</t>
        </is>
      </c>
      <c r="B816" t="inlineStr">
        <is>
          <t>CUST-0308</t>
        </is>
      </c>
      <c r="C816" t="inlineStr">
        <is>
          <t>2026-05-08</t>
        </is>
      </c>
      <c r="D816" t="inlineStr">
        <is>
          <t>Support Ticket</t>
        </is>
      </c>
      <c r="E816" t="inlineStr">
        <is>
          <t>Professional</t>
        </is>
      </c>
      <c r="F816" t="inlineStr">
        <is>
          <t>SMB</t>
        </is>
      </c>
      <c r="G816" t="inlineStr">
        <is>
          <t>Contact Management</t>
        </is>
      </c>
      <c r="H816" t="inlineStr">
        <is>
          <t>Bug</t>
        </is>
      </c>
      <c r="I816" t="inlineStr">
        <is>
          <t>The contact CSV import rejects files with accented characters in names. It affects our onboarding process every cycle. Is there a workaround?</t>
        </is>
      </c>
      <c r="J816" t="inlineStr">
        <is>
          <t>Negative</t>
        </is>
      </c>
      <c r="K816" t="inlineStr">
        <is>
          <t>Medium</t>
        </is>
      </c>
      <c r="L816" t="inlineStr">
        <is>
          <t>Minor Inconvenience</t>
        </is>
      </c>
    </row>
    <row r="817">
      <c r="A817" t="inlineStr">
        <is>
          <t>FB-00816</t>
        </is>
      </c>
      <c r="B817" t="inlineStr">
        <is>
          <t>CUST-0206</t>
        </is>
      </c>
      <c r="C817" t="inlineStr">
        <is>
          <t>2026-05-08</t>
        </is>
      </c>
      <c r="D817" t="inlineStr">
        <is>
          <t>Support Ticket</t>
        </is>
      </c>
      <c r="E817" t="inlineStr">
        <is>
          <t>Professional</t>
        </is>
      </c>
      <c r="F817" t="inlineStr">
        <is>
          <t>Mid-Market</t>
        </is>
      </c>
      <c r="G817" t="inlineStr">
        <is>
          <t>Integrations</t>
        </is>
      </c>
      <c r="H817" t="inlineStr">
        <is>
          <t>Integration Issue</t>
        </is>
      </c>
      <c r="I817" t="inlineStr">
        <is>
          <t>Raising this again after our last business review. We keep hitting webhook delivery during nightly syncs with our data warehouse. It affects our onboarding process every cycle. Is there a workaround?</t>
        </is>
      </c>
      <c r="J817" t="inlineStr">
        <is>
          <t>Negative</t>
        </is>
      </c>
      <c r="K817" t="inlineStr">
        <is>
          <t>Low</t>
        </is>
      </c>
      <c r="L817" t="inlineStr">
        <is>
          <t>Minor Inconvenience</t>
        </is>
      </c>
    </row>
    <row r="818">
      <c r="A818" t="inlineStr">
        <is>
          <t>FB-00817</t>
        </is>
      </c>
      <c r="B818" t="inlineStr">
        <is>
          <t>CUST-0132</t>
        </is>
      </c>
      <c r="C818" t="inlineStr">
        <is>
          <t>2026-05-09</t>
        </is>
      </c>
      <c r="D818" t="inlineStr">
        <is>
          <t>Support Ticket</t>
        </is>
      </c>
      <c r="E818" t="inlineStr">
        <is>
          <t>Starter</t>
        </is>
      </c>
      <c r="F818" t="inlineStr">
        <is>
          <t>SMB</t>
        </is>
      </c>
      <c r="G818" t="inlineStr">
        <is>
          <t>Lead Management</t>
        </is>
      </c>
      <c r="H818" t="inlineStr">
        <is>
          <t>Usability Issue</t>
        </is>
      </c>
      <c r="I818" t="inlineStr">
        <is>
          <t>Setting up round-robin lead assignment takes too many steps and the options don't cover territories. Let us know if you need examples.</t>
        </is>
      </c>
      <c r="J818" t="inlineStr">
        <is>
          <t>Neutral</t>
        </is>
      </c>
      <c r="K818" t="inlineStr">
        <is>
          <t>Medium</t>
        </is>
      </c>
      <c r="L818" t="inlineStr">
        <is>
          <t>Blocks Key Task</t>
        </is>
      </c>
    </row>
    <row r="819">
      <c r="A819" t="inlineStr">
        <is>
          <t>FB-00818</t>
        </is>
      </c>
      <c r="B819" t="inlineStr">
        <is>
          <t>CUST-0053</t>
        </is>
      </c>
      <c r="C819" t="inlineStr">
        <is>
          <t>2026-05-09</t>
        </is>
      </c>
      <c r="D819" t="inlineStr">
        <is>
          <t>In-App Feedback</t>
        </is>
      </c>
      <c r="E819" t="inlineStr">
        <is>
          <t>Professional</t>
        </is>
      </c>
      <c r="F819" t="inlineStr">
        <is>
          <t>Mid-Market</t>
        </is>
      </c>
      <c r="G819" t="inlineStr">
        <is>
          <t>Lead Management</t>
        </is>
      </c>
      <c r="H819" t="inlineStr">
        <is>
          <t>Bug</t>
        </is>
      </c>
      <c r="I819" t="inlineStr">
        <is>
          <t>Not what we expected for the price. We are seeing duplicate lead records when a lead arrives from both the website and a trade-show list. It happens about 6 times a week for our team of 93.</t>
        </is>
      </c>
      <c r="J819" t="inlineStr">
        <is>
          <t>Negative</t>
        </is>
      </c>
      <c r="K819" t="inlineStr">
        <is>
          <t>Medium</t>
        </is>
      </c>
      <c r="L819" t="inlineStr">
        <is>
          <t>Minor Inconvenience</t>
        </is>
      </c>
    </row>
    <row r="820">
      <c r="A820" t="inlineStr">
        <is>
          <t>FB-00819</t>
        </is>
      </c>
      <c r="B820" t="inlineStr">
        <is>
          <t>CUST-0367</t>
        </is>
      </c>
      <c r="C820" t="inlineStr">
        <is>
          <t>2026-05-10</t>
        </is>
      </c>
      <c r="D820" t="inlineStr">
        <is>
          <t>In-App Feedback</t>
        </is>
      </c>
      <c r="E820" t="inlineStr">
        <is>
          <t>Enterprise</t>
        </is>
      </c>
      <c r="F820" t="inlineStr">
        <is>
          <t>Mid-Market</t>
        </is>
      </c>
      <c r="G820" t="inlineStr">
        <is>
          <t>Contact Management</t>
        </is>
      </c>
      <c r="H820" t="inlineStr">
        <is>
          <t>Feature Request</t>
        </is>
      </c>
      <c r="I820" t="inlineStr">
        <is>
          <t>Sharing this from our team. Lacking custom contact fields forces us to keep a parallel spreadsheet. Happy to join a feedback call.</t>
        </is>
      </c>
      <c r="J820" t="inlineStr">
        <is>
          <t>Neutral</t>
        </is>
      </c>
      <c r="K820" t="inlineStr">
        <is>
          <t>Low</t>
        </is>
      </c>
      <c r="L820" t="inlineStr">
        <is>
          <t>Minor Inconvenience</t>
        </is>
      </c>
    </row>
    <row r="821">
      <c r="A821" t="inlineStr">
        <is>
          <t>FB-00820</t>
        </is>
      </c>
      <c r="B821" t="inlineStr">
        <is>
          <t>CUST-0147</t>
        </is>
      </c>
      <c r="C821" t="inlineStr">
        <is>
          <t>2026-05-10</t>
        </is>
      </c>
      <c r="D821" t="inlineStr">
        <is>
          <t>Feature Request</t>
        </is>
      </c>
      <c r="E821" t="inlineStr">
        <is>
          <t>Enterprise</t>
        </is>
      </c>
      <c r="F821" t="inlineStr">
        <is>
          <t>Enterprise</t>
        </is>
      </c>
      <c r="G821" t="inlineStr">
        <is>
          <t>Reporting</t>
        </is>
      </c>
      <c r="H821" t="inlineStr">
        <is>
          <t>Feature Request</t>
        </is>
      </c>
      <c r="I821" t="inlineStr">
        <is>
          <t>We need quota tracking by team and region for quarterly planning. We estimate we lose roughly 46 hours a month on this.</t>
        </is>
      </c>
      <c r="J821" t="inlineStr">
        <is>
          <t>Positive</t>
        </is>
      </c>
      <c r="K821" t="inlineStr">
        <is>
          <t>Medium</t>
        </is>
      </c>
      <c r="L821" t="inlineStr">
        <is>
          <t>Revenue/Operations Risk</t>
        </is>
      </c>
    </row>
    <row r="822">
      <c r="A822" t="inlineStr">
        <is>
          <t>FB-00821</t>
        </is>
      </c>
      <c r="B822" t="inlineStr">
        <is>
          <t>CUST-0325</t>
        </is>
      </c>
      <c r="C822" t="inlineStr">
        <is>
          <t>2026-05-10</t>
        </is>
      </c>
      <c r="D822" t="inlineStr">
        <is>
          <t>Feature Request</t>
        </is>
      </c>
      <c r="E822" t="inlineStr">
        <is>
          <t>Starter</t>
        </is>
      </c>
      <c r="F822" t="inlineStr">
        <is>
          <t>SMB</t>
        </is>
      </c>
      <c r="G822" t="inlineStr">
        <is>
          <t>Contact Management</t>
        </is>
      </c>
      <c r="H822" t="inlineStr">
        <is>
          <t>Feature Request</t>
        </is>
      </c>
      <c r="I822" t="inlineStr">
        <is>
          <t>Requesting a contact relationship hierarchy so account managers can see who reports to whom.</t>
        </is>
      </c>
      <c r="J822" t="inlineStr">
        <is>
          <t>Positive</t>
        </is>
      </c>
      <c r="K822" t="inlineStr">
        <is>
          <t>Low</t>
        </is>
      </c>
      <c r="L822" t="inlineStr">
        <is>
          <t>Workflow Slowdown</t>
        </is>
      </c>
    </row>
    <row r="823">
      <c r="A823" t="inlineStr">
        <is>
          <t>FB-00822</t>
        </is>
      </c>
      <c r="B823" t="inlineStr">
        <is>
          <t>CUST-0210</t>
        </is>
      </c>
      <c r="C823" t="inlineStr">
        <is>
          <t>2026-05-10</t>
        </is>
      </c>
      <c r="D823" t="inlineStr">
        <is>
          <t>Customer Survey</t>
        </is>
      </c>
      <c r="E823" t="inlineStr">
        <is>
          <t>Professional</t>
        </is>
      </c>
      <c r="F823" t="inlineStr">
        <is>
          <t>Mid-Market</t>
        </is>
      </c>
      <c r="G823" t="inlineStr">
        <is>
          <t>Integrations</t>
        </is>
      </c>
      <c r="H823" t="inlineStr">
        <is>
          <t>Integration Issue</t>
        </is>
      </c>
      <c r="I823" t="inlineStr">
        <is>
          <t>Feedback from our monthly review. After the token expires, Gmail sync stops with no warning. Let us know if you need examples.</t>
        </is>
      </c>
      <c r="J823" t="inlineStr">
        <is>
          <t>Neutral</t>
        </is>
      </c>
      <c r="K823" t="inlineStr">
        <is>
          <t>Medium</t>
        </is>
      </c>
      <c r="L823" t="inlineStr">
        <is>
          <t>Blocks Key Task</t>
        </is>
      </c>
    </row>
    <row r="824">
      <c r="A824" t="inlineStr">
        <is>
          <t>FB-00823</t>
        </is>
      </c>
      <c r="B824" t="inlineStr">
        <is>
          <t>CUST-0221</t>
        </is>
      </c>
      <c r="C824" t="inlineStr">
        <is>
          <t>2026-05-10</t>
        </is>
      </c>
      <c r="D824" t="inlineStr">
        <is>
          <t>In-App Feedback</t>
        </is>
      </c>
      <c r="E824" t="inlineStr">
        <is>
          <t>Professional</t>
        </is>
      </c>
      <c r="F824" t="inlineStr">
        <is>
          <t>SMB</t>
        </is>
      </c>
      <c r="G824" t="inlineStr">
        <is>
          <t>Reporting</t>
        </is>
      </c>
      <c r="H824" t="inlineStr">
        <is>
          <t>Feature Request</t>
        </is>
      </c>
      <c r="I824" t="inlineStr">
        <is>
          <t>Please add a custom report builder; today an analyst rebuilds the same report every week. Our marketing ops owner flagged it while onboarding 75 new users.</t>
        </is>
      </c>
      <c r="J824" t="inlineStr">
        <is>
          <t>Neutral</t>
        </is>
      </c>
      <c r="K824" t="inlineStr">
        <is>
          <t>Low</t>
        </is>
      </c>
      <c r="L824" t="inlineStr">
        <is>
          <t>Minor Inconvenience</t>
        </is>
      </c>
    </row>
    <row r="825">
      <c r="A825" t="inlineStr">
        <is>
          <t>FB-00824</t>
        </is>
      </c>
      <c r="B825" t="inlineStr">
        <is>
          <t>CUST-0145</t>
        </is>
      </c>
      <c r="C825" t="inlineStr">
        <is>
          <t>2026-05-10</t>
        </is>
      </c>
      <c r="D825" t="inlineStr">
        <is>
          <t>Support Ticket</t>
        </is>
      </c>
      <c r="E825" t="inlineStr">
        <is>
          <t>Professional</t>
        </is>
      </c>
      <c r="F825" t="inlineStr">
        <is>
          <t>SMB</t>
        </is>
      </c>
      <c r="G825" t="inlineStr">
        <is>
          <t>Workflow Automation</t>
        </is>
      </c>
      <c r="H825" t="inlineStr">
        <is>
          <t xml:space="preserve">Bug </t>
        </is>
      </c>
      <c r="I825" t="inlineStr">
        <is>
          <t>Several workflow failures left deals stuck in the wrong stage. Our marketing ops owner flagged it while onboarding 23 new users. Support suggested logging it here.</t>
        </is>
      </c>
      <c r="J825" t="inlineStr">
        <is>
          <t>Negative</t>
        </is>
      </c>
      <c r="K825" t="inlineStr">
        <is>
          <t>Medium</t>
        </is>
      </c>
      <c r="L825" t="inlineStr">
        <is>
          <t>Blocks Key Task</t>
        </is>
      </c>
    </row>
    <row r="826">
      <c r="A826" t="inlineStr">
        <is>
          <t>FB-00825</t>
        </is>
      </c>
      <c r="B826" t="inlineStr">
        <is>
          <t>CUST-0322</t>
        </is>
      </c>
      <c r="C826" t="inlineStr">
        <is>
          <t>2026-05-10</t>
        </is>
      </c>
      <c r="D826" t="inlineStr">
        <is>
          <t>In-App Feedback</t>
        </is>
      </c>
      <c r="E826" t="inlineStr">
        <is>
          <t>Starter</t>
        </is>
      </c>
      <c r="F826" t="inlineStr">
        <is>
          <t>SMB</t>
        </is>
      </c>
      <c r="G826" t="inlineStr">
        <is>
          <t>Lead Management</t>
        </is>
      </c>
      <c r="H826" t="inlineStr">
        <is>
          <t>Performance Issue</t>
        </is>
      </c>
      <c r="I826" t="inlineStr">
        <is>
          <t>Escalating on behalf of our ops lead. Our pipeline board loading regularly exceeds ten seconds on Monday mornings.</t>
        </is>
      </c>
      <c r="J826" t="inlineStr">
        <is>
          <t>Negative</t>
        </is>
      </c>
      <c r="K826" t="inlineStr">
        <is>
          <t>Medium</t>
        </is>
      </c>
      <c r="L826" t="inlineStr">
        <is>
          <t>Blocks Key Task</t>
        </is>
      </c>
    </row>
    <row r="827">
      <c r="A827" t="inlineStr">
        <is>
          <t>FB-00826</t>
        </is>
      </c>
      <c r="B827" t="inlineStr">
        <is>
          <t>CUST-0002</t>
        </is>
      </c>
      <c r="C827" t="inlineStr">
        <is>
          <t>2026-05-11</t>
        </is>
      </c>
      <c r="D827" t="inlineStr">
        <is>
          <t>Customer Survey</t>
        </is>
      </c>
      <c r="E827" t="inlineStr">
        <is>
          <t>Starter</t>
        </is>
      </c>
      <c r="F827" t="inlineStr">
        <is>
          <t>SMB</t>
        </is>
      </c>
      <c r="G827" t="inlineStr">
        <is>
          <t>User Interface</t>
        </is>
      </c>
      <c r="H827" t="inlineStr">
        <is>
          <t>Usability Issue</t>
        </is>
      </c>
      <c r="I827" t="inlineStr">
        <is>
          <t>Not what we expected for the price. The settings navigation changed and nobody told us where things moved. Our admin flagged it while onboarding 72 new users. Is there a workaround?</t>
        </is>
      </c>
      <c r="J827" t="inlineStr">
        <is>
          <t>Negative</t>
        </is>
      </c>
      <c r="K827" t="inlineStr">
        <is>
          <t>Low</t>
        </is>
      </c>
      <c r="L827" t="inlineStr">
        <is>
          <t>Minor Inconvenience</t>
        </is>
      </c>
    </row>
    <row r="828">
      <c r="A828" t="inlineStr">
        <is>
          <t>FB-00827</t>
        </is>
      </c>
      <c r="B828" t="inlineStr">
        <is>
          <t>CUST-0257</t>
        </is>
      </c>
      <c r="C828" t="inlineStr">
        <is>
          <t>2026-05-11</t>
        </is>
      </c>
      <c r="D828" t="inlineStr">
        <is>
          <t>Customer Survey</t>
        </is>
      </c>
      <c r="E828" t="inlineStr">
        <is>
          <t>Enterprise</t>
        </is>
      </c>
      <c r="F828" t="inlineStr">
        <is>
          <t>Mid-Market</t>
        </is>
      </c>
      <c r="G828" t="inlineStr">
        <is>
          <t>User Interface</t>
        </is>
      </c>
      <c r="H828" t="inlineStr">
        <is>
          <t>Feature Request</t>
        </is>
      </c>
      <c r="I828" t="inlineStr">
        <is>
          <t>Feedback from our monthly review. Requesting multi-select actions across every list view.</t>
        </is>
      </c>
      <c r="J828" t="inlineStr">
        <is>
          <t>Neutral</t>
        </is>
      </c>
      <c r="K828" t="inlineStr">
        <is>
          <t>Low</t>
        </is>
      </c>
      <c r="L828" t="inlineStr">
        <is>
          <t>Minor Inconvenience</t>
        </is>
      </c>
    </row>
    <row r="829">
      <c r="A829" t="inlineStr">
        <is>
          <t>FB-00828</t>
        </is>
      </c>
      <c r="B829" t="inlineStr">
        <is>
          <t>CUST-0204</t>
        </is>
      </c>
      <c r="C829" t="inlineStr">
        <is>
          <t>2026-05-11</t>
        </is>
      </c>
      <c r="D829" t="inlineStr">
        <is>
          <t>In-App Feedback</t>
        </is>
      </c>
      <c r="E829" t="inlineStr">
        <is>
          <t>Enterprise</t>
        </is>
      </c>
      <c r="F829" t="inlineStr">
        <is>
          <t>Enterprise</t>
        </is>
      </c>
      <c r="G829" t="inlineStr">
        <is>
          <t>Contact Management</t>
        </is>
      </c>
      <c r="H829" t="inlineStr">
        <is>
          <t>Bug</t>
        </is>
      </c>
      <c r="I829" t="inlineStr">
        <is>
          <t>This has been a recurring problem for us. The contact CSV import silently skipped rows and we only noticed days later. Our finance analyst flagged it while onboarding 115 new users. Is there a workaround?</t>
        </is>
      </c>
      <c r="J829" t="inlineStr">
        <is>
          <t>Negative</t>
        </is>
      </c>
      <c r="K829" t="inlineStr">
        <is>
          <t>Low</t>
        </is>
      </c>
      <c r="L829" t="inlineStr">
        <is>
          <t>Workflow Slowdown</t>
        </is>
      </c>
    </row>
    <row r="830">
      <c r="A830" t="inlineStr">
        <is>
          <t>FB-00829</t>
        </is>
      </c>
      <c r="B830" t="inlineStr">
        <is>
          <t>CUST-0231</t>
        </is>
      </c>
      <c r="C830" t="inlineStr">
        <is>
          <t>2026-05-11</t>
        </is>
      </c>
      <c r="D830" t="inlineStr">
        <is>
          <t>Support Ticket</t>
        </is>
      </c>
      <c r="E830" t="inlineStr">
        <is>
          <t>Enterprise</t>
        </is>
      </c>
      <c r="F830" t="inlineStr">
        <is>
          <t>Enterprise</t>
        </is>
      </c>
      <c r="G830" t="inlineStr">
        <is>
          <t>Integrations</t>
        </is>
      </c>
      <c r="H830" t="inlineStr">
        <is>
          <t>Integration Issue</t>
        </is>
      </c>
      <c r="I830" t="inlineStr">
        <is>
          <t>Recent updates have been a nice improvement. We keep hitting API rate limits during nightly syncs with our data warehouse. Our marketing ops owner flagged it while onboarding 83 new users. Keep up the good work.</t>
        </is>
      </c>
      <c r="J830" t="inlineStr">
        <is>
          <t>Positive</t>
        </is>
      </c>
      <c r="K830" t="inlineStr">
        <is>
          <t>Medium</t>
        </is>
      </c>
      <c r="L830" t="inlineStr">
        <is>
          <t>Blocks Key Task</t>
        </is>
      </c>
    </row>
    <row r="831">
      <c r="A831" t="inlineStr">
        <is>
          <t>FB-00830</t>
        </is>
      </c>
      <c r="B831" t="inlineStr">
        <is>
          <t>CUST-0036</t>
        </is>
      </c>
      <c r="C831" t="inlineStr">
        <is>
          <t>2026-05-11</t>
        </is>
      </c>
      <c r="D831" t="inlineStr">
        <is>
          <t>Support Ticket</t>
        </is>
      </c>
      <c r="E831" t="inlineStr">
        <is>
          <t>Starter</t>
        </is>
      </c>
      <c r="F831" t="inlineStr">
        <is>
          <t>SMB</t>
        </is>
      </c>
      <c r="G831" t="inlineStr">
        <is>
          <t xml:space="preserve"> User Interface</t>
        </is>
      </c>
      <c r="H831" t="inlineStr">
        <is>
          <t>USABILITY ISSUE</t>
        </is>
      </c>
      <c r="I831" t="inlineStr">
        <is>
          <t>Escalating on behalf of our ops lead. Too many clicks to reach common screens because of the navigation menu. So far 62 people on our side have reported it. Please look into it soon.</t>
        </is>
      </c>
      <c r="J831" t="inlineStr">
        <is>
          <t>Negative</t>
        </is>
      </c>
      <c r="K831" t="inlineStr">
        <is>
          <t>Low</t>
        </is>
      </c>
      <c r="L831" t="inlineStr">
        <is>
          <t>Minor Inconvenience</t>
        </is>
      </c>
    </row>
    <row r="832">
      <c r="A832" t="inlineStr">
        <is>
          <t>FB-00831</t>
        </is>
      </c>
      <c r="B832" t="inlineStr">
        <is>
          <t>CUST-0145</t>
        </is>
      </c>
      <c r="C832" t="inlineStr">
        <is>
          <t>2026-05-12</t>
        </is>
      </c>
      <c r="D832" t="inlineStr">
        <is>
          <t>In-App Feedback</t>
        </is>
      </c>
      <c r="E832" t="inlineStr">
        <is>
          <t>Professional</t>
        </is>
      </c>
      <c r="F832" t="inlineStr">
        <is>
          <t>SMB</t>
        </is>
      </c>
      <c r="G832" t="inlineStr">
        <is>
          <t>Integrations</t>
        </is>
      </c>
      <c r="H832" t="inlineStr">
        <is>
          <t>Integration Issue</t>
        </is>
      </c>
      <c r="I832" t="inlineStr">
        <is>
          <t>Escalating on behalf of our ops lead. Our integration partner flagged webhook delivery as a risk for the project.</t>
        </is>
      </c>
      <c r="J832" t="inlineStr">
        <is>
          <t>Negative</t>
        </is>
      </c>
      <c r="K832" t="inlineStr">
        <is>
          <t>High</t>
        </is>
      </c>
      <c r="L832" t="inlineStr">
        <is>
          <t>Blocks Key Task</t>
        </is>
      </c>
    </row>
    <row r="833">
      <c r="A833" t="inlineStr">
        <is>
          <t>FB-00832</t>
        </is>
      </c>
      <c r="B833" t="inlineStr">
        <is>
          <t>CUST-0116</t>
        </is>
      </c>
      <c r="C833" t="inlineStr">
        <is>
          <t>2026-05-12</t>
        </is>
      </c>
      <c r="D833" t="inlineStr">
        <is>
          <t>Support Ticket</t>
        </is>
      </c>
      <c r="E833" t="inlineStr">
        <is>
          <t>Professional</t>
        </is>
      </c>
      <c r="F833" t="inlineStr">
        <is>
          <t>SMB</t>
        </is>
      </c>
      <c r="G833" t="inlineStr">
        <is>
          <t>User Interface</t>
        </is>
      </c>
      <c r="H833" t="inlineStr">
        <is>
          <t>Performance Issue</t>
        </is>
      </c>
      <c r="I833" t="inlineStr">
        <is>
          <t>FYI for the product team. We notice page lag whenever more than a few tabs are open. So far 16 people on our side have reported it. Happy to join a feedback call.</t>
        </is>
      </c>
      <c r="J833" t="inlineStr">
        <is>
          <t>Neutral</t>
        </is>
      </c>
      <c r="K833" t="inlineStr">
        <is>
          <t>Medium</t>
        </is>
      </c>
      <c r="L833" t="inlineStr">
        <is>
          <t>Workflow Slowdown</t>
        </is>
      </c>
    </row>
    <row r="834">
      <c r="A834" t="inlineStr">
        <is>
          <t>FB-00833</t>
        </is>
      </c>
      <c r="B834" t="inlineStr">
        <is>
          <t>CUST-0352</t>
        </is>
      </c>
      <c r="C834" t="inlineStr">
        <is>
          <t>2026-05-12</t>
        </is>
      </c>
      <c r="D834" t="inlineStr">
        <is>
          <t>Support Ticket</t>
        </is>
      </c>
      <c r="E834" t="inlineStr">
        <is>
          <t>Starter</t>
        </is>
      </c>
      <c r="F834" t="inlineStr">
        <is>
          <t>SMB</t>
        </is>
      </c>
      <c r="G834" t="inlineStr">
        <is>
          <t>Workflow Automation</t>
        </is>
      </c>
      <c r="H834" t="inlineStr">
        <is>
          <t>Usability Issue</t>
        </is>
      </c>
      <c r="I834" t="inlineStr">
        <is>
          <t>Noting this during onboarding. The workflow builder is hard to follow once a flow has more than a handful of steps. It happens about 7 times a week for our team of 25.</t>
        </is>
      </c>
      <c r="J834" t="inlineStr">
        <is>
          <t>Neutral</t>
        </is>
      </c>
      <c r="K834" t="inlineStr">
        <is>
          <t>Low</t>
        </is>
      </c>
      <c r="L834" t="inlineStr">
        <is>
          <t>Minor Inconvenience</t>
        </is>
      </c>
    </row>
    <row r="835">
      <c r="A835" t="inlineStr">
        <is>
          <t>FB-00834</t>
        </is>
      </c>
      <c r="B835" t="inlineStr">
        <is>
          <t>CUST-0226</t>
        </is>
      </c>
      <c r="C835" t="inlineStr">
        <is>
          <t>2026-05-12</t>
        </is>
      </c>
      <c r="D835" t="inlineStr">
        <is>
          <t>Customer Survey</t>
        </is>
      </c>
      <c r="E835" t="inlineStr">
        <is>
          <t>Professional</t>
        </is>
      </c>
      <c r="F835" t="inlineStr">
        <is>
          <t>Enterprise</t>
        </is>
      </c>
      <c r="G835" t="inlineStr">
        <is>
          <t>User Interface</t>
        </is>
      </c>
      <c r="H835" t="inlineStr">
        <is>
          <t>Feature Request</t>
        </is>
      </c>
      <c r="I835" t="inlineStr">
        <is>
          <t>Our field reps need offline mobile access to update deals between visits. Let us know if you need examples.</t>
        </is>
      </c>
      <c r="J835" t="inlineStr">
        <is>
          <t>Neutral</t>
        </is>
      </c>
      <c r="K835" t="inlineStr">
        <is>
          <t>Low</t>
        </is>
      </c>
      <c r="L835" t="inlineStr">
        <is>
          <t>Minor Inconvenience</t>
        </is>
      </c>
    </row>
    <row r="836">
      <c r="A836" t="inlineStr">
        <is>
          <t>FB-00835</t>
        </is>
      </c>
      <c r="B836" t="inlineStr">
        <is>
          <t>CUST-0313</t>
        </is>
      </c>
      <c r="C836" t="inlineStr">
        <is>
          <t>2026-05-12</t>
        </is>
      </c>
      <c r="D836" t="inlineStr">
        <is>
          <t>Support Ticket</t>
        </is>
      </c>
      <c r="E836" t="inlineStr">
        <is>
          <t>Starter</t>
        </is>
      </c>
      <c r="F836" t="inlineStr">
        <is>
          <t>SMB</t>
        </is>
      </c>
      <c r="G836" t="inlineStr">
        <is>
          <t>Reporting</t>
        </is>
      </c>
      <c r="H836" t="inlineStr">
        <is>
          <t>Bug</t>
        </is>
      </c>
      <c r="I836" t="inlineStr">
        <is>
          <t>Raising this again after our last business review. The report export times out for date ranges longer than a quarter. Support suggested logging it here.</t>
        </is>
      </c>
      <c r="J836" t="inlineStr">
        <is>
          <t>Negative</t>
        </is>
      </c>
      <c r="K836" t="inlineStr">
        <is>
          <t>Critical</t>
        </is>
      </c>
      <c r="L836" t="inlineStr">
        <is>
          <t>Revenue/Operations Risk</t>
        </is>
      </c>
    </row>
    <row r="837">
      <c r="A837" t="inlineStr">
        <is>
          <t>FB-00836</t>
        </is>
      </c>
      <c r="B837" t="inlineStr">
        <is>
          <t>CUST-0420</t>
        </is>
      </c>
      <c r="C837" t="inlineStr">
        <is>
          <t>2026-05-12</t>
        </is>
      </c>
      <c r="D837" t="inlineStr">
        <is>
          <t>Customer Survey</t>
        </is>
      </c>
      <c r="E837" t="inlineStr">
        <is>
          <t>Enterprise</t>
        </is>
      </c>
      <c r="F837" t="inlineStr">
        <is>
          <t>Enterprise</t>
        </is>
      </c>
      <c r="G837" t="inlineStr">
        <is>
          <t>Integrations</t>
        </is>
      </c>
      <c r="H837" t="inlineStr">
        <is>
          <t>Feature Request</t>
        </is>
      </c>
      <c r="I837" t="inlineStr">
        <is>
          <t>Noting this during onboarding. Requesting SCIM provisioning for our compliance audit.</t>
        </is>
      </c>
      <c r="J837" t="inlineStr">
        <is>
          <t>Neutral</t>
        </is>
      </c>
      <c r="K837" t="inlineStr">
        <is>
          <t>Medium</t>
        </is>
      </c>
      <c r="L837" t="inlineStr">
        <is>
          <t>Revenue/Operations Risk</t>
        </is>
      </c>
    </row>
    <row r="838">
      <c r="A838" t="inlineStr">
        <is>
          <t>FB-00837</t>
        </is>
      </c>
      <c r="B838" t="inlineStr">
        <is>
          <t>CUST-0108</t>
        </is>
      </c>
      <c r="C838" t="inlineStr">
        <is>
          <t>2026-05-13</t>
        </is>
      </c>
      <c r="D838" t="inlineStr">
        <is>
          <t>Feature Request</t>
        </is>
      </c>
      <c r="E838" t="inlineStr">
        <is>
          <t>Enterprise</t>
        </is>
      </c>
      <c r="F838" t="inlineStr">
        <is>
          <t>Mid-Market</t>
        </is>
      </c>
      <c r="G838" t="inlineStr">
        <is>
          <t>Reporting</t>
        </is>
      </c>
      <c r="H838" t="inlineStr">
        <is>
          <t>Feature Request</t>
        </is>
      </c>
      <c r="I838" t="inlineStr">
        <is>
          <t>Quick note from our admin. Please add a custom report builder; today an analyst rebuilds the same report every week.</t>
        </is>
      </c>
      <c r="J838" t="inlineStr">
        <is>
          <t>Neutral</t>
        </is>
      </c>
      <c r="K838" t="inlineStr">
        <is>
          <t>High</t>
        </is>
      </c>
      <c r="L838" t="inlineStr">
        <is>
          <t>Blocks Key Task</t>
        </is>
      </c>
    </row>
    <row r="839">
      <c r="A839" t="inlineStr">
        <is>
          <t>FB-00838</t>
        </is>
      </c>
      <c r="B839" t="inlineStr">
        <is>
          <t>CUST-0340</t>
        </is>
      </c>
      <c r="C839" t="inlineStr">
        <is>
          <t>2026-05-13</t>
        </is>
      </c>
      <c r="D839" t="inlineStr">
        <is>
          <t>Customer Survey</t>
        </is>
      </c>
      <c r="E839" t="inlineStr">
        <is>
          <t>Professional</t>
        </is>
      </c>
      <c r="F839" t="inlineStr">
        <is>
          <t>Mid-Market</t>
        </is>
      </c>
      <c r="G839" t="inlineStr">
        <is>
          <t>Workflow Automation</t>
        </is>
      </c>
      <c r="H839" t="inlineStr">
        <is>
          <t>Feature Request</t>
        </is>
      </c>
      <c r="I839" t="inlineStr">
        <is>
          <t>Quick note from our admin. We'd adopt automation faster with workflow templates we could customize. It affects our month-end reporting process every cycle.</t>
        </is>
      </c>
      <c r="J839" t="inlineStr">
        <is>
          <t>Neutral</t>
        </is>
      </c>
      <c r="K839" t="inlineStr">
        <is>
          <t>Low</t>
        </is>
      </c>
      <c r="L839" t="inlineStr">
        <is>
          <t>Workflow Slowdown</t>
        </is>
      </c>
    </row>
    <row r="840">
      <c r="A840" t="inlineStr">
        <is>
          <t>FB-00839</t>
        </is>
      </c>
      <c r="B840" t="inlineStr">
        <is>
          <t>CUST-0394</t>
        </is>
      </c>
      <c r="C840" t="inlineStr">
        <is>
          <t>13-May-2026</t>
        </is>
      </c>
      <c r="D840" t="inlineStr">
        <is>
          <t>Feature Request</t>
        </is>
      </c>
      <c r="E840" t="inlineStr">
        <is>
          <t>Enterprise</t>
        </is>
      </c>
      <c r="F840" t="inlineStr">
        <is>
          <t>Enterprise</t>
        </is>
      </c>
      <c r="G840" t="inlineStr">
        <is>
          <t>Reporting</t>
        </is>
      </c>
      <c r="H840" t="inlineStr">
        <is>
          <t>Feature Request</t>
        </is>
      </c>
      <c r="I840" t="inlineStr">
        <is>
          <t>Happy with most of the product. We need scheduled report emails so non-technical managers can create their own views. We estimate we lose roughly 21 hours a month on this.</t>
        </is>
      </c>
      <c r="J840" t="inlineStr">
        <is>
          <t>Positive</t>
        </is>
      </c>
      <c r="K840" t="inlineStr">
        <is>
          <t>Medium</t>
        </is>
      </c>
      <c r="L840" t="inlineStr">
        <is>
          <t>Workflow Slowdown</t>
        </is>
      </c>
    </row>
    <row r="841">
      <c r="A841" t="inlineStr">
        <is>
          <t>FB-00840</t>
        </is>
      </c>
      <c r="B841" t="inlineStr">
        <is>
          <t>CUST-0229</t>
        </is>
      </c>
      <c r="C841" t="inlineStr">
        <is>
          <t>2026-05-14</t>
        </is>
      </c>
      <c r="D841" t="inlineStr">
        <is>
          <t>Support Ticket</t>
        </is>
      </c>
      <c r="E841" t="inlineStr">
        <is>
          <t>Starter</t>
        </is>
      </c>
      <c r="F841" t="inlineStr">
        <is>
          <t>Mid-Market</t>
        </is>
      </c>
      <c r="G841" t="inlineStr">
        <is>
          <t>Lead Management</t>
        </is>
      </c>
      <c r="H841" t="inlineStr">
        <is>
          <t>Usability Issue</t>
        </is>
      </c>
      <c r="I841" t="inlineStr">
        <is>
          <t>Escalating on behalf of our ops lead. It is hard to understand how round-robin lead assignment decide who owns a lead. We estimate we lose roughly 34 hours a month on this.</t>
        </is>
      </c>
      <c r="J841" t="inlineStr">
        <is>
          <t>Negative</t>
        </is>
      </c>
      <c r="K841" t="inlineStr">
        <is>
          <t>High</t>
        </is>
      </c>
      <c r="L841" t="inlineStr">
        <is>
          <t>Revenue/Operations Risk</t>
        </is>
      </c>
    </row>
    <row r="842">
      <c r="A842" t="inlineStr">
        <is>
          <t>FB-00841</t>
        </is>
      </c>
      <c r="B842" t="inlineStr">
        <is>
          <t>CUST-0409</t>
        </is>
      </c>
      <c r="C842" t="inlineStr">
        <is>
          <t>2026-05-14</t>
        </is>
      </c>
      <c r="D842" t="inlineStr">
        <is>
          <t>Customer Survey</t>
        </is>
      </c>
      <c r="E842" t="inlineStr">
        <is>
          <t>Starter</t>
        </is>
      </c>
      <c r="F842" t="inlineStr">
        <is>
          <t>SMB</t>
        </is>
      </c>
      <c r="G842" t="inlineStr">
        <is>
          <t>Lead Management</t>
        </is>
      </c>
      <c r="H842" t="inlineStr">
        <is>
          <t>Usability Issue</t>
        </is>
      </c>
      <c r="I842" t="inlineStr">
        <is>
          <t>Feedback from our monthly review. It is hard to understand how lead routing rules decide who owns a lead. It affects our month-end reporting process every cycle. Let us know if you need examples.</t>
        </is>
      </c>
      <c r="J842" t="inlineStr">
        <is>
          <t>Neutral</t>
        </is>
      </c>
      <c r="K842" t="inlineStr">
        <is>
          <t>High</t>
        </is>
      </c>
      <c r="L842" t="inlineStr">
        <is>
          <t>Minor Inconvenience</t>
        </is>
      </c>
    </row>
    <row r="843">
      <c r="A843" t="inlineStr">
        <is>
          <t>FB-00842</t>
        </is>
      </c>
      <c r="B843" t="inlineStr">
        <is>
          <t>CUST-0231</t>
        </is>
      </c>
      <c r="C843" t="inlineStr">
        <is>
          <t>2026-05-14</t>
        </is>
      </c>
      <c r="D843" t="inlineStr">
        <is>
          <t>Feature Request</t>
        </is>
      </c>
      <c r="E843" t="inlineStr">
        <is>
          <t>Enterprise</t>
        </is>
      </c>
      <c r="F843" t="inlineStr">
        <is>
          <t>Enterprise</t>
        </is>
      </c>
      <c r="G843" t="inlineStr">
        <is>
          <t>Contact Management</t>
        </is>
      </c>
      <c r="H843" t="inlineStr">
        <is>
          <t>Feature Request</t>
        </is>
      </c>
      <c r="I843" t="inlineStr">
        <is>
          <t>Please build contact de-duplication tooling with a preview of what will be combined. It happens about 12 times a week for our team of 34. Keep up the good work.</t>
        </is>
      </c>
      <c r="J843" t="inlineStr">
        <is>
          <t>Positive</t>
        </is>
      </c>
      <c r="K843" t="inlineStr">
        <is>
          <t>Medium</t>
        </is>
      </c>
      <c r="L843" t="inlineStr">
        <is>
          <t>Workflow Slowdown</t>
        </is>
      </c>
    </row>
    <row r="844">
      <c r="A844" t="inlineStr">
        <is>
          <t>FB-00843</t>
        </is>
      </c>
      <c r="B844" t="inlineStr">
        <is>
          <t>CUST-0186</t>
        </is>
      </c>
      <c r="C844" t="inlineStr">
        <is>
          <t>2026-05-14</t>
        </is>
      </c>
      <c r="D844" t="inlineStr">
        <is>
          <t>Feature Request</t>
        </is>
      </c>
      <c r="E844" t="inlineStr">
        <is>
          <t>Professional</t>
        </is>
      </c>
      <c r="F844" t="inlineStr">
        <is>
          <t>SMB</t>
        </is>
      </c>
      <c r="G844" t="inlineStr">
        <is>
          <t>Reporting</t>
        </is>
      </c>
      <c r="H844" t="inlineStr">
        <is>
          <t>Feature Request</t>
        </is>
      </c>
      <c r="I844" t="inlineStr">
        <is>
          <t>Please add quota tracking; managers keep a separate spreadsheet. It affects our quarterly planning process every cycle.</t>
        </is>
      </c>
      <c r="J844" t="inlineStr">
        <is>
          <t>Negative</t>
        </is>
      </c>
      <c r="K844" t="inlineStr">
        <is>
          <t>Medium</t>
        </is>
      </c>
      <c r="L844" t="inlineStr">
        <is>
          <t>Blocks Key Task</t>
        </is>
      </c>
    </row>
    <row r="845">
      <c r="A845" t="inlineStr">
        <is>
          <t>FB-00844</t>
        </is>
      </c>
      <c r="B845" t="inlineStr">
        <is>
          <t>CUST-0352</t>
        </is>
      </c>
      <c r="C845" t="inlineStr">
        <is>
          <t>2026-05-14</t>
        </is>
      </c>
      <c r="D845" t="inlineStr">
        <is>
          <t>In-App Feedback</t>
        </is>
      </c>
      <c r="E845" t="inlineStr">
        <is>
          <t>Starter</t>
        </is>
      </c>
      <c r="F845" t="inlineStr">
        <is>
          <t>SMB</t>
        </is>
      </c>
      <c r="G845" t="inlineStr">
        <is>
          <t>Reporting</t>
        </is>
      </c>
      <c r="H845" t="inlineStr">
        <is>
          <t>Performance Issue</t>
        </is>
      </c>
      <c r="I845" t="inlineStr">
        <is>
          <t>Our dashboard refresh spins for a minute before showing any chart.</t>
        </is>
      </c>
      <c r="J845" t="inlineStr">
        <is>
          <t>Negative</t>
        </is>
      </c>
      <c r="K845" t="inlineStr">
        <is>
          <t>High</t>
        </is>
      </c>
      <c r="L845" t="inlineStr">
        <is>
          <t>Blocks Key Task</t>
        </is>
      </c>
    </row>
    <row r="846">
      <c r="A846" t="inlineStr">
        <is>
          <t>FB-00845</t>
        </is>
      </c>
      <c r="B846" t="inlineStr">
        <is>
          <t>CUST-0226</t>
        </is>
      </c>
      <c r="C846" t="inlineStr">
        <is>
          <t>2026-05-14</t>
        </is>
      </c>
      <c r="D846" t="inlineStr">
        <is>
          <t>Customer Survey</t>
        </is>
      </c>
      <c r="E846" t="inlineStr">
        <is>
          <t>Professional</t>
        </is>
      </c>
      <c r="F846" t="inlineStr">
        <is>
          <t>Enterprise</t>
        </is>
      </c>
      <c r="G846" t="inlineStr">
        <is>
          <t>Contact Management</t>
        </is>
      </c>
      <c r="H846" t="inlineStr">
        <is>
          <t>Feature Request</t>
        </is>
      </c>
      <c r="I846" t="inlineStr">
        <is>
          <t>Please build a tool to merge duplicate contacts with a preview of what will be combined. It happens about 23 times a week for our team of 78. Let us know if you need examples.</t>
        </is>
      </c>
      <c r="J846" t="inlineStr">
        <is>
          <t>Neutral</t>
        </is>
      </c>
      <c r="K846" t="inlineStr">
        <is>
          <t>Low</t>
        </is>
      </c>
      <c r="L846" t="inlineStr">
        <is>
          <t>Workflow Slowdown</t>
        </is>
      </c>
    </row>
    <row r="847">
      <c r="A847" t="inlineStr">
        <is>
          <t>FB-00846</t>
        </is>
      </c>
      <c r="B847" t="inlineStr">
        <is>
          <t>CUST-0284</t>
        </is>
      </c>
      <c r="C847" t="inlineStr">
        <is>
          <t>15-May-2026</t>
        </is>
      </c>
      <c r="D847" t="inlineStr">
        <is>
          <t>In-App Feedback</t>
        </is>
      </c>
      <c r="E847" t="inlineStr">
        <is>
          <t>Enterprise</t>
        </is>
      </c>
      <c r="F847" t="inlineStr">
        <is>
          <t>Enterprise</t>
        </is>
      </c>
      <c r="G847" t="inlineStr">
        <is>
          <t>Integrations</t>
        </is>
      </c>
      <c r="H847" t="inlineStr">
        <is>
          <t>Integration Issue</t>
        </is>
      </c>
      <c r="I847" t="inlineStr">
        <is>
          <t>Escalating on behalf of our ops lead. Our integration partner flagged webhook delivery as a risk for the project. It happens about 27 times a week for our team of 60.</t>
        </is>
      </c>
      <c r="J847" t="inlineStr">
        <is>
          <t>Negative</t>
        </is>
      </c>
      <c r="K847" t="inlineStr">
        <is>
          <t>Low</t>
        </is>
      </c>
      <c r="L847" t="inlineStr">
        <is>
          <t>Minor Inconvenience</t>
        </is>
      </c>
    </row>
    <row r="848">
      <c r="A848" t="inlineStr">
        <is>
          <t>FB-00847</t>
        </is>
      </c>
      <c r="B848" t="inlineStr">
        <is>
          <t>CUST-0082</t>
        </is>
      </c>
      <c r="C848" t="inlineStr">
        <is>
          <t>2026-05-15</t>
        </is>
      </c>
      <c r="D848" t="inlineStr">
        <is>
          <t>In-App Feedback</t>
        </is>
      </c>
      <c r="E848" t="inlineStr">
        <is>
          <t>Starter</t>
        </is>
      </c>
      <c r="F848" t="inlineStr">
        <is>
          <t>SMB</t>
        </is>
      </c>
      <c r="G848" t="inlineStr">
        <is>
          <t>Integrations</t>
        </is>
      </c>
      <c r="H848" t="inlineStr">
        <is>
          <t>Feature Request</t>
        </is>
      </c>
      <c r="I848" t="inlineStr">
        <is>
          <t>Happy with most of the product. Lack of a native accounting integration is a gap versus other CRMs we evaluated. We estimate we lose roughly 15 hours a month on this. Keep up the good work.</t>
        </is>
      </c>
      <c r="J848" t="inlineStr">
        <is>
          <t>Positive</t>
        </is>
      </c>
      <c r="K848" t="inlineStr">
        <is>
          <t>Low</t>
        </is>
      </c>
      <c r="L848" t="inlineStr">
        <is>
          <t>Minor Inconvenience</t>
        </is>
      </c>
    </row>
    <row r="849">
      <c r="A849" t="inlineStr">
        <is>
          <t>FB-00848</t>
        </is>
      </c>
      <c r="B849" t="inlineStr">
        <is>
          <t>CUST-0202</t>
        </is>
      </c>
      <c r="C849" t="inlineStr">
        <is>
          <t>2026-05-15</t>
        </is>
      </c>
      <c r="D849" t="inlineStr">
        <is>
          <t>In-App Feedback</t>
        </is>
      </c>
      <c r="E849" t="inlineStr">
        <is>
          <t>Enterprise</t>
        </is>
      </c>
      <c r="F849" t="inlineStr">
        <is>
          <t>Enterprise</t>
        </is>
      </c>
      <c r="G849" t="inlineStr">
        <is>
          <t>Contact Management</t>
        </is>
      </c>
      <c r="H849" t="inlineStr">
        <is>
          <t>Feature Request</t>
        </is>
      </c>
      <c r="I849" t="inlineStr">
        <is>
          <t>FYI for the product team. Please build a bulk contact merge with a preview of what will be combined. So far 70 people on our side have reported it. Let us know if you need examples.</t>
        </is>
      </c>
      <c r="J849" t="inlineStr">
        <is>
          <t>Neutral</t>
        </is>
      </c>
      <c r="K849" t="inlineStr">
        <is>
          <t>Low</t>
        </is>
      </c>
      <c r="L849" t="inlineStr">
        <is>
          <t>Workflow Slowdown</t>
        </is>
      </c>
    </row>
    <row r="850">
      <c r="A850" t="inlineStr">
        <is>
          <t>FB-00849</t>
        </is>
      </c>
      <c r="B850" t="inlineStr">
        <is>
          <t>CUST-0309</t>
        </is>
      </c>
      <c r="C850" t="inlineStr">
        <is>
          <t>2026-05-15</t>
        </is>
      </c>
      <c r="D850" t="inlineStr">
        <is>
          <t>Customer Survey</t>
        </is>
      </c>
      <c r="E850" t="inlineStr">
        <is>
          <t>Starter</t>
        </is>
      </c>
      <c r="F850" t="inlineStr">
        <is>
          <t>SMB</t>
        </is>
      </c>
      <c r="G850" t="inlineStr">
        <is>
          <t>User Interface</t>
        </is>
      </c>
      <c r="H850" t="inlineStr">
        <is>
          <t>Feature Request</t>
        </is>
      </c>
      <c r="I850" t="inlineStr">
        <is>
          <t>Happy with most of the product. Requesting offline mobile access so reps can log activity right after a meeting.</t>
        </is>
      </c>
      <c r="J850" t="inlineStr">
        <is>
          <t>Positive</t>
        </is>
      </c>
      <c r="K850" t="inlineStr">
        <is>
          <t>Low</t>
        </is>
      </c>
      <c r="L850" t="inlineStr">
        <is>
          <t>Workflow Slowdown</t>
        </is>
      </c>
    </row>
    <row r="851">
      <c r="A851" t="inlineStr">
        <is>
          <t>FB-00850</t>
        </is>
      </c>
      <c r="B851" t="inlineStr">
        <is>
          <t>CUST-0268</t>
        </is>
      </c>
      <c r="C851" t="inlineStr">
        <is>
          <t>2026-05-15</t>
        </is>
      </c>
      <c r="D851" t="inlineStr">
        <is>
          <t>Feature Request</t>
        </is>
      </c>
      <c r="E851" t="inlineStr">
        <is>
          <t>Professional</t>
        </is>
      </c>
      <c r="F851" t="inlineStr">
        <is>
          <t>Enterprise</t>
        </is>
      </c>
      <c r="G851" t="inlineStr">
        <is>
          <t>User Interface</t>
        </is>
      </c>
      <c r="H851" t="inlineStr">
        <is>
          <t>Feature Request</t>
        </is>
      </c>
      <c r="I851" t="inlineStr">
        <is>
          <t>Please add bulk edit actions; changing records one at a time wastes hours. Our finance analyst flagged it while onboarding 79 new users.</t>
        </is>
      </c>
      <c r="J851" t="inlineStr">
        <is>
          <t>Neutral</t>
        </is>
      </c>
      <c r="K851" t="inlineStr">
        <is>
          <t>Low</t>
        </is>
      </c>
      <c r="L851" t="inlineStr">
        <is>
          <t>Minor Inconvenience</t>
        </is>
      </c>
    </row>
    <row r="852">
      <c r="A852" t="inlineStr">
        <is>
          <t>FB-00851</t>
        </is>
      </c>
      <c r="B852" t="inlineStr">
        <is>
          <t>CUST-0126</t>
        </is>
      </c>
      <c r="C852" t="inlineStr">
        <is>
          <t>2026-05-15</t>
        </is>
      </c>
      <c r="D852" t="inlineStr">
        <is>
          <t>In-App Feedback</t>
        </is>
      </c>
      <c r="E852" t="inlineStr">
        <is>
          <t>Professional</t>
        </is>
      </c>
      <c r="F852" t="inlineStr">
        <is>
          <t>Mid-Market</t>
        </is>
      </c>
      <c r="G852" t="inlineStr">
        <is>
          <t>Integrations</t>
        </is>
      </c>
      <c r="H852" t="inlineStr">
        <is>
          <t>Integration Issue</t>
        </is>
      </c>
      <c r="I852" t="inlineStr">
        <is>
          <t>Not what we expected for the price. We keep hitting webhook delivery during nightly syncs with our data warehouse. Is there a workaround?</t>
        </is>
      </c>
      <c r="J852" t="inlineStr">
        <is>
          <t>Negative</t>
        </is>
      </c>
      <c r="K852" t="inlineStr">
        <is>
          <t>High</t>
        </is>
      </c>
      <c r="L852" t="inlineStr">
        <is>
          <t>Blocks Key Task</t>
        </is>
      </c>
    </row>
    <row r="853">
      <c r="A853" t="inlineStr">
        <is>
          <t>FB-00852</t>
        </is>
      </c>
      <c r="B853" t="inlineStr">
        <is>
          <t>CUST-0210</t>
        </is>
      </c>
      <c r="C853" t="inlineStr">
        <is>
          <t>2026-05-15</t>
        </is>
      </c>
      <c r="D853" t="inlineStr">
        <is>
          <t>Customer Survey</t>
        </is>
      </c>
      <c r="E853" t="inlineStr">
        <is>
          <t>Professional</t>
        </is>
      </c>
      <c r="F853" t="inlineStr">
        <is>
          <t>Mid-Market</t>
        </is>
      </c>
      <c r="G853" t="inlineStr">
        <is>
          <t>Reporting</t>
        </is>
      </c>
      <c r="H853" t="inlineStr">
        <is>
          <t>Performance Issue</t>
        </is>
      </c>
      <c r="I853" t="inlineStr">
        <is>
          <t>Dashboard loading got noticeably worse over the last few months. So far 114 people on our side have reported it.</t>
        </is>
      </c>
      <c r="J853" t="inlineStr">
        <is>
          <t xml:space="preserve">Negative </t>
        </is>
      </c>
      <c r="K853" t="inlineStr">
        <is>
          <t>Medium</t>
        </is>
      </c>
      <c r="L853" t="inlineStr">
        <is>
          <t>Blocks Key Task</t>
        </is>
      </c>
    </row>
    <row r="854">
      <c r="A854" t="inlineStr">
        <is>
          <t>FB-00853</t>
        </is>
      </c>
      <c r="B854" t="inlineStr">
        <is>
          <t>CUST-0229</t>
        </is>
      </c>
      <c r="C854" t="inlineStr">
        <is>
          <t>2026-05-16</t>
        </is>
      </c>
      <c r="D854" t="inlineStr">
        <is>
          <t>Feature Request</t>
        </is>
      </c>
      <c r="E854" t="inlineStr">
        <is>
          <t>Starter</t>
        </is>
      </c>
      <c r="F854" t="inlineStr">
        <is>
          <t>Mid-Market</t>
        </is>
      </c>
      <c r="G854" t="inlineStr">
        <is>
          <t>User Interface</t>
        </is>
      </c>
      <c r="H854" t="inlineStr">
        <is>
          <t>Feature Request</t>
        </is>
      </c>
      <c r="I854" t="inlineStr">
        <is>
          <t>Happy with most of the product. We lose notes whenever reps are away from a desk without a mobile app. Our marketing ops owner flagged it while onboarding 42 new users.</t>
        </is>
      </c>
      <c r="J854" t="inlineStr">
        <is>
          <t>Positive</t>
        </is>
      </c>
      <c r="K854" t="inlineStr">
        <is>
          <t>Low</t>
        </is>
      </c>
      <c r="L854" t="inlineStr">
        <is>
          <t>Minor Inconvenience</t>
        </is>
      </c>
    </row>
    <row r="855">
      <c r="A855" t="inlineStr">
        <is>
          <t>FB-00854</t>
        </is>
      </c>
      <c r="B855" t="inlineStr">
        <is>
          <t>CUST-0119</t>
        </is>
      </c>
      <c r="C855" t="inlineStr">
        <is>
          <t>2026-05-16</t>
        </is>
      </c>
      <c r="D855" t="inlineStr">
        <is>
          <t>Feature Request</t>
        </is>
      </c>
      <c r="E855" t="inlineStr">
        <is>
          <t xml:space="preserve"> Professional</t>
        </is>
      </c>
      <c r="F855" t="inlineStr">
        <is>
          <t>Mid-Market</t>
        </is>
      </c>
      <c r="G855" t="inlineStr">
        <is>
          <t>Workflow Automation</t>
        </is>
      </c>
      <c r="H855" t="inlineStr">
        <is>
          <t>Feature Request</t>
        </is>
      </c>
      <c r="I855" t="inlineStr">
        <is>
          <t>Please provide workflow templates for common processes like onboarding and renewals. Let us know if you need examples.</t>
        </is>
      </c>
      <c r="J855" t="inlineStr">
        <is>
          <t>Neutral</t>
        </is>
      </c>
      <c r="K855" t="inlineStr">
        <is>
          <t>Medium</t>
        </is>
      </c>
      <c r="L855" t="inlineStr">
        <is>
          <t>Minor Inconvenience</t>
        </is>
      </c>
    </row>
    <row r="856">
      <c r="A856" t="inlineStr">
        <is>
          <t>FB-00855</t>
        </is>
      </c>
      <c r="B856" t="inlineStr">
        <is>
          <t>CUST-0311</t>
        </is>
      </c>
      <c r="C856" t="inlineStr">
        <is>
          <t>2026-05-16</t>
        </is>
      </c>
      <c r="D856" t="inlineStr">
        <is>
          <t>Support Ticket</t>
        </is>
      </c>
      <c r="E856" t="inlineStr">
        <is>
          <t>Starter</t>
        </is>
      </c>
      <c r="F856" t="inlineStr">
        <is>
          <t>SMB</t>
        </is>
      </c>
      <c r="G856" t="inlineStr">
        <is>
          <t>Integrations</t>
        </is>
      </c>
      <c r="H856" t="inlineStr">
        <is>
          <t>Integration Issue</t>
        </is>
      </c>
      <c r="I856" t="inlineStr">
        <is>
          <t>This has been a recurring problem for us. Our integration partner flagged API timeouts as a risk for the project. So far 92 people on our side have reported it.</t>
        </is>
      </c>
      <c r="J856" t="inlineStr">
        <is>
          <t>Negative</t>
        </is>
      </c>
      <c r="K856" t="inlineStr">
        <is>
          <t>Critical</t>
        </is>
      </c>
      <c r="L856" t="inlineStr">
        <is>
          <t>Revenue/Operations Risk</t>
        </is>
      </c>
    </row>
    <row r="857">
      <c r="A857" t="inlineStr">
        <is>
          <t>FB-00856</t>
        </is>
      </c>
      <c r="B857" t="inlineStr">
        <is>
          <t>CUST-0171</t>
        </is>
      </c>
      <c r="C857" t="inlineStr">
        <is>
          <t>2026-05-16</t>
        </is>
      </c>
      <c r="D857" t="inlineStr">
        <is>
          <t>In-App Feedback</t>
        </is>
      </c>
      <c r="E857" t="inlineStr">
        <is>
          <t>Professional</t>
        </is>
      </c>
      <c r="F857" t="inlineStr">
        <is>
          <t>Mid-Market</t>
        </is>
      </c>
      <c r="G857" t="inlineStr">
        <is>
          <t>Workflow Automation</t>
        </is>
      </c>
      <c r="H857" t="inlineStr">
        <is>
          <t>Bug</t>
        </is>
      </c>
      <c r="I857" t="inlineStr">
        <is>
          <t>Raising this again after our last business review. We are hitting workflow failures: emails don't send and nobody gets notified. Our sales manager flagged it while onboarding 17 new users. We need a fix before renewal.</t>
        </is>
      </c>
      <c r="J857" t="inlineStr">
        <is>
          <t>Negative</t>
        </is>
      </c>
      <c r="K857" t="inlineStr">
        <is>
          <t>Medium</t>
        </is>
      </c>
      <c r="L857" t="inlineStr">
        <is>
          <t>Workflow Slowdown</t>
        </is>
      </c>
    </row>
    <row r="858">
      <c r="A858" t="inlineStr">
        <is>
          <t>FB-00857</t>
        </is>
      </c>
      <c r="B858" t="inlineStr">
        <is>
          <t>CUST-0258</t>
        </is>
      </c>
      <c r="C858" t="inlineStr">
        <is>
          <t>2026-05-16</t>
        </is>
      </c>
      <c r="D858" t="inlineStr">
        <is>
          <t>Feature Request</t>
        </is>
      </c>
      <c r="E858" t="inlineStr">
        <is>
          <t>Professional</t>
        </is>
      </c>
      <c r="F858" t="inlineStr">
        <is>
          <t>mid-market</t>
        </is>
      </c>
      <c r="G858" t="inlineStr">
        <is>
          <t>Workflow Automation</t>
        </is>
      </c>
      <c r="H858" t="inlineStr">
        <is>
          <t>Feature Request</t>
        </is>
      </c>
      <c r="I858" t="inlineStr">
        <is>
          <t>Escalating on behalf of our ops lead. Competitors ship workflow templates; we are rebuilding the same flows from scratch. We need a fix before renewal.</t>
        </is>
      </c>
      <c r="J858" t="inlineStr">
        <is>
          <t>Negative</t>
        </is>
      </c>
      <c r="K858" t="inlineStr">
        <is>
          <t>Low</t>
        </is>
      </c>
      <c r="L858" t="inlineStr">
        <is>
          <t>Minor Inconvenience</t>
        </is>
      </c>
    </row>
    <row r="859">
      <c r="A859" t="inlineStr">
        <is>
          <t>FB-00858</t>
        </is>
      </c>
      <c r="B859" t="inlineStr">
        <is>
          <t>CUST-0197</t>
        </is>
      </c>
      <c r="C859" t="inlineStr">
        <is>
          <t>2026-05-17</t>
        </is>
      </c>
      <c r="D859" t="inlineStr">
        <is>
          <t>Feature Request</t>
        </is>
      </c>
      <c r="E859" t="inlineStr">
        <is>
          <t>Professional</t>
        </is>
      </c>
      <c r="F859" t="inlineStr">
        <is>
          <t>Mid-Market</t>
        </is>
      </c>
      <c r="G859" t="inlineStr">
        <is>
          <t>Contact Management</t>
        </is>
      </c>
      <c r="H859" t="inlineStr">
        <is>
          <t>Feature Request</t>
        </is>
      </c>
      <c r="I859" t="inlineStr">
        <is>
          <t>Feedback from our monthly review. A tool to merge duplicate contacts that keeps activity history would save our ops team hours. It happens about 11 times a week for our team of 18. Happy to join a feedback call.</t>
        </is>
      </c>
      <c r="J859" t="inlineStr">
        <is>
          <t>Neutral</t>
        </is>
      </c>
      <c r="K859" t="inlineStr">
        <is>
          <t>Medium</t>
        </is>
      </c>
      <c r="L859" t="inlineStr">
        <is>
          <t>Minor Inconvenience</t>
        </is>
      </c>
    </row>
    <row r="860">
      <c r="A860" t="inlineStr">
        <is>
          <t>FB-00859</t>
        </is>
      </c>
      <c r="B860" t="inlineStr">
        <is>
          <t>CUST-0201</t>
        </is>
      </c>
      <c r="C860" t="inlineStr">
        <is>
          <t>2026-05-17</t>
        </is>
      </c>
      <c r="D860" t="inlineStr">
        <is>
          <t>Feature Request</t>
        </is>
      </c>
      <c r="E860" t="inlineStr">
        <is>
          <t>Starter</t>
        </is>
      </c>
      <c r="F860" t="inlineStr">
        <is>
          <t>SMB</t>
        </is>
      </c>
      <c r="G860" t="inlineStr">
        <is>
          <t>Workflow Automation</t>
        </is>
      </c>
      <c r="H860" t="inlineStr">
        <is>
          <t>Feature Request</t>
        </is>
      </c>
      <c r="I860" t="inlineStr">
        <is>
          <t>Happy with most of the product. Competitors ship automation recipes; we are rebuilding the same flows from scratch. We estimate we lose roughly 52 hours a month on this.</t>
        </is>
      </c>
      <c r="J860" t="inlineStr">
        <is>
          <t>Positive</t>
        </is>
      </c>
      <c r="K860" t="inlineStr">
        <is>
          <t>Medium</t>
        </is>
      </c>
      <c r="L860" t="inlineStr">
        <is>
          <t>Minor Inconvenience</t>
        </is>
      </c>
    </row>
    <row r="861">
      <c r="A861" t="inlineStr">
        <is>
          <t>FB-00860</t>
        </is>
      </c>
      <c r="B861" t="inlineStr">
        <is>
          <t>CUST-0317</t>
        </is>
      </c>
      <c r="C861" t="inlineStr">
        <is>
          <t>2026-05-17</t>
        </is>
      </c>
      <c r="D861" t="inlineStr">
        <is>
          <t>In-App Feedback</t>
        </is>
      </c>
      <c r="E861" t="inlineStr">
        <is>
          <t>Starter</t>
        </is>
      </c>
      <c r="F861" t="inlineStr">
        <is>
          <t>SMB</t>
        </is>
      </c>
      <c r="G861" t="inlineStr">
        <is>
          <t>Reporting</t>
        </is>
      </c>
      <c r="H861" t="inlineStr">
        <is>
          <t>Feature Request</t>
        </is>
      </c>
      <c r="I861" t="inlineStr">
        <is>
          <t>Without a custom report builder we export raw data and rebuild everything elsewhere. We estimate we lose roughly 56 hours a month on this. Let us know if you need examples.</t>
        </is>
      </c>
      <c r="J861" t="inlineStr">
        <is>
          <t>Neutral</t>
        </is>
      </c>
      <c r="K861" t="inlineStr">
        <is>
          <t>Critical</t>
        </is>
      </c>
      <c r="L861" t="inlineStr">
        <is>
          <t>Workflow Slowdown</t>
        </is>
      </c>
    </row>
    <row r="862">
      <c r="A862" t="inlineStr">
        <is>
          <t>FB-00861</t>
        </is>
      </c>
      <c r="B862" t="inlineStr">
        <is>
          <t>CUST-0365</t>
        </is>
      </c>
      <c r="C862" t="inlineStr">
        <is>
          <t>2026-05-17</t>
        </is>
      </c>
      <c r="D862" t="inlineStr">
        <is>
          <t>In-App Feedback</t>
        </is>
      </c>
      <c r="E862" t="inlineStr">
        <is>
          <t>Starter</t>
        </is>
      </c>
      <c r="F862" t="inlineStr">
        <is>
          <t>SMB</t>
        </is>
      </c>
      <c r="G862" t="inlineStr">
        <is>
          <t>Reporting</t>
        </is>
      </c>
      <c r="H862" t="inlineStr">
        <is>
          <t>Performance Issue</t>
        </is>
      </c>
      <c r="I862" t="inlineStr">
        <is>
          <t>This has been a recurring problem for us. The dashboard refresh is painfully slow with a full year of data. Please look into it soon.</t>
        </is>
      </c>
      <c r="J862" t="inlineStr">
        <is>
          <t>Negative</t>
        </is>
      </c>
      <c r="K862" t="inlineStr">
        <is>
          <t>Low</t>
        </is>
      </c>
      <c r="L862" t="inlineStr">
        <is>
          <t>Minor Inconvenience</t>
        </is>
      </c>
    </row>
    <row r="863">
      <c r="A863" t="inlineStr">
        <is>
          <t>FB-00862</t>
        </is>
      </c>
      <c r="B863" t="inlineStr">
        <is>
          <t>CUST-0306</t>
        </is>
      </c>
      <c r="C863" t="inlineStr">
        <is>
          <t>2026-05-17</t>
        </is>
      </c>
      <c r="D863" t="inlineStr">
        <is>
          <t>In-App Feedback</t>
        </is>
      </c>
      <c r="E863" t="inlineStr">
        <is>
          <t>Professional</t>
        </is>
      </c>
      <c r="F863" t="inlineStr">
        <is>
          <t>SMB</t>
        </is>
      </c>
      <c r="G863" t="inlineStr">
        <is>
          <t>Workflow Automation</t>
        </is>
      </c>
      <c r="H863" t="inlineStr">
        <is>
          <t>Bug</t>
        </is>
      </c>
      <c r="I863" t="inlineStr">
        <is>
          <t>Not what we expected for the price. We are hitting automation misfires: emails don't send and nobody gets notified.</t>
        </is>
      </c>
      <c r="J863" t="inlineStr">
        <is>
          <t>Negative</t>
        </is>
      </c>
      <c r="K863" t="inlineStr">
        <is>
          <t>Critical</t>
        </is>
      </c>
      <c r="L863" t="inlineStr">
        <is>
          <t>Revenue/Operations Risk</t>
        </is>
      </c>
    </row>
    <row r="864">
      <c r="A864" t="inlineStr">
        <is>
          <t>FB-00863</t>
        </is>
      </c>
      <c r="B864" t="inlineStr">
        <is>
          <t>CUST-0226</t>
        </is>
      </c>
      <c r="C864" t="inlineStr">
        <is>
          <t>2026-05-17</t>
        </is>
      </c>
      <c r="D864" t="inlineStr">
        <is>
          <t>Feature Request</t>
        </is>
      </c>
      <c r="E864" t="inlineStr">
        <is>
          <t>Professional</t>
        </is>
      </c>
      <c r="F864" t="inlineStr">
        <is>
          <t>Enterprise</t>
        </is>
      </c>
      <c r="G864" t="inlineStr">
        <is>
          <t>Workflow Automation</t>
        </is>
      </c>
      <c r="H864" t="inlineStr">
        <is>
          <t>Feature Request</t>
        </is>
      </c>
      <c r="I864" t="inlineStr">
        <is>
          <t>Feedback from our monthly review. A library of workflow templates would cut our setup time. So far 109 people on our side have reported it. Happy to join a feedback call.</t>
        </is>
      </c>
      <c r="J864" t="inlineStr">
        <is>
          <t>Neutral</t>
        </is>
      </c>
      <c r="K864" t="inlineStr">
        <is>
          <t>Low</t>
        </is>
      </c>
      <c r="L864" t="inlineStr">
        <is>
          <t>Minor Inconvenience</t>
        </is>
      </c>
    </row>
    <row r="865">
      <c r="A865" t="inlineStr">
        <is>
          <t>FB-00864</t>
        </is>
      </c>
      <c r="B865" t="inlineStr">
        <is>
          <t>CUST-0269</t>
        </is>
      </c>
      <c r="C865" t="inlineStr">
        <is>
          <t>2026-05-18</t>
        </is>
      </c>
      <c r="D865" t="inlineStr">
        <is>
          <t>In-App Feedback</t>
        </is>
      </c>
      <c r="E865" t="inlineStr">
        <is>
          <t>Professional</t>
        </is>
      </c>
      <c r="F865" t="inlineStr">
        <is>
          <t>SMB</t>
        </is>
      </c>
      <c r="G865" t="inlineStr">
        <is>
          <t>User Interface</t>
        </is>
      </c>
      <c r="H865" t="inlineStr">
        <is>
          <t>Usability Issue</t>
        </is>
      </c>
      <c r="I865" t="inlineStr">
        <is>
          <t>Too many clicks to reach common screens because of the settings navigation. Our sales manager flagged it while onboarding 15 new users.</t>
        </is>
      </c>
      <c r="J865" t="inlineStr">
        <is>
          <t>Negative</t>
        </is>
      </c>
      <c r="K865" t="inlineStr">
        <is>
          <t>Medium</t>
        </is>
      </c>
      <c r="L865" t="inlineStr">
        <is>
          <t>Minor Inconvenience</t>
        </is>
      </c>
    </row>
    <row r="866">
      <c r="A866" t="inlineStr">
        <is>
          <t>FB-00865</t>
        </is>
      </c>
      <c r="B866" t="inlineStr">
        <is>
          <t>CUST-0352</t>
        </is>
      </c>
      <c r="C866" t="inlineStr">
        <is>
          <t>2026-05-18</t>
        </is>
      </c>
      <c r="D866" t="inlineStr">
        <is>
          <t>In-App Feedback</t>
        </is>
      </c>
      <c r="E866" t="inlineStr">
        <is>
          <t>Starter</t>
        </is>
      </c>
      <c r="F866" t="inlineStr">
        <is>
          <t>SMB</t>
        </is>
      </c>
      <c r="G866" t="inlineStr">
        <is>
          <t>Integrations</t>
        </is>
      </c>
      <c r="H866" t="inlineStr">
        <is>
          <t>Integration Issue</t>
        </is>
      </c>
      <c r="I866" t="inlineStr">
        <is>
          <t>Our email sync keeps disconnecting and activities are missing from the contact timeline. It happens about 38 times a week for our team of 72. Support suggested logging it here.</t>
        </is>
      </c>
      <c r="J866" t="inlineStr">
        <is>
          <t>Negative</t>
        </is>
      </c>
      <c r="K866" t="inlineStr">
        <is>
          <t>Low</t>
        </is>
      </c>
      <c r="L866" t="inlineStr">
        <is>
          <t>Minor Inconvenience</t>
        </is>
      </c>
    </row>
    <row r="867">
      <c r="A867" t="inlineStr">
        <is>
          <t>FB-00866</t>
        </is>
      </c>
      <c r="B867" t="inlineStr">
        <is>
          <t>CUST-0367</t>
        </is>
      </c>
      <c r="C867" t="inlineStr">
        <is>
          <t>2026-05-18</t>
        </is>
      </c>
      <c r="D867" t="inlineStr">
        <is>
          <t>In-App Feedback</t>
        </is>
      </c>
      <c r="E867" t="inlineStr">
        <is>
          <t>Enterprise</t>
        </is>
      </c>
      <c r="F867" t="inlineStr">
        <is>
          <t>Mid-Market</t>
        </is>
      </c>
      <c r="G867" t="inlineStr">
        <is>
          <t>Contact Management</t>
        </is>
      </c>
      <c r="H867" t="inlineStr">
        <is>
          <t>Bug</t>
        </is>
      </c>
      <c r="I867" t="inlineStr">
        <is>
          <t>Sharing this from our team. Our contact CSV import scrambles phone and email columns even after we map them correctly. It happens about 9 times a week for our team of 27.</t>
        </is>
      </c>
      <c r="J867" t="inlineStr">
        <is>
          <t>Neutral</t>
        </is>
      </c>
      <c r="K867" t="inlineStr">
        <is>
          <t>High</t>
        </is>
      </c>
      <c r="L867" t="inlineStr">
        <is>
          <t>Revenue/Operations Risk</t>
        </is>
      </c>
    </row>
    <row r="868">
      <c r="A868" t="inlineStr">
        <is>
          <t>FB-00867</t>
        </is>
      </c>
      <c r="B868" t="inlineStr">
        <is>
          <t>CUST-0327</t>
        </is>
      </c>
      <c r="C868" t="inlineStr">
        <is>
          <t>2026-05-18</t>
        </is>
      </c>
      <c r="D868" t="inlineStr">
        <is>
          <t>Feature Request</t>
        </is>
      </c>
      <c r="E868" t="inlineStr">
        <is>
          <t>Professional</t>
        </is>
      </c>
      <c r="F868" t="inlineStr">
        <is>
          <t>Mid-Market</t>
        </is>
      </c>
      <c r="G868" t="inlineStr">
        <is>
          <t>Integrations</t>
        </is>
      </c>
      <c r="H868" t="inlineStr">
        <is>
          <t>Integration Issue</t>
        </is>
      </c>
      <c r="I868" t="inlineStr">
        <is>
          <t>Noting this during onboarding. The Gmail sync duplicates meetings and misses replies. It happens about 5 times a week for our team of 83.</t>
        </is>
      </c>
      <c r="J868" t="inlineStr">
        <is>
          <t>Neutral</t>
        </is>
      </c>
      <c r="K868" t="inlineStr">
        <is>
          <t>Critical</t>
        </is>
      </c>
      <c r="L868" t="inlineStr">
        <is>
          <t>Revenue/Operations Risk</t>
        </is>
      </c>
    </row>
    <row r="869">
      <c r="A869" t="inlineStr">
        <is>
          <t>FB-00868</t>
        </is>
      </c>
      <c r="B869" t="inlineStr">
        <is>
          <t>CUST-0158</t>
        </is>
      </c>
      <c r="C869" t="inlineStr">
        <is>
          <t>2026-05-18</t>
        </is>
      </c>
      <c r="D869" t="inlineStr">
        <is>
          <t>Support Ticket</t>
        </is>
      </c>
      <c r="E869" t="inlineStr">
        <is>
          <t>Starter</t>
        </is>
      </c>
      <c r="F869" t="inlineStr">
        <is>
          <t>SMB</t>
        </is>
      </c>
      <c r="G869" t="inlineStr">
        <is>
          <t>Lead Management</t>
        </is>
      </c>
      <c r="H869" t="inlineStr">
        <is>
          <t>Bug</t>
        </is>
      </c>
      <c r="I869" t="inlineStr">
        <is>
          <t>We are seeing duplicated leads when a lead arrives from both the website and a trade-show list. So far 30 people on our side have reported it. Happy to join a feedback call.</t>
        </is>
      </c>
      <c r="J869" t="inlineStr">
        <is>
          <t>Neutral</t>
        </is>
      </c>
      <c r="K869" t="inlineStr">
        <is>
          <t>Medium</t>
        </is>
      </c>
      <c r="L869" t="inlineStr">
        <is>
          <t>Minor Inconvenience</t>
        </is>
      </c>
    </row>
    <row r="870">
      <c r="A870" t="inlineStr">
        <is>
          <t>FB-00869</t>
        </is>
      </c>
      <c r="B870" t="inlineStr">
        <is>
          <t>CUST-0045</t>
        </is>
      </c>
      <c r="C870" t="inlineStr">
        <is>
          <t>2026-05-18</t>
        </is>
      </c>
      <c r="D870" t="inlineStr">
        <is>
          <t>Feature Request</t>
        </is>
      </c>
      <c r="E870" t="inlineStr">
        <is>
          <t>Professional</t>
        </is>
      </c>
      <c r="F870" t="inlineStr">
        <is>
          <t>Mid-Market</t>
        </is>
      </c>
      <c r="G870" t="inlineStr">
        <is>
          <t>Reporting</t>
        </is>
      </c>
      <c r="H870" t="inlineStr">
        <is>
          <t>Feature Request</t>
        </is>
      </c>
      <c r="I870" t="inlineStr">
        <is>
          <t>Please add sales forecasting; managers keep a separate spreadsheet. It affects our weekly pipeline review process every cycle.</t>
        </is>
      </c>
      <c r="J870" t="inlineStr">
        <is>
          <t>Neutral</t>
        </is>
      </c>
      <c r="K870" t="inlineStr">
        <is>
          <t>High</t>
        </is>
      </c>
      <c r="L870" t="inlineStr">
        <is>
          <t>Blocks Key Task</t>
        </is>
      </c>
    </row>
    <row r="871">
      <c r="A871" t="inlineStr">
        <is>
          <t>FB-00870</t>
        </is>
      </c>
      <c r="B871" t="inlineStr">
        <is>
          <t>CUST-0167</t>
        </is>
      </c>
      <c r="C871" t="inlineStr">
        <is>
          <t>2026-05-19</t>
        </is>
      </c>
      <c r="D871" t="inlineStr">
        <is>
          <t>Support Ticket</t>
        </is>
      </c>
      <c r="E871" t="inlineStr">
        <is>
          <t>Starter</t>
        </is>
      </c>
      <c r="F871" t="inlineStr">
        <is>
          <t>SMB</t>
        </is>
      </c>
      <c r="G871" t="inlineStr">
        <is>
          <t>Lead Management</t>
        </is>
      </c>
      <c r="H871" t="inlineStr">
        <is>
          <t>Bug</t>
        </is>
      </c>
      <c r="I871" t="inlineStr">
        <is>
          <t>Not what we expected for the price. We are seeing duplicated leads when a lead arrives from both the website and a trade-show list. We estimate we lose roughly 49 hours a month on this. Support suggested logging it here.</t>
        </is>
      </c>
      <c r="J871" t="inlineStr">
        <is>
          <t>Negative</t>
        </is>
      </c>
      <c r="K871" t="inlineStr">
        <is>
          <t>Critical</t>
        </is>
      </c>
      <c r="L871" t="inlineStr">
        <is>
          <t>Revenue/Operations Risk</t>
        </is>
      </c>
    </row>
    <row r="872">
      <c r="A872" t="inlineStr">
        <is>
          <t>FB-00871</t>
        </is>
      </c>
      <c r="B872" t="inlineStr">
        <is>
          <t>CUST-0258</t>
        </is>
      </c>
      <c r="C872" t="inlineStr">
        <is>
          <t>2026-05-20</t>
        </is>
      </c>
      <c r="D872" t="inlineStr">
        <is>
          <t>Support Ticket</t>
        </is>
      </c>
      <c r="E872" t="inlineStr">
        <is>
          <t>Professional</t>
        </is>
      </c>
      <c r="F872" t="inlineStr">
        <is>
          <t>Mid-Market</t>
        </is>
      </c>
      <c r="G872" t="inlineStr">
        <is>
          <t>Workflow Automation</t>
        </is>
      </c>
      <c r="H872" t="inlineStr">
        <is>
          <t>Bug</t>
        </is>
      </c>
      <c r="I872" t="inlineStr">
        <is>
          <t>Since the last release we've had workflow runs failing silently and tasks are being created twice. It happens about 14 times a week for our team of 93.</t>
        </is>
      </c>
      <c r="J872" t="inlineStr">
        <is>
          <t>Positive</t>
        </is>
      </c>
      <c r="K872" t="inlineStr">
        <is>
          <t>Low</t>
        </is>
      </c>
      <c r="L872" t="inlineStr">
        <is>
          <t>Minor Inconvenience</t>
        </is>
      </c>
    </row>
    <row r="873">
      <c r="A873" t="inlineStr">
        <is>
          <t>FB-00872</t>
        </is>
      </c>
      <c r="B873" t="inlineStr">
        <is>
          <t>CUST-0284</t>
        </is>
      </c>
      <c r="C873" t="inlineStr">
        <is>
          <t>2026-05-20</t>
        </is>
      </c>
      <c r="D873" t="inlineStr">
        <is>
          <t>Support Ticket</t>
        </is>
      </c>
      <c r="E873" t="inlineStr">
        <is>
          <t>Enterprise</t>
        </is>
      </c>
      <c r="F873" t="inlineStr">
        <is>
          <t>Enterprise</t>
        </is>
      </c>
      <c r="G873" t="inlineStr">
        <is>
          <t>Reporting</t>
        </is>
      </c>
      <c r="H873" t="inlineStr">
        <is>
          <t>Bug</t>
        </is>
      </c>
      <c r="I873" t="inlineStr">
        <is>
          <t>Raising this again after our last business review. The report export cuts off rows after a few thousand records. We need a fix before renewal.</t>
        </is>
      </c>
      <c r="J873" t="inlineStr">
        <is>
          <t>Negative</t>
        </is>
      </c>
      <c r="K873" t="inlineStr">
        <is>
          <t>Low</t>
        </is>
      </c>
      <c r="L873" t="inlineStr">
        <is>
          <t>Minor Inconvenience</t>
        </is>
      </c>
    </row>
    <row r="874">
      <c r="A874" t="inlineStr">
        <is>
          <t>FB-00873</t>
        </is>
      </c>
      <c r="B874" t="inlineStr">
        <is>
          <t>CUST-0385</t>
        </is>
      </c>
      <c r="C874" t="inlineStr">
        <is>
          <t>2026-05-20</t>
        </is>
      </c>
      <c r="D874" t="inlineStr">
        <is>
          <t>In-App Feedback</t>
        </is>
      </c>
      <c r="E874" t="inlineStr">
        <is>
          <t>Starter</t>
        </is>
      </c>
      <c r="F874" t="inlineStr">
        <is>
          <t>SMB</t>
        </is>
      </c>
      <c r="G874" t="inlineStr">
        <is>
          <t>Workflow Automation</t>
        </is>
      </c>
      <c r="H874" t="inlineStr">
        <is>
          <t>Bug</t>
        </is>
      </c>
      <c r="I874" t="inlineStr">
        <is>
          <t>Not what we expected for the price. We found automation misfires only because a customer complained.</t>
        </is>
      </c>
      <c r="J874" t="inlineStr">
        <is>
          <t>Negative</t>
        </is>
      </c>
      <c r="K874" t="inlineStr">
        <is>
          <t>Low</t>
        </is>
      </c>
      <c r="L874" t="inlineStr">
        <is>
          <t>Minor Inconvenience</t>
        </is>
      </c>
    </row>
    <row r="875">
      <c r="A875" t="inlineStr">
        <is>
          <t>FB-00874</t>
        </is>
      </c>
      <c r="B875" t="inlineStr">
        <is>
          <t>CUST-0386</t>
        </is>
      </c>
      <c r="C875" t="inlineStr">
        <is>
          <t>2026-05-20</t>
        </is>
      </c>
      <c r="D875" t="inlineStr">
        <is>
          <t>Customer Survey</t>
        </is>
      </c>
      <c r="E875" t="inlineStr">
        <is>
          <t>Starter</t>
        </is>
      </c>
      <c r="F875" t="inlineStr">
        <is>
          <t>Mid-Market</t>
        </is>
      </c>
      <c r="G875" t="inlineStr">
        <is>
          <t>Contact Management</t>
        </is>
      </c>
      <c r="H875" t="inlineStr">
        <is>
          <t>Bug</t>
        </is>
      </c>
      <c r="I875" t="inlineStr">
        <is>
          <t>This has been a recurring problem for us. The contact CSV import fails halfway through with a generic error and no row-level detail. Our sales manager flagged it while onboarding 73 new users.</t>
        </is>
      </c>
      <c r="J875" t="inlineStr">
        <is>
          <t>Negative</t>
        </is>
      </c>
      <c r="K875" t="inlineStr">
        <is>
          <t>High</t>
        </is>
      </c>
      <c r="L875" t="inlineStr">
        <is>
          <t>Blocks Key Task</t>
        </is>
      </c>
    </row>
    <row r="876">
      <c r="A876" t="inlineStr">
        <is>
          <t>FB-00875</t>
        </is>
      </c>
      <c r="B876" t="inlineStr">
        <is>
          <t>CUST-0107</t>
        </is>
      </c>
      <c r="C876" t="inlineStr">
        <is>
          <t>2026-05-21</t>
        </is>
      </c>
      <c r="D876" t="inlineStr">
        <is>
          <t>Feature Request</t>
        </is>
      </c>
      <c r="E876" t="inlineStr">
        <is>
          <t>Starter</t>
        </is>
      </c>
      <c r="F876" t="inlineStr">
        <is>
          <t>SMB</t>
        </is>
      </c>
      <c r="G876" t="inlineStr">
        <is>
          <t>Integrations</t>
        </is>
      </c>
      <c r="H876" t="inlineStr">
        <is>
          <t>Feature Request</t>
        </is>
      </c>
      <c r="I876" t="inlineStr">
        <is>
          <t>Not what we expected for the price. Lack of a native accounting integration is a gap versus other CRMs we evaluated. Our marketing ops owner flagged it while onboarding 69 new users. Is there a workaround?</t>
        </is>
      </c>
      <c r="J876" t="inlineStr">
        <is>
          <t>Negative</t>
        </is>
      </c>
      <c r="K876" t="inlineStr">
        <is>
          <t>Low</t>
        </is>
      </c>
      <c r="L876" t="inlineStr">
        <is>
          <t>Blocks Key Task</t>
        </is>
      </c>
    </row>
    <row r="877">
      <c r="A877" t="inlineStr">
        <is>
          <t>FB-00876</t>
        </is>
      </c>
      <c r="B877" t="inlineStr">
        <is>
          <t>CUST-0073</t>
        </is>
      </c>
      <c r="C877" t="inlineStr">
        <is>
          <t>2026-05-21</t>
        </is>
      </c>
      <c r="D877" t="inlineStr">
        <is>
          <t>In-App Feedback</t>
        </is>
      </c>
      <c r="E877" t="inlineStr">
        <is>
          <t>Starter</t>
        </is>
      </c>
      <c r="F877" t="inlineStr">
        <is>
          <t>SMB</t>
        </is>
      </c>
      <c r="G877" t="inlineStr">
        <is>
          <t>User Interface</t>
        </is>
      </c>
      <c r="H877" t="inlineStr">
        <is>
          <t>Usability Issue</t>
        </is>
      </c>
      <c r="I877" t="inlineStr">
        <is>
          <t>This has been a recurring problem for us. The navigation menu is cluttered and I can never find the setting I need. Our finance analyst flagged it while onboarding 10 new users. Support suggested logging it here.</t>
        </is>
      </c>
      <c r="J877" t="inlineStr">
        <is>
          <t>Negative</t>
        </is>
      </c>
      <c r="K877" t="inlineStr">
        <is>
          <t>Low</t>
        </is>
      </c>
      <c r="L877" t="inlineStr">
        <is>
          <t>Minor Inconvenience</t>
        </is>
      </c>
    </row>
    <row r="878">
      <c r="A878" t="inlineStr">
        <is>
          <t>FB-00877</t>
        </is>
      </c>
      <c r="B878" t="inlineStr">
        <is>
          <t>CUST-0171</t>
        </is>
      </c>
      <c r="C878" t="inlineStr">
        <is>
          <t>2026-05-21</t>
        </is>
      </c>
      <c r="D878" t="inlineStr">
        <is>
          <t>Feature Request</t>
        </is>
      </c>
      <c r="E878" t="inlineStr">
        <is>
          <t>Professional</t>
        </is>
      </c>
      <c r="F878" t="inlineStr">
        <is>
          <t>Mid-Market</t>
        </is>
      </c>
      <c r="G878" t="inlineStr">
        <is>
          <t>User Interface</t>
        </is>
      </c>
      <c r="H878" t="inlineStr">
        <is>
          <t>Feature Request</t>
        </is>
      </c>
      <c r="I878" t="inlineStr">
        <is>
          <t>Requesting mobile call logging so reps can log activity right after a meeting. It affects our onboarding process every cycle. Let us know if you need examples.</t>
        </is>
      </c>
      <c r="J878" t="inlineStr">
        <is>
          <t>Neutral</t>
        </is>
      </c>
      <c r="K878" t="inlineStr">
        <is>
          <t>Low</t>
        </is>
      </c>
      <c r="L878" t="inlineStr">
        <is>
          <t>Minor Inconvenience</t>
        </is>
      </c>
    </row>
    <row r="879">
      <c r="A879" t="inlineStr">
        <is>
          <t>FB-00878</t>
        </is>
      </c>
      <c r="B879" t="inlineStr">
        <is>
          <t>CUST-0382</t>
        </is>
      </c>
      <c r="C879" t="inlineStr">
        <is>
          <t>2026-05-21</t>
        </is>
      </c>
      <c r="D879" t="inlineStr">
        <is>
          <t>In-App Feedback</t>
        </is>
      </c>
      <c r="E879" t="inlineStr">
        <is>
          <t>Starter</t>
        </is>
      </c>
      <c r="F879" t="inlineStr">
        <is>
          <t>SMB</t>
        </is>
      </c>
      <c r="G879" t="inlineStr">
        <is>
          <t>Contact Management</t>
        </is>
      </c>
      <c r="H879" t="inlineStr">
        <is>
          <t>Feature Request</t>
        </is>
      </c>
      <c r="I879" t="inlineStr">
        <is>
          <t>Lacking custom contact fields forces us to keep a parallel spreadsheet.</t>
        </is>
      </c>
      <c r="J879" t="inlineStr">
        <is>
          <t>Neutral</t>
        </is>
      </c>
      <c r="K879" t="inlineStr">
        <is>
          <t>Low</t>
        </is>
      </c>
      <c r="L879" t="inlineStr">
        <is>
          <t>Minor Inconvenience</t>
        </is>
      </c>
    </row>
    <row r="880">
      <c r="A880" t="inlineStr">
        <is>
          <t>FB-00879</t>
        </is>
      </c>
      <c r="B880" t="inlineStr">
        <is>
          <t>CUST-0417</t>
        </is>
      </c>
      <c r="C880" t="inlineStr">
        <is>
          <t>2026-05-21</t>
        </is>
      </c>
      <c r="D880" t="inlineStr">
        <is>
          <t>Support Ticket</t>
        </is>
      </c>
      <c r="E880" t="inlineStr">
        <is>
          <t>Starter</t>
        </is>
      </c>
      <c r="F880" t="inlineStr">
        <is>
          <t>SMB</t>
        </is>
      </c>
      <c r="G880" t="inlineStr">
        <is>
          <t>Reporting</t>
        </is>
      </c>
      <c r="H880" t="inlineStr">
        <is>
          <t>Performance Issue</t>
        </is>
      </c>
      <c r="I880" t="inlineStr">
        <is>
          <t>Raising this again after our last business review. Execs gave up on the report load time and ask for screenshots instead. Our RevOps lead flagged it while onboarding 51 new users. Support suggested logging it here.</t>
        </is>
      </c>
      <c r="J880" t="inlineStr">
        <is>
          <t>Negative</t>
        </is>
      </c>
      <c r="K880" t="inlineStr">
        <is>
          <t>Medium</t>
        </is>
      </c>
      <c r="L880" t="inlineStr">
        <is>
          <t>Workflow Slowdown</t>
        </is>
      </c>
    </row>
    <row r="881">
      <c r="A881" t="inlineStr">
        <is>
          <t>FB-00880</t>
        </is>
      </c>
      <c r="B881" t="inlineStr">
        <is>
          <t>CUST-0284</t>
        </is>
      </c>
      <c r="C881" t="inlineStr">
        <is>
          <t>2026-05-22</t>
        </is>
      </c>
      <c r="D881" t="inlineStr">
        <is>
          <t>In-App Feedback</t>
        </is>
      </c>
      <c r="E881" t="inlineStr">
        <is>
          <t>Enterprise</t>
        </is>
      </c>
      <c r="F881" t="inlineStr">
        <is>
          <t>Enterprise</t>
        </is>
      </c>
      <c r="G881" t="inlineStr">
        <is>
          <t>Workflow Automation</t>
        </is>
      </c>
      <c r="H881" t="inlineStr">
        <is>
          <t>Usability Issue</t>
        </is>
      </c>
      <c r="I881" t="inlineStr">
        <is>
          <t>Noting this during onboarding. Our new admins struggle with the workflow builder; there is no guidance or validation.</t>
        </is>
      </c>
      <c r="J881" t="inlineStr">
        <is>
          <t>Neutral</t>
        </is>
      </c>
      <c r="K881" t="inlineStr">
        <is>
          <t>High</t>
        </is>
      </c>
      <c r="L881" t="inlineStr">
        <is>
          <t>Blocks Key Task</t>
        </is>
      </c>
    </row>
    <row r="882">
      <c r="A882" t="inlineStr">
        <is>
          <t>FB-00881</t>
        </is>
      </c>
      <c r="B882" t="inlineStr">
        <is>
          <t>CUST-0349</t>
        </is>
      </c>
      <c r="C882" t="inlineStr">
        <is>
          <t>2026-05-22</t>
        </is>
      </c>
      <c r="D882" t="inlineStr">
        <is>
          <t>In-App Feedback</t>
        </is>
      </c>
      <c r="E882" t="inlineStr">
        <is>
          <t>Professional</t>
        </is>
      </c>
      <c r="F882" t="inlineStr">
        <is>
          <t>Mid-Market</t>
        </is>
      </c>
      <c r="G882" t="inlineStr">
        <is>
          <t>Integrations</t>
        </is>
      </c>
      <c r="H882" t="inlineStr">
        <is>
          <t>Integration Issue</t>
        </is>
      </c>
      <c r="I882" t="inlineStr">
        <is>
          <t>Raising this again after our last business review. We keep hitting API rate limits during nightly syncs with our data warehouse. Our sales manager flagged it while onboarding 19 new users. Please look into it soon.</t>
        </is>
      </c>
      <c r="J882" t="inlineStr">
        <is>
          <t>Negative</t>
        </is>
      </c>
      <c r="K882" t="inlineStr">
        <is>
          <t>High</t>
        </is>
      </c>
      <c r="L882" t="inlineStr">
        <is>
          <t>Revenue/Operations Risk</t>
        </is>
      </c>
    </row>
    <row r="883">
      <c r="A883" t="inlineStr">
        <is>
          <t>FB-00882</t>
        </is>
      </c>
      <c r="B883" t="inlineStr">
        <is>
          <t>CUST-0010</t>
        </is>
      </c>
      <c r="C883" t="inlineStr">
        <is>
          <t>2026-05-22</t>
        </is>
      </c>
      <c r="D883" t="inlineStr">
        <is>
          <t>Customer Survey</t>
        </is>
      </c>
      <c r="E883" t="inlineStr">
        <is>
          <t>Professional</t>
        </is>
      </c>
      <c r="F883" t="inlineStr">
        <is>
          <t>SMB</t>
        </is>
      </c>
      <c r="G883" t="inlineStr">
        <is>
          <t>Integrations</t>
        </is>
      </c>
      <c r="H883" t="inlineStr">
        <is>
          <t>Feature Request</t>
        </is>
      </c>
      <c r="I883" t="inlineStr">
        <is>
          <t>Raising this again after our last business review. Lack of a native Slack integration is a gap versus other CRMs we evaluated.</t>
        </is>
      </c>
      <c r="J883" t="inlineStr">
        <is>
          <t>Negative</t>
        </is>
      </c>
      <c r="K883" t="inlineStr">
        <is>
          <t>Low</t>
        </is>
      </c>
      <c r="L883" t="inlineStr">
        <is>
          <t>Minor Inconvenience</t>
        </is>
      </c>
    </row>
    <row r="884">
      <c r="A884" t="inlineStr">
        <is>
          <t>FB-00883</t>
        </is>
      </c>
      <c r="B884" t="inlineStr">
        <is>
          <t>CUST-0262</t>
        </is>
      </c>
      <c r="C884" t="inlineStr">
        <is>
          <t>2026-05-22</t>
        </is>
      </c>
      <c r="D884" t="inlineStr">
        <is>
          <t>Feature Request</t>
        </is>
      </c>
      <c r="E884" t="inlineStr">
        <is>
          <t>Professional</t>
        </is>
      </c>
      <c r="F884" t="inlineStr">
        <is>
          <t>Mid-Market</t>
        </is>
      </c>
      <c r="G884" t="inlineStr">
        <is>
          <t>Workflow Automation</t>
        </is>
      </c>
      <c r="H884" t="inlineStr">
        <is>
          <t>Feature Request</t>
        </is>
      </c>
      <c r="I884" t="inlineStr">
        <is>
          <t>Great support experience recently. Competitors ship workflow templates; we are rebuilding the same flows from scratch. It happens about 33 times a week for our team of 90.</t>
        </is>
      </c>
      <c r="J884" t="inlineStr">
        <is>
          <t>Positive</t>
        </is>
      </c>
      <c r="K884" t="inlineStr">
        <is>
          <t>Low</t>
        </is>
      </c>
      <c r="L884" t="inlineStr">
        <is>
          <t>Minor Inconvenience</t>
        </is>
      </c>
    </row>
    <row r="885">
      <c r="A885" t="inlineStr">
        <is>
          <t>FB-00884</t>
        </is>
      </c>
      <c r="B885" t="inlineStr">
        <is>
          <t>CUST-0277</t>
        </is>
      </c>
      <c r="C885" t="inlineStr">
        <is>
          <t>2026-05-22</t>
        </is>
      </c>
      <c r="D885" t="inlineStr">
        <is>
          <t>Support Ticket</t>
        </is>
      </c>
      <c r="E885" t="inlineStr">
        <is>
          <t>Professional</t>
        </is>
      </c>
      <c r="F885" t="inlineStr">
        <is>
          <t>Mid-Market</t>
        </is>
      </c>
      <c r="G885" t="inlineStr">
        <is>
          <t>Integrations</t>
        </is>
      </c>
      <c r="H885" t="inlineStr">
        <is>
          <t>Feature Request</t>
        </is>
      </c>
      <c r="I885" t="inlineStr">
        <is>
          <t>Feedback from our monthly review. Requesting a native accounting integration to remove manual re-entry. It affects our lead handoff process every cycle. Happy to join a feedback call.</t>
        </is>
      </c>
      <c r="J885" t="inlineStr">
        <is>
          <t>Neutral</t>
        </is>
      </c>
      <c r="K885" t="inlineStr">
        <is>
          <t>Low</t>
        </is>
      </c>
      <c r="L885" t="inlineStr">
        <is>
          <t>Workflow Slowdown</t>
        </is>
      </c>
    </row>
    <row r="886">
      <c r="A886" t="inlineStr">
        <is>
          <t>FB-00885</t>
        </is>
      </c>
      <c r="B886" t="inlineStr">
        <is>
          <t>CUST-0347</t>
        </is>
      </c>
      <c r="C886" t="inlineStr">
        <is>
          <t>2026-05-22</t>
        </is>
      </c>
      <c r="D886" t="inlineStr">
        <is>
          <t>In-App Feedback</t>
        </is>
      </c>
      <c r="E886" t="inlineStr">
        <is>
          <t>Starter</t>
        </is>
      </c>
      <c r="F886" t="inlineStr">
        <is>
          <t>SMB</t>
        </is>
      </c>
      <c r="G886" t="inlineStr">
        <is>
          <t>Contact Management</t>
        </is>
      </c>
      <c r="H886" t="inlineStr">
        <is>
          <t>Performance Issue</t>
        </is>
      </c>
      <c r="I886" t="inlineStr">
        <is>
          <t>Quick note from our admin. The contact search times out on our largest accounts. So far 30 people on our side have reported it.</t>
        </is>
      </c>
      <c r="J886" t="inlineStr">
        <is>
          <t>Neutral</t>
        </is>
      </c>
      <c r="K886" t="inlineStr">
        <is>
          <t>Low</t>
        </is>
      </c>
      <c r="L886" t="inlineStr">
        <is>
          <t>Minor Inconvenience</t>
        </is>
      </c>
    </row>
    <row r="887">
      <c r="A887" t="inlineStr">
        <is>
          <t>FB-00886</t>
        </is>
      </c>
      <c r="B887" t="inlineStr">
        <is>
          <t>CUST-0296</t>
        </is>
      </c>
      <c r="C887" t="inlineStr">
        <is>
          <t>2026-05-23</t>
        </is>
      </c>
      <c r="D887" t="inlineStr">
        <is>
          <t>Support Ticket</t>
        </is>
      </c>
      <c r="E887" t="inlineStr">
        <is>
          <t>Professional</t>
        </is>
      </c>
      <c r="F887" t="inlineStr">
        <is>
          <t>SMB</t>
        </is>
      </c>
      <c r="G887" t="inlineStr">
        <is>
          <t xml:space="preserve"> Workflow Automation</t>
        </is>
      </c>
      <c r="H887" t="inlineStr">
        <is>
          <t>Bug</t>
        </is>
      </c>
      <c r="I887" t="inlineStr">
        <is>
          <t>Escalating on behalf of our ops lead. We are hitting workflow failures: emails don't send and nobody gets notified. So far 107 people on our side have reported it.</t>
        </is>
      </c>
      <c r="J887" t="inlineStr">
        <is>
          <t>Negative</t>
        </is>
      </c>
      <c r="K887" t="inlineStr">
        <is>
          <t>High</t>
        </is>
      </c>
      <c r="L887" t="inlineStr">
        <is>
          <t>Blocks Key Task</t>
        </is>
      </c>
    </row>
    <row r="888">
      <c r="A888" t="inlineStr">
        <is>
          <t>FB-00887</t>
        </is>
      </c>
      <c r="B888" t="inlineStr">
        <is>
          <t>CUST-0117</t>
        </is>
      </c>
      <c r="C888" t="inlineStr">
        <is>
          <t>2026-05-23</t>
        </is>
      </c>
      <c r="D888" t="inlineStr">
        <is>
          <t>Customer Survey</t>
        </is>
      </c>
      <c r="E888" t="inlineStr">
        <is>
          <t>Professional</t>
        </is>
      </c>
      <c r="F888" t="inlineStr">
        <is>
          <t>Mid-Market</t>
        </is>
      </c>
      <c r="G888" t="inlineStr">
        <is>
          <t>Contact Management</t>
        </is>
      </c>
      <c r="H888" t="inlineStr">
        <is>
          <t>Feature Request</t>
        </is>
      </c>
      <c r="I888" t="inlineStr">
        <is>
          <t>Requesting an account hierarchy view so account managers can see who reports to whom. It affects our quarterly planning process every cycle. Is there a workaround?</t>
        </is>
      </c>
      <c r="J888" t="inlineStr">
        <is>
          <t>NEGATIVE</t>
        </is>
      </c>
      <c r="K888" t="inlineStr">
        <is>
          <t>Medium</t>
        </is>
      </c>
      <c r="L888" t="inlineStr">
        <is>
          <t>Blocks Key Task</t>
        </is>
      </c>
    </row>
    <row r="889">
      <c r="A889" t="inlineStr">
        <is>
          <t>FB-00888</t>
        </is>
      </c>
      <c r="B889" t="inlineStr">
        <is>
          <t>CUST-0300</t>
        </is>
      </c>
      <c r="C889" t="inlineStr">
        <is>
          <t>2026-05-23</t>
        </is>
      </c>
      <c r="D889" t="inlineStr">
        <is>
          <t>Feature Request</t>
        </is>
      </c>
      <c r="E889" t="inlineStr">
        <is>
          <t>Professional</t>
        </is>
      </c>
      <c r="F889" t="inlineStr">
        <is>
          <t>Mid-Market</t>
        </is>
      </c>
      <c r="G889" t="inlineStr">
        <is>
          <t>Contact Management</t>
        </is>
      </c>
      <c r="H889" t="inlineStr">
        <is>
          <t>Feature Request</t>
        </is>
      </c>
      <c r="I889" t="inlineStr">
        <is>
          <t>Frustrated with this one. Please build a tool to merge duplicate contacts with a preview of what will be combined. Our admin flagged it while onboarding 96 new users. We need a fix before renewal.</t>
        </is>
      </c>
      <c r="J889" t="inlineStr">
        <is>
          <t xml:space="preserve"> Negative</t>
        </is>
      </c>
      <c r="K889" t="inlineStr">
        <is>
          <t>Medium</t>
        </is>
      </c>
      <c r="L889" t="inlineStr">
        <is>
          <t>Minor Inconvenience</t>
        </is>
      </c>
    </row>
    <row r="890">
      <c r="A890" t="inlineStr">
        <is>
          <t>FB-00889</t>
        </is>
      </c>
      <c r="B890" t="inlineStr">
        <is>
          <t>CUST-0173</t>
        </is>
      </c>
      <c r="C890" t="inlineStr">
        <is>
          <t>2026-05-23</t>
        </is>
      </c>
      <c r="D890" t="inlineStr">
        <is>
          <t>Feature Request</t>
        </is>
      </c>
      <c r="E890" t="inlineStr">
        <is>
          <t>Starter</t>
        </is>
      </c>
      <c r="F890" t="inlineStr">
        <is>
          <t>SMB</t>
        </is>
      </c>
      <c r="G890" t="inlineStr">
        <is>
          <t>Contact Management</t>
        </is>
      </c>
      <c r="H890" t="inlineStr">
        <is>
          <t>Feature Request</t>
        </is>
      </c>
      <c r="I890" t="inlineStr">
        <is>
          <t>Feedback from our monthly review. We need a contact relationship hierarchy to reflect parent companies and subsidiaries.</t>
        </is>
      </c>
      <c r="J890" t="inlineStr">
        <is>
          <t>Neutral</t>
        </is>
      </c>
      <c r="K890" t="inlineStr">
        <is>
          <t>Low</t>
        </is>
      </c>
      <c r="L890" t="inlineStr">
        <is>
          <t>Minor Inconvenience</t>
        </is>
      </c>
    </row>
    <row r="891">
      <c r="A891" t="inlineStr">
        <is>
          <t>FB-00890</t>
        </is>
      </c>
      <c r="B891" t="inlineStr">
        <is>
          <t>CUST-0251</t>
        </is>
      </c>
      <c r="C891" t="inlineStr">
        <is>
          <t>2026-05-23</t>
        </is>
      </c>
      <c r="D891" t="inlineStr">
        <is>
          <t>In-App Feedback</t>
        </is>
      </c>
      <c r="E891" t="inlineStr">
        <is>
          <t>Professional</t>
        </is>
      </c>
      <c r="F891" t="inlineStr">
        <is>
          <t>Mid-Market</t>
        </is>
      </c>
      <c r="G891" t="inlineStr">
        <is>
          <t>Lead Management</t>
        </is>
      </c>
      <c r="H891" t="inlineStr">
        <is>
          <t>Usability Issue</t>
        </is>
      </c>
      <c r="I891" t="inlineStr">
        <is>
          <t>We can't combine region and deal size in the lead routing rules. It affects our lead handoff process every cycle.</t>
        </is>
      </c>
      <c r="J891" t="inlineStr">
        <is>
          <t>Neutral</t>
        </is>
      </c>
      <c r="K891" t="inlineStr">
        <is>
          <t>Low</t>
        </is>
      </c>
      <c r="L891" t="inlineStr">
        <is>
          <t>Minor Inconvenience</t>
        </is>
      </c>
    </row>
    <row r="892">
      <c r="A892" t="inlineStr">
        <is>
          <t>FB-00891</t>
        </is>
      </c>
      <c r="B892" t="inlineStr">
        <is>
          <t>CUST-0297</t>
        </is>
      </c>
      <c r="C892" t="inlineStr">
        <is>
          <t>2026-05-24</t>
        </is>
      </c>
      <c r="D892" t="inlineStr">
        <is>
          <t>In-App Feedback</t>
        </is>
      </c>
      <c r="E892" t="inlineStr">
        <is>
          <t>Professional</t>
        </is>
      </c>
      <c r="F892" t="inlineStr">
        <is>
          <t>Mid-Market</t>
        </is>
      </c>
      <c r="G892" t="inlineStr">
        <is>
          <t>Lead Management</t>
        </is>
      </c>
      <c r="H892" t="inlineStr">
        <is>
          <t>Usability Issue</t>
        </is>
      </c>
      <c r="I892" t="inlineStr">
        <is>
          <t>FYI for the product team. We can't combine region and deal size in the round-robin lead assignment. So far 34 people on our side have reported it. Happy to join a feedback call.</t>
        </is>
      </c>
      <c r="J892" t="inlineStr">
        <is>
          <t>Neutral</t>
        </is>
      </c>
      <c r="K892" t="inlineStr">
        <is>
          <t>Medium</t>
        </is>
      </c>
      <c r="L892" t="inlineStr">
        <is>
          <t>Minor Inconvenience</t>
        </is>
      </c>
    </row>
    <row r="893">
      <c r="A893" t="inlineStr">
        <is>
          <t>FB-00892</t>
        </is>
      </c>
      <c r="B893" t="inlineStr">
        <is>
          <t>CUST-0084</t>
        </is>
      </c>
      <c r="C893" t="inlineStr">
        <is>
          <t>2026-05-25</t>
        </is>
      </c>
      <c r="D893" t="inlineStr">
        <is>
          <t>Customer Survey</t>
        </is>
      </c>
      <c r="E893" t="inlineStr">
        <is>
          <t>Enterprise</t>
        </is>
      </c>
      <c r="F893" t="inlineStr">
        <is>
          <t>Enterprise</t>
        </is>
      </c>
      <c r="G893" t="inlineStr">
        <is>
          <t>Integrations</t>
        </is>
      </c>
      <c r="H893" t="inlineStr">
        <is>
          <t>Feature Request</t>
        </is>
      </c>
      <c r="I893" t="inlineStr">
        <is>
          <t>Sharing this from our team. Please add SCIM provisioning; managing users by hand does not scale. We estimate we lose roughly 27 hours a month on this.</t>
        </is>
      </c>
      <c r="J893" t="inlineStr">
        <is>
          <t>Neutral</t>
        </is>
      </c>
      <c r="K893" t="inlineStr">
        <is>
          <t>Medium</t>
        </is>
      </c>
      <c r="L893" t="inlineStr">
        <is>
          <t>Workflow Slowdown</t>
        </is>
      </c>
    </row>
    <row r="894">
      <c r="A894" t="inlineStr">
        <is>
          <t>FB-00893</t>
        </is>
      </c>
      <c r="B894" t="inlineStr">
        <is>
          <t>CUST-0099</t>
        </is>
      </c>
      <c r="C894" t="inlineStr">
        <is>
          <t>2026-05-25</t>
        </is>
      </c>
      <c r="D894" t="inlineStr">
        <is>
          <t>Support Ticket</t>
        </is>
      </c>
      <c r="E894" t="inlineStr">
        <is>
          <t>Starter</t>
        </is>
      </c>
      <c r="F894" t="inlineStr">
        <is>
          <t>Mid-Market</t>
        </is>
      </c>
      <c r="G894" t="inlineStr">
        <is>
          <t>Reporting</t>
        </is>
      </c>
      <c r="H894" t="inlineStr">
        <is>
          <t>Performance Issue</t>
        </is>
      </c>
      <c r="I894" t="inlineStr">
        <is>
          <t>FYI for the product team. Our dashboard loading spins for a minute before showing any chart. Happy to join a feedback call.</t>
        </is>
      </c>
      <c r="J894" t="inlineStr">
        <is>
          <t>Neutral</t>
        </is>
      </c>
      <c r="K894" t="inlineStr">
        <is>
          <t>High</t>
        </is>
      </c>
      <c r="L894" t="inlineStr">
        <is>
          <t>Blocks Key Task</t>
        </is>
      </c>
    </row>
    <row r="895">
      <c r="A895" t="inlineStr">
        <is>
          <t>FB-00894</t>
        </is>
      </c>
      <c r="B895" t="inlineStr">
        <is>
          <t>CUST-0308</t>
        </is>
      </c>
      <c r="C895" t="inlineStr">
        <is>
          <t>2026-05-25</t>
        </is>
      </c>
      <c r="D895" t="inlineStr">
        <is>
          <t>In-App Feedback</t>
        </is>
      </c>
      <c r="E895" t="inlineStr">
        <is>
          <t>Professional</t>
        </is>
      </c>
      <c r="F895" t="inlineStr">
        <is>
          <t>SMB</t>
        </is>
      </c>
      <c r="G895" t="inlineStr">
        <is>
          <t>User Interface</t>
        </is>
      </c>
      <c r="H895" t="inlineStr">
        <is>
          <t>Feature Request</t>
        </is>
      </c>
      <c r="I895" t="inlineStr">
        <is>
          <t>Requesting mobile call logging so reps can log activity right after a meeting. Happy to join a feedback call.</t>
        </is>
      </c>
      <c r="J895" t="inlineStr">
        <is>
          <t>Neutral</t>
        </is>
      </c>
      <c r="K895" t="inlineStr">
        <is>
          <t>Low</t>
        </is>
      </c>
      <c r="L895" t="inlineStr">
        <is>
          <t>Minor Inconvenience</t>
        </is>
      </c>
    </row>
    <row r="896">
      <c r="A896" t="inlineStr">
        <is>
          <t>FB-00895</t>
        </is>
      </c>
      <c r="B896" t="inlineStr">
        <is>
          <t>CUST-0403</t>
        </is>
      </c>
      <c r="C896" t="inlineStr">
        <is>
          <t>2026-05-25</t>
        </is>
      </c>
      <c r="D896" t="inlineStr">
        <is>
          <t>In-App Feedback</t>
        </is>
      </c>
      <c r="E896" t="inlineStr">
        <is>
          <t>Starter</t>
        </is>
      </c>
      <c r="F896" t="inlineStr">
        <is>
          <t>SMB</t>
        </is>
      </c>
      <c r="G896" t="inlineStr">
        <is>
          <t>Lead Management</t>
        </is>
      </c>
      <c r="H896" t="inlineStr">
        <is>
          <t>Bug</t>
        </is>
      </c>
      <c r="I896" t="inlineStr">
        <is>
          <t>Escalating on behalf of our ops lead. After every list import we find lead de-duplication failures that have to be cleaned up by hand.</t>
        </is>
      </c>
      <c r="J896" t="inlineStr">
        <is>
          <t>Negative</t>
        </is>
      </c>
      <c r="K896" t="inlineStr">
        <is>
          <t>Medium</t>
        </is>
      </c>
      <c r="L896" t="inlineStr">
        <is>
          <t>Blocks Key Task</t>
        </is>
      </c>
    </row>
    <row r="897">
      <c r="A897" t="inlineStr">
        <is>
          <t>FB-00896</t>
        </is>
      </c>
      <c r="B897" t="inlineStr">
        <is>
          <t>CUST-0003</t>
        </is>
      </c>
      <c r="C897" t="inlineStr">
        <is>
          <t>2026-05-25</t>
        </is>
      </c>
      <c r="D897" t="inlineStr">
        <is>
          <t>feature request</t>
        </is>
      </c>
      <c r="E897" t="inlineStr">
        <is>
          <t>Starter</t>
        </is>
      </c>
      <c r="F897" t="inlineStr">
        <is>
          <t>Mid-Market</t>
        </is>
      </c>
      <c r="G897" t="inlineStr">
        <is>
          <t>User Interface</t>
        </is>
      </c>
      <c r="H897" t="inlineStr">
        <is>
          <t>Feature Request</t>
        </is>
      </c>
      <c r="I897" t="inlineStr">
        <is>
          <t>Quick note from our admin. Requesting mobile call logging so reps can log activity right after a meeting. Our sales manager flagged it while onboarding 56 new users.</t>
        </is>
      </c>
      <c r="J897" t="inlineStr">
        <is>
          <t>Neutral</t>
        </is>
      </c>
      <c r="K897" t="inlineStr">
        <is>
          <t>Low</t>
        </is>
      </c>
      <c r="L897" t="inlineStr">
        <is>
          <t>Minor Inconvenience</t>
        </is>
      </c>
    </row>
    <row r="898">
      <c r="A898" t="inlineStr">
        <is>
          <t>FB-00897</t>
        </is>
      </c>
      <c r="B898" t="inlineStr">
        <is>
          <t>CUST-0203</t>
        </is>
      </c>
      <c r="C898" t="inlineStr">
        <is>
          <t>2026-05-26</t>
        </is>
      </c>
      <c r="D898" t="inlineStr">
        <is>
          <t>Feature Request</t>
        </is>
      </c>
      <c r="E898" t="inlineStr">
        <is>
          <t>Professional</t>
        </is>
      </c>
      <c r="F898" t="inlineStr">
        <is>
          <t>Mid-Market</t>
        </is>
      </c>
      <c r="G898" t="inlineStr">
        <is>
          <t>Contact Management</t>
        </is>
      </c>
      <c r="H898" t="inlineStr">
        <is>
          <t>Feature Request</t>
        </is>
      </c>
      <c r="I898" t="inlineStr">
        <is>
          <t>Noting this during onboarding. A bulk contact merge that keeps activity history would save our ops team hours. Happy to join a feedback call.</t>
        </is>
      </c>
      <c r="J898" t="inlineStr">
        <is>
          <t>Neutral</t>
        </is>
      </c>
      <c r="K898" t="inlineStr">
        <is>
          <t>Low</t>
        </is>
      </c>
      <c r="L898" t="inlineStr">
        <is>
          <t>Blocks Key Task</t>
        </is>
      </c>
    </row>
    <row r="899">
      <c r="A899" t="inlineStr">
        <is>
          <t>FB-00898</t>
        </is>
      </c>
      <c r="B899" t="inlineStr">
        <is>
          <t>CUST-0054</t>
        </is>
      </c>
      <c r="C899" t="inlineStr">
        <is>
          <t>2026-05-26</t>
        </is>
      </c>
      <c r="D899" t="inlineStr">
        <is>
          <t>Customer Survey</t>
        </is>
      </c>
      <c r="E899" t="inlineStr">
        <is>
          <t>Enterprise</t>
        </is>
      </c>
      <c r="F899" t="inlineStr">
        <is>
          <t>Enterprise</t>
        </is>
      </c>
      <c r="G899" t="inlineStr">
        <is>
          <t>Reporting</t>
        </is>
      </c>
      <c r="H899" t="inlineStr">
        <is>
          <t>Feature Request</t>
        </is>
      </c>
      <c r="I899" t="inlineStr">
        <is>
          <t>Noting this during onboarding. We need scheduled report emails so non-technical managers can create their own views. We estimate we lose roughly 3 hours a month on this.</t>
        </is>
      </c>
      <c r="J899" t="inlineStr">
        <is>
          <t>Neutral</t>
        </is>
      </c>
      <c r="K899" t="inlineStr">
        <is>
          <t>Medium</t>
        </is>
      </c>
      <c r="L899" t="inlineStr">
        <is>
          <t>Blocks Key Task</t>
        </is>
      </c>
    </row>
    <row r="900">
      <c r="A900" t="inlineStr">
        <is>
          <t>FB-00899</t>
        </is>
      </c>
      <c r="B900" t="inlineStr">
        <is>
          <t>CUST-0263</t>
        </is>
      </c>
      <c r="C900" t="inlineStr">
        <is>
          <t>2026-05-26</t>
        </is>
      </c>
      <c r="D900" t="inlineStr">
        <is>
          <t>Customer Survey</t>
        </is>
      </c>
      <c r="E900" t="inlineStr">
        <is>
          <t>Professional</t>
        </is>
      </c>
      <c r="F900" t="inlineStr">
        <is>
          <t>Mid-Market</t>
        </is>
      </c>
      <c r="G900" t="inlineStr">
        <is>
          <t>Reporting</t>
        </is>
      </c>
      <c r="H900" t="inlineStr">
        <is>
          <t>Performance Issue</t>
        </is>
      </c>
      <c r="I900" t="inlineStr">
        <is>
          <t>Our team keeps running into this. Execs gave up on the report load time and ask for screenshots instead. Please look into it soon.</t>
        </is>
      </c>
      <c r="J900" t="inlineStr">
        <is>
          <t>Negative</t>
        </is>
      </c>
      <c r="K900" t="inlineStr">
        <is>
          <t>High</t>
        </is>
      </c>
      <c r="L900" t="inlineStr">
        <is>
          <t>Workflow Slowdown</t>
        </is>
      </c>
    </row>
    <row r="901">
      <c r="A901" t="inlineStr">
        <is>
          <t>FB-00900</t>
        </is>
      </c>
      <c r="B901" t="inlineStr">
        <is>
          <t>CUST-0295</t>
        </is>
      </c>
      <c r="C901" t="inlineStr">
        <is>
          <t>2026-05-26</t>
        </is>
      </c>
      <c r="D901" t="inlineStr">
        <is>
          <t>Customer Survey</t>
        </is>
      </c>
      <c r="E901" t="inlineStr">
        <is>
          <t>Starter</t>
        </is>
      </c>
      <c r="F901" t="inlineStr">
        <is>
          <t>SMB</t>
        </is>
      </c>
      <c r="G901" t="inlineStr">
        <is>
          <t>Lead Management</t>
        </is>
      </c>
      <c r="H901" t="inlineStr">
        <is>
          <t>Bug</t>
        </is>
      </c>
      <c r="I901" t="inlineStr">
        <is>
          <t>Not what we expected for the price. There are duplicated leads across our pipeline views and nobody knows which record is the source of truth. We estimate we lose roughly 46 hours a month on this. We need a fix before renewal.</t>
        </is>
      </c>
      <c r="J901" t="inlineStr">
        <is>
          <t>Negative</t>
        </is>
      </c>
      <c r="K901" t="inlineStr">
        <is>
          <t>Low</t>
        </is>
      </c>
      <c r="L901" t="inlineStr">
        <is>
          <t>Workflow Slowdown</t>
        </is>
      </c>
    </row>
    <row r="902">
      <c r="A902" t="inlineStr">
        <is>
          <t>FB-00901</t>
        </is>
      </c>
      <c r="B902" t="inlineStr">
        <is>
          <t>CUST-0314</t>
        </is>
      </c>
      <c r="C902" t="inlineStr">
        <is>
          <t>2026-05-26</t>
        </is>
      </c>
      <c r="D902" t="inlineStr">
        <is>
          <t>Feature Request</t>
        </is>
      </c>
      <c r="E902" t="inlineStr">
        <is>
          <t>Enterprise</t>
        </is>
      </c>
      <c r="F902" t="inlineStr">
        <is>
          <t>Mid-Market</t>
        </is>
      </c>
      <c r="G902" t="inlineStr">
        <is>
          <t>Integrations</t>
        </is>
      </c>
      <c r="H902" t="inlineStr">
        <is>
          <t>Feature Request</t>
        </is>
      </c>
      <c r="I902" t="inlineStr">
        <is>
          <t>Feedback from our monthly review. Requesting SSO support for our compliance audit. We estimate we lose roughly 4 hours a month on this. Let us know if you need examples.</t>
        </is>
      </c>
      <c r="J902" t="inlineStr">
        <is>
          <t>Neutral</t>
        </is>
      </c>
      <c r="K902" t="inlineStr">
        <is>
          <t>Low</t>
        </is>
      </c>
      <c r="L902" t="inlineStr">
        <is>
          <t>Minor Inconvenience</t>
        </is>
      </c>
    </row>
    <row r="903">
      <c r="A903" t="inlineStr">
        <is>
          <t>FB-00902</t>
        </is>
      </c>
      <c r="B903" t="inlineStr">
        <is>
          <t>CUST-0108</t>
        </is>
      </c>
      <c r="C903" t="inlineStr">
        <is>
          <t>2026-05-26</t>
        </is>
      </c>
      <c r="D903" t="inlineStr">
        <is>
          <t>In-App Feedback</t>
        </is>
      </c>
      <c r="E903" t="inlineStr">
        <is>
          <t>Enterprise</t>
        </is>
      </c>
      <c r="F903" t="inlineStr">
        <is>
          <t>Mid-Market</t>
        </is>
      </c>
      <c r="G903" t="inlineStr">
        <is>
          <t>Reporting</t>
        </is>
      </c>
      <c r="H903" t="inlineStr">
        <is>
          <t>Feature Request</t>
        </is>
      </c>
      <c r="I903" t="inlineStr">
        <is>
          <t>We need sales forecasting by team and region for quarterly planning. We estimate we lose roughly 23 hours a month on this.</t>
        </is>
      </c>
      <c r="J903" t="inlineStr">
        <is>
          <t>Negative</t>
        </is>
      </c>
      <c r="K903" t="inlineStr">
        <is>
          <t>Low</t>
        </is>
      </c>
      <c r="L903" t="inlineStr">
        <is>
          <t>Minor Inconvenience</t>
        </is>
      </c>
    </row>
    <row r="904">
      <c r="A904" t="inlineStr">
        <is>
          <t>FB-00903</t>
        </is>
      </c>
      <c r="B904" t="inlineStr">
        <is>
          <t>CUST-0317</t>
        </is>
      </c>
      <c r="C904" t="inlineStr">
        <is>
          <t>2026-05-27</t>
        </is>
      </c>
      <c r="D904" t="inlineStr">
        <is>
          <t>Feature Request</t>
        </is>
      </c>
      <c r="E904" t="inlineStr">
        <is>
          <t>Starter</t>
        </is>
      </c>
      <c r="F904" t="inlineStr">
        <is>
          <t>SMB</t>
        </is>
      </c>
      <c r="G904" t="inlineStr">
        <is>
          <t>Lead Management</t>
        </is>
      </c>
      <c r="H904" t="inlineStr">
        <is>
          <t>Feature Request</t>
        </is>
      </c>
      <c r="I904" t="inlineStr">
        <is>
          <t>Would love to see automated lead scoring that marketing and sales can both tune. So far 74 people on our side have reported it. Thanks to the team.</t>
        </is>
      </c>
      <c r="J904" t="inlineStr">
        <is>
          <t>Positive</t>
        </is>
      </c>
      <c r="K904" t="inlineStr">
        <is>
          <t>Medium</t>
        </is>
      </c>
      <c r="L904" t="inlineStr">
        <is>
          <t>Workflow Slowdown</t>
        </is>
      </c>
    </row>
    <row r="905">
      <c r="A905" t="inlineStr">
        <is>
          <t>FB-00904</t>
        </is>
      </c>
      <c r="B905" t="inlineStr">
        <is>
          <t>CUST-0339</t>
        </is>
      </c>
      <c r="C905" t="inlineStr">
        <is>
          <t>2026-05-27</t>
        </is>
      </c>
      <c r="D905" t="inlineStr">
        <is>
          <t>Customer Survey</t>
        </is>
      </c>
      <c r="E905" t="inlineStr">
        <is>
          <t>Professional</t>
        </is>
      </c>
      <c r="F905" t="inlineStr">
        <is>
          <t>Mid-Market</t>
        </is>
      </c>
      <c r="G905" t="inlineStr">
        <is>
          <t>Lead Management</t>
        </is>
      </c>
      <c r="H905" t="inlineStr">
        <is>
          <t>Feature Request</t>
        </is>
      </c>
      <c r="I905" t="inlineStr">
        <is>
          <t>Noting this during onboarding. We need lead scoring rules so reps can focus on the prospects most likely to close.</t>
        </is>
      </c>
      <c r="J905" t="inlineStr">
        <is>
          <t>Neutral</t>
        </is>
      </c>
      <c r="K905" t="inlineStr">
        <is>
          <t>Medium</t>
        </is>
      </c>
      <c r="L905" t="inlineStr">
        <is>
          <t>Blocks Key Task</t>
        </is>
      </c>
    </row>
    <row r="906">
      <c r="A906" t="inlineStr">
        <is>
          <t>FB-00905</t>
        </is>
      </c>
      <c r="B906" t="inlineStr">
        <is>
          <t>CUST-0108</t>
        </is>
      </c>
      <c r="C906" t="inlineStr">
        <is>
          <t>2026-05-27</t>
        </is>
      </c>
      <c r="D906" t="inlineStr">
        <is>
          <t>Feature Request</t>
        </is>
      </c>
      <c r="E906" t="inlineStr">
        <is>
          <t>Enterprise</t>
        </is>
      </c>
      <c r="F906" t="inlineStr">
        <is>
          <t>Mid-Market</t>
        </is>
      </c>
      <c r="G906" t="inlineStr">
        <is>
          <t>Workflow Automation</t>
        </is>
      </c>
      <c r="H906" t="inlineStr">
        <is>
          <t>Feature Request</t>
        </is>
      </c>
      <c r="I906" t="inlineStr">
        <is>
          <t>Our team keeps running into this. Requesting a discount approval flow; today approvals happen over chat. It affects our quarterly planning process every cycle. Please look into it soon.</t>
        </is>
      </c>
      <c r="J906" t="inlineStr">
        <is>
          <t>Negative</t>
        </is>
      </c>
      <c r="K906" t="inlineStr">
        <is>
          <t>Low</t>
        </is>
      </c>
      <c r="L906" t="inlineStr">
        <is>
          <t>Minor Inconvenience</t>
        </is>
      </c>
    </row>
    <row r="907">
      <c r="A907" t="inlineStr">
        <is>
          <t>FB-00906</t>
        </is>
      </c>
      <c r="B907" t="inlineStr">
        <is>
          <t>CUST-0349</t>
        </is>
      </c>
      <c r="C907" t="inlineStr">
        <is>
          <t>2026-05-28</t>
        </is>
      </c>
      <c r="D907" t="inlineStr">
        <is>
          <t>Customer Survey</t>
        </is>
      </c>
      <c r="E907" t="inlineStr">
        <is>
          <t>Professional</t>
        </is>
      </c>
      <c r="F907" t="inlineStr">
        <is>
          <t>Mid-Market</t>
        </is>
      </c>
      <c r="G907" t="inlineStr">
        <is>
          <t>Workflow Automation</t>
        </is>
      </c>
      <c r="H907" t="inlineStr">
        <is>
          <t>Usability Issue</t>
        </is>
      </c>
      <c r="I907" t="inlineStr">
        <is>
          <t>Not what we expected for the price. The workflow editor doesn't let us copy steps between flows. So far 73 people on our side have reported it. Support suggested logging it here.</t>
        </is>
      </c>
      <c r="J907" t="inlineStr">
        <is>
          <t>Negative</t>
        </is>
      </c>
      <c r="K907" t="inlineStr">
        <is>
          <t>High</t>
        </is>
      </c>
      <c r="L907" t="inlineStr">
        <is>
          <t>Revenue/Operations Risk</t>
        </is>
      </c>
    </row>
    <row r="908">
      <c r="A908" t="inlineStr">
        <is>
          <t>FB-00907</t>
        </is>
      </c>
      <c r="B908" t="inlineStr">
        <is>
          <t>CUST-0109</t>
        </is>
      </c>
      <c r="C908" t="inlineStr">
        <is>
          <t>2026-05-28</t>
        </is>
      </c>
      <c r="D908" t="inlineStr">
        <is>
          <t>Customer Survey</t>
        </is>
      </c>
      <c r="E908" t="inlineStr">
        <is>
          <t>Enterprise</t>
        </is>
      </c>
      <c r="F908" t="inlineStr">
        <is>
          <t>Enterprise</t>
        </is>
      </c>
      <c r="G908" t="inlineStr">
        <is>
          <t>Workflow Automation</t>
        </is>
      </c>
      <c r="H908" t="inlineStr">
        <is>
          <t>Feature Request</t>
        </is>
      </c>
      <c r="I908" t="inlineStr">
        <is>
          <t>Requesting multi-level approvals; today approvals happen over chat. Happy to join a feedback call.</t>
        </is>
      </c>
      <c r="J908" t="inlineStr">
        <is>
          <t>Neutral</t>
        </is>
      </c>
      <c r="K908" t="inlineStr">
        <is>
          <t>Medium</t>
        </is>
      </c>
      <c r="L908" t="inlineStr">
        <is>
          <t>Workflow Slowdown</t>
        </is>
      </c>
    </row>
    <row r="909">
      <c r="A909" t="inlineStr">
        <is>
          <t>FB-00908</t>
        </is>
      </c>
      <c r="B909" t="inlineStr">
        <is>
          <t>CUST-0300</t>
        </is>
      </c>
      <c r="C909" t="inlineStr">
        <is>
          <t>2026-05-28</t>
        </is>
      </c>
      <c r="D909" t="inlineStr">
        <is>
          <t>Customer Survey</t>
        </is>
      </c>
      <c r="E909" t="inlineStr">
        <is>
          <t>Professional</t>
        </is>
      </c>
      <c r="F909" t="inlineStr">
        <is>
          <t>Mid-Market</t>
        </is>
      </c>
      <c r="G909" t="inlineStr">
        <is>
          <t>Reporting</t>
        </is>
      </c>
      <c r="H909" t="inlineStr">
        <is>
          <t>Feature Request</t>
        </is>
      </c>
      <c r="I909" t="inlineStr">
        <is>
          <t>Without report scheduling we export raw data and rebuild everything elsewhere. We estimate we lose roughly 18 hours a month on this.</t>
        </is>
      </c>
      <c r="J909" t="inlineStr">
        <is>
          <t>Positive</t>
        </is>
      </c>
      <c r="K909" t="inlineStr">
        <is>
          <t>Medium</t>
        </is>
      </c>
      <c r="L909" t="inlineStr">
        <is>
          <t>Minor Inconvenience</t>
        </is>
      </c>
    </row>
    <row r="910">
      <c r="A910" t="inlineStr">
        <is>
          <t>FB-00909</t>
        </is>
      </c>
      <c r="B910" t="inlineStr">
        <is>
          <t>CUST-0353</t>
        </is>
      </c>
      <c r="C910" t="inlineStr">
        <is>
          <t>2026-05-28</t>
        </is>
      </c>
      <c r="D910" t="inlineStr">
        <is>
          <t>In-App Feedback</t>
        </is>
      </c>
      <c r="E910" t="inlineStr">
        <is>
          <t>Starter</t>
        </is>
      </c>
      <c r="F910" t="inlineStr">
        <is>
          <t>SMB</t>
        </is>
      </c>
      <c r="G910" t="inlineStr">
        <is>
          <t>User Interface</t>
        </is>
      </c>
      <c r="H910" t="inlineStr">
        <is>
          <t>Performance Issue</t>
        </is>
      </c>
      <c r="I910" t="inlineStr">
        <is>
          <t>Our team keeps running into this. Page lag makes data entry frustrating during live calls. We estimate we lose roughly 52 hours a month on this.</t>
        </is>
      </c>
      <c r="J910" t="inlineStr">
        <is>
          <t>Negative</t>
        </is>
      </c>
      <c r="K910" t="inlineStr">
        <is>
          <t>Medium</t>
        </is>
      </c>
      <c r="L910" t="inlineStr">
        <is>
          <t>Workflow Slowdown</t>
        </is>
      </c>
    </row>
    <row r="911">
      <c r="A911" t="inlineStr">
        <is>
          <t>FB-00910</t>
        </is>
      </c>
      <c r="B911" t="inlineStr">
        <is>
          <t>CUST-0032</t>
        </is>
      </c>
      <c r="C911" t="inlineStr">
        <is>
          <t>2026-05-28</t>
        </is>
      </c>
      <c r="D911" t="inlineStr">
        <is>
          <t>In-App Feedback</t>
        </is>
      </c>
      <c r="E911" t="inlineStr">
        <is>
          <t>Starter</t>
        </is>
      </c>
      <c r="F911" t="inlineStr">
        <is>
          <t>SMB</t>
        </is>
      </c>
      <c r="G911" t="inlineStr">
        <is>
          <t>User Interface</t>
        </is>
      </c>
      <c r="H911" t="inlineStr">
        <is>
          <t>Performance Issue</t>
        </is>
      </c>
      <c r="I911" t="inlineStr">
        <is>
          <t>Escalating on behalf of our ops lead. The slow page transitions gets worse in the afternoon.</t>
        </is>
      </c>
      <c r="J911" t="inlineStr">
        <is>
          <t xml:space="preserve">Negative </t>
        </is>
      </c>
      <c r="K911" t="inlineStr">
        <is>
          <t>Medium</t>
        </is>
      </c>
      <c r="L911" t="inlineStr">
        <is>
          <t>Workflow Slowdown</t>
        </is>
      </c>
    </row>
    <row r="912">
      <c r="A912" t="inlineStr">
        <is>
          <t>FB-00911</t>
        </is>
      </c>
      <c r="B912" t="inlineStr">
        <is>
          <t>CUST-0003</t>
        </is>
      </c>
      <c r="C912" t="inlineStr">
        <is>
          <t>2026-05-29</t>
        </is>
      </c>
      <c r="D912" t="inlineStr">
        <is>
          <t>In-App Feedback</t>
        </is>
      </c>
      <c r="E912" t="inlineStr">
        <is>
          <t>Starter</t>
        </is>
      </c>
      <c r="F912" t="inlineStr">
        <is>
          <t>Mid-Market</t>
        </is>
      </c>
      <c r="G912" t="inlineStr">
        <is>
          <t>Workflow Automation</t>
        </is>
      </c>
      <c r="H912" t="inlineStr">
        <is>
          <t>Bug</t>
        </is>
      </c>
      <c r="I912" t="inlineStr">
        <is>
          <t>Raising this again after our last business review. We found automation misfires only because a customer complained. Support suggested logging it here.</t>
        </is>
      </c>
      <c r="J912" t="inlineStr">
        <is>
          <t>Negative</t>
        </is>
      </c>
      <c r="K912" t="inlineStr">
        <is>
          <t>Low</t>
        </is>
      </c>
      <c r="L912" t="inlineStr">
        <is>
          <t>Minor Inconvenience</t>
        </is>
      </c>
    </row>
    <row r="913">
      <c r="A913" t="inlineStr">
        <is>
          <t>FB-00912</t>
        </is>
      </c>
      <c r="B913" t="inlineStr">
        <is>
          <t>CUST-0206</t>
        </is>
      </c>
      <c r="C913" t="inlineStr">
        <is>
          <t>2026-05-29</t>
        </is>
      </c>
      <c r="D913" t="inlineStr">
        <is>
          <t>Support Ticket</t>
        </is>
      </c>
      <c r="E913" t="inlineStr">
        <is>
          <t>Professional</t>
        </is>
      </c>
      <c r="F913" t="inlineStr">
        <is>
          <t>Mid-Market</t>
        </is>
      </c>
      <c r="G913" t="inlineStr">
        <is>
          <t>Contact Management</t>
        </is>
      </c>
      <c r="H913" t="inlineStr">
        <is>
          <t>Bug</t>
        </is>
      </c>
      <c r="I913" t="inlineStr">
        <is>
          <t>Our contact CSV import scrambles phone and email columns even after we map them correctly.</t>
        </is>
      </c>
      <c r="J913" t="inlineStr">
        <is>
          <t>Negative</t>
        </is>
      </c>
      <c r="K913" t="inlineStr">
        <is>
          <t>Medium</t>
        </is>
      </c>
      <c r="L913" t="inlineStr">
        <is>
          <t>Blocks Key Task</t>
        </is>
      </c>
    </row>
    <row r="914">
      <c r="A914" t="inlineStr">
        <is>
          <t>FB-00913</t>
        </is>
      </c>
      <c r="B914" t="inlineStr">
        <is>
          <t>CUST-0151</t>
        </is>
      </c>
      <c r="C914" t="inlineStr">
        <is>
          <t>2026-05-29</t>
        </is>
      </c>
      <c r="D914" t="inlineStr">
        <is>
          <t>Customer Survey</t>
        </is>
      </c>
      <c r="E914" t="inlineStr">
        <is>
          <t>Starter</t>
        </is>
      </c>
      <c r="F914" t="inlineStr">
        <is>
          <t>SMB</t>
        </is>
      </c>
      <c r="G914" t="inlineStr">
        <is>
          <t>User Interface</t>
        </is>
      </c>
      <c r="H914" t="inlineStr">
        <is>
          <t>Usability Issue</t>
        </is>
      </c>
      <c r="I914" t="inlineStr">
        <is>
          <t>Escalating on behalf of our ops lead. The page layout is cluttered and I can never find the setting I need. We estimate we lose roughly 53 hours a month on this.</t>
        </is>
      </c>
      <c r="J914" t="inlineStr">
        <is>
          <t>Negative</t>
        </is>
      </c>
      <c r="K914" t="inlineStr">
        <is>
          <t>Medium</t>
        </is>
      </c>
      <c r="L914" t="inlineStr">
        <is>
          <t>Minor Inconvenience</t>
        </is>
      </c>
    </row>
    <row r="915">
      <c r="A915" t="inlineStr">
        <is>
          <t>FB-00914</t>
        </is>
      </c>
      <c r="B915" t="inlineStr">
        <is>
          <t>CUST-0146</t>
        </is>
      </c>
      <c r="C915" t="inlineStr">
        <is>
          <t>2026-05-29</t>
        </is>
      </c>
      <c r="D915" t="inlineStr">
        <is>
          <t>Support Ticket</t>
        </is>
      </c>
      <c r="E915" t="inlineStr">
        <is>
          <t>Starter</t>
        </is>
      </c>
      <c r="F915" t="inlineStr">
        <is>
          <t>SMB</t>
        </is>
      </c>
      <c r="G915" t="inlineStr">
        <is>
          <t>User Interface</t>
        </is>
      </c>
      <c r="H915" t="inlineStr">
        <is>
          <t>Feature Request</t>
        </is>
      </c>
      <c r="I915" t="inlineStr">
        <is>
          <t>Our field reps need mobile call logging to update deals between visits. Keep up the good work.</t>
        </is>
      </c>
      <c r="J915" t="inlineStr">
        <is>
          <t>Positive</t>
        </is>
      </c>
      <c r="K915" t="inlineStr">
        <is>
          <t xml:space="preserve">Low </t>
        </is>
      </c>
      <c r="L915" t="inlineStr">
        <is>
          <t>Minor Inconvenience</t>
        </is>
      </c>
    </row>
    <row r="916">
      <c r="A916" t="inlineStr">
        <is>
          <t>FB-00915</t>
        </is>
      </c>
      <c r="B916" t="inlineStr">
        <is>
          <t>CUST-0215</t>
        </is>
      </c>
      <c r="C916" t="inlineStr">
        <is>
          <t>2026-05-29</t>
        </is>
      </c>
      <c r="D916" t="inlineStr">
        <is>
          <t>Customer Survey</t>
        </is>
      </c>
      <c r="E916" t="inlineStr">
        <is>
          <t>Starter</t>
        </is>
      </c>
      <c r="F916" t="inlineStr">
        <is>
          <t>SMB</t>
        </is>
      </c>
      <c r="G916" t="inlineStr">
        <is>
          <t>Workflow Automation</t>
        </is>
      </c>
      <c r="H916" t="inlineStr">
        <is>
          <t>Usability Issue</t>
        </is>
      </c>
      <c r="I916" t="inlineStr">
        <is>
          <t>Quick note from our admin. The workflow editor is hard to follow once a flow has more than a handful of steps. We estimate we lose roughly 46 hours a month on this.</t>
        </is>
      </c>
      <c r="J916" t="inlineStr">
        <is>
          <t>Neutral</t>
        </is>
      </c>
      <c r="K916" t="inlineStr">
        <is>
          <t>Medium</t>
        </is>
      </c>
      <c r="L916" t="inlineStr">
        <is>
          <t>Blocks Key Task</t>
        </is>
      </c>
    </row>
    <row r="917">
      <c r="A917" t="inlineStr">
        <is>
          <t>FB-00916</t>
        </is>
      </c>
      <c r="B917" t="inlineStr">
        <is>
          <t>CUST-0067</t>
        </is>
      </c>
      <c r="C917" t="inlineStr">
        <is>
          <t>2026-05-29</t>
        </is>
      </c>
      <c r="D917" t="inlineStr">
        <is>
          <t>Support Ticket</t>
        </is>
      </c>
      <c r="E917" t="inlineStr">
        <is>
          <t>Professional</t>
        </is>
      </c>
      <c r="F917" t="inlineStr">
        <is>
          <t>Mid-Market</t>
        </is>
      </c>
      <c r="G917" t="inlineStr">
        <is>
          <t>Lead Management</t>
        </is>
      </c>
      <c r="H917" t="inlineStr">
        <is>
          <t>Feature Request</t>
        </is>
      </c>
      <c r="I917" t="inlineStr">
        <is>
          <t>Sharing this from our team. Right now reps rank leads by gut feel; a lead score model would fix that. It affects our weekly pipeline review process every cycle.</t>
        </is>
      </c>
      <c r="J917" t="inlineStr">
        <is>
          <t>Neutral</t>
        </is>
      </c>
      <c r="K917" t="inlineStr">
        <is>
          <t>Medium</t>
        </is>
      </c>
      <c r="L917" t="inlineStr">
        <is>
          <t>Workflow Slowdown</t>
        </is>
      </c>
    </row>
    <row r="918">
      <c r="A918" t="inlineStr">
        <is>
          <t>FB-00917</t>
        </is>
      </c>
      <c r="B918" t="inlineStr">
        <is>
          <t>CUST-0004</t>
        </is>
      </c>
      <c r="C918" t="inlineStr">
        <is>
          <t>2026-05-29</t>
        </is>
      </c>
      <c r="D918" t="inlineStr">
        <is>
          <t>Customer Survey</t>
        </is>
      </c>
      <c r="E918" t="inlineStr">
        <is>
          <t>Starter</t>
        </is>
      </c>
      <c r="F918" t="inlineStr">
        <is>
          <t>SMB</t>
        </is>
      </c>
      <c r="G918" t="inlineStr">
        <is>
          <t>Lead Management</t>
        </is>
      </c>
      <c r="H918" t="inlineStr">
        <is>
          <t>Usability Issue</t>
        </is>
      </c>
      <c r="I918" t="inlineStr">
        <is>
          <t>Feedback from our monthly review. The lead assignment settings are confusing and new leads sometimes sit unassigned over weekends. We estimate we lose roughly 20 hours a month on this.</t>
        </is>
      </c>
      <c r="J918" t="inlineStr">
        <is>
          <t>Neutral</t>
        </is>
      </c>
      <c r="K918" t="inlineStr">
        <is>
          <t>Medium</t>
        </is>
      </c>
      <c r="L918" t="inlineStr">
        <is>
          <t>Minor Inconvenience</t>
        </is>
      </c>
    </row>
    <row r="919">
      <c r="A919" t="inlineStr">
        <is>
          <t>FB-00918</t>
        </is>
      </c>
      <c r="B919" t="inlineStr">
        <is>
          <t>CUST-0030</t>
        </is>
      </c>
      <c r="C919" t="inlineStr">
        <is>
          <t>2026-05-30</t>
        </is>
      </c>
      <c r="D919" t="inlineStr">
        <is>
          <t>In-App Feedback</t>
        </is>
      </c>
      <c r="E919" t="inlineStr">
        <is>
          <t>Professional</t>
        </is>
      </c>
      <c r="F919" t="inlineStr">
        <is>
          <t>Mid-Market</t>
        </is>
      </c>
      <c r="G919" t="inlineStr">
        <is>
          <t>Contact Management</t>
        </is>
      </c>
      <c r="H919" t="inlineStr">
        <is>
          <t>Performance Issue</t>
        </is>
      </c>
      <c r="I919" t="inlineStr">
        <is>
          <t>Our team keeps running into this. We avoid contact search during calls because it takes too long. We need a fix before renewal.</t>
        </is>
      </c>
      <c r="J919" t="inlineStr">
        <is>
          <t>Negative</t>
        </is>
      </c>
      <c r="K919" t="inlineStr">
        <is>
          <t>Low</t>
        </is>
      </c>
      <c r="L919" t="inlineStr">
        <is>
          <t>Minor Inconvenience</t>
        </is>
      </c>
    </row>
    <row r="920">
      <c r="A920" t="inlineStr">
        <is>
          <t>FB-00919</t>
        </is>
      </c>
      <c r="B920" t="inlineStr">
        <is>
          <t>CUST-0221</t>
        </is>
      </c>
      <c r="C920" t="inlineStr">
        <is>
          <t>2026-05-30</t>
        </is>
      </c>
      <c r="D920" t="inlineStr">
        <is>
          <t>Feature Request</t>
        </is>
      </c>
      <c r="E920" t="inlineStr">
        <is>
          <t>Professional</t>
        </is>
      </c>
      <c r="F920" t="inlineStr">
        <is>
          <t>SMB</t>
        </is>
      </c>
      <c r="G920" t="inlineStr">
        <is>
          <t>User Interface</t>
        </is>
      </c>
      <c r="H920" t="inlineStr">
        <is>
          <t>Feature Request</t>
        </is>
      </c>
      <c r="I920" t="inlineStr">
        <is>
          <t>We lose notes whenever reps are away from a desk without offline mobile access. Our customer success lead flagged it while onboarding 14 new users.</t>
        </is>
      </c>
      <c r="J920" t="inlineStr">
        <is>
          <t>Neutral</t>
        </is>
      </c>
      <c r="K920" t="inlineStr">
        <is>
          <t>Low</t>
        </is>
      </c>
      <c r="L920" t="inlineStr">
        <is>
          <t>Minor Inconvenience</t>
        </is>
      </c>
    </row>
    <row r="921">
      <c r="A921" t="inlineStr">
        <is>
          <t>FB-00920</t>
        </is>
      </c>
      <c r="B921" t="inlineStr">
        <is>
          <t>CUST-0117</t>
        </is>
      </c>
      <c r="C921" t="inlineStr">
        <is>
          <t>2026-05-30</t>
        </is>
      </c>
      <c r="D921" t="inlineStr">
        <is>
          <t>Support Ticket</t>
        </is>
      </c>
      <c r="E921" t="inlineStr">
        <is>
          <t>Professional</t>
        </is>
      </c>
      <c r="F921" t="inlineStr">
        <is>
          <t>Mid-Market</t>
        </is>
      </c>
      <c r="G921" t="inlineStr">
        <is>
          <t>Integrations</t>
        </is>
      </c>
      <c r="H921" t="inlineStr">
        <is>
          <t>Integration Issue</t>
        </is>
      </c>
      <c r="I921" t="inlineStr">
        <is>
          <t>API timeouts is unreliable and there is no retry or log we can inspect. It happens about 5 times a week for our team of 41. Please look into it soon.</t>
        </is>
      </c>
      <c r="J921" t="inlineStr">
        <is>
          <t>Negative</t>
        </is>
      </c>
      <c r="K921" t="inlineStr">
        <is>
          <t>High</t>
        </is>
      </c>
      <c r="L921" t="inlineStr">
        <is>
          <t>Blocks Key Task</t>
        </is>
      </c>
    </row>
    <row r="922">
      <c r="A922" t="inlineStr">
        <is>
          <t>FB-00921</t>
        </is>
      </c>
      <c r="B922" t="inlineStr">
        <is>
          <t>CUST-0181</t>
        </is>
      </c>
      <c r="C922" t="inlineStr">
        <is>
          <t>2026-05-31</t>
        </is>
      </c>
      <c r="D922" t="inlineStr">
        <is>
          <t>Feature Request</t>
        </is>
      </c>
      <c r="E922" t="inlineStr">
        <is>
          <t>Starter</t>
        </is>
      </c>
      <c r="F922" t="inlineStr">
        <is>
          <t>SMB</t>
        </is>
      </c>
      <c r="G922" t="inlineStr">
        <is>
          <t>Lead Management</t>
        </is>
      </c>
      <c r="H922" t="inlineStr">
        <is>
          <t>Usability Issue</t>
        </is>
      </c>
      <c r="I922" t="inlineStr">
        <is>
          <t>This has been a recurring problem for us. We can't combine region and deal size in the lead routing rules. It affects our weekly pipeline review process every cycle. We need a fix before renewal.</t>
        </is>
      </c>
      <c r="J922" t="inlineStr">
        <is>
          <t>Negative</t>
        </is>
      </c>
      <c r="K922" t="inlineStr">
        <is>
          <t>Low</t>
        </is>
      </c>
      <c r="L922" t="inlineStr">
        <is>
          <t>Workflow Slowdown</t>
        </is>
      </c>
    </row>
    <row r="923">
      <c r="A923" t="inlineStr">
        <is>
          <t>FB-00922</t>
        </is>
      </c>
      <c r="B923" t="inlineStr">
        <is>
          <t>CUST-0051</t>
        </is>
      </c>
      <c r="C923" t="inlineStr">
        <is>
          <t>2026-05-31</t>
        </is>
      </c>
      <c r="D923" t="inlineStr">
        <is>
          <t>Feature Request</t>
        </is>
      </c>
      <c r="E923" t="inlineStr">
        <is>
          <t>Enterprise</t>
        </is>
      </c>
      <c r="F923" t="inlineStr">
        <is>
          <t>Enterprise</t>
        </is>
      </c>
      <c r="G923" t="inlineStr">
        <is>
          <t>Workflow Automation</t>
        </is>
      </c>
      <c r="H923" t="inlineStr">
        <is>
          <t>Feature Request</t>
        </is>
      </c>
      <c r="I923" t="inlineStr">
        <is>
          <t>Frustrated with this one. Competitors ship prebuilt automations; we are rebuilding the same flows from scratch. It affects our quarterly planning process every cycle. Please look into it soon.</t>
        </is>
      </c>
      <c r="J923" t="inlineStr">
        <is>
          <t>Negative</t>
        </is>
      </c>
      <c r="K923" t="inlineStr">
        <is>
          <t xml:space="preserve"> Low</t>
        </is>
      </c>
      <c r="L923" t="inlineStr">
        <is>
          <t>Minor Inconvenience</t>
        </is>
      </c>
    </row>
    <row r="924">
      <c r="A924" t="inlineStr">
        <is>
          <t>FB-00923</t>
        </is>
      </c>
      <c r="B924" t="inlineStr">
        <is>
          <t>CUST-0152</t>
        </is>
      </c>
      <c r="C924" t="inlineStr">
        <is>
          <t>2026-06-01</t>
        </is>
      </c>
      <c r="D924" t="inlineStr">
        <is>
          <t>Customer Survey</t>
        </is>
      </c>
      <c r="E924" t="inlineStr">
        <is>
          <t>Enterprise</t>
        </is>
      </c>
      <c r="F924" t="inlineStr">
        <is>
          <t>Enterprise</t>
        </is>
      </c>
      <c r="G924" t="inlineStr">
        <is>
          <t>Integrations</t>
        </is>
      </c>
      <c r="H924" t="inlineStr">
        <is>
          <t>Feature Request</t>
        </is>
      </c>
      <c r="I924" t="inlineStr">
        <is>
          <t>Quick note from our admin. Our security team requires SSO support before we can expand seats. It happens about 7 times a week for our team of 59.</t>
        </is>
      </c>
      <c r="J924" t="inlineStr">
        <is>
          <t>Neutral</t>
        </is>
      </c>
      <c r="K924" t="inlineStr">
        <is>
          <t>Low</t>
        </is>
      </c>
      <c r="L924" t="inlineStr">
        <is>
          <t>Minor Inconvenience</t>
        </is>
      </c>
    </row>
    <row r="925">
      <c r="A925" t="inlineStr">
        <is>
          <t>FB-00924</t>
        </is>
      </c>
      <c r="B925" t="inlineStr">
        <is>
          <t>CUST-0308</t>
        </is>
      </c>
      <c r="C925" t="inlineStr">
        <is>
          <t>2026-06-01</t>
        </is>
      </c>
      <c r="D925" t="inlineStr">
        <is>
          <t>Feature Request</t>
        </is>
      </c>
      <c r="E925" t="inlineStr">
        <is>
          <t>Professional</t>
        </is>
      </c>
      <c r="F925" t="inlineStr">
        <is>
          <t>SMB</t>
        </is>
      </c>
      <c r="G925" t="inlineStr">
        <is>
          <t xml:space="preserve">Reporting </t>
        </is>
      </c>
      <c r="H925" t="inlineStr">
        <is>
          <t>Feature Request</t>
        </is>
      </c>
      <c r="I925" t="inlineStr">
        <is>
          <t>We need scheduled report emails so non-technical managers can create their own views.</t>
        </is>
      </c>
      <c r="J925" t="inlineStr">
        <is>
          <t>Neutral</t>
        </is>
      </c>
      <c r="K925" t="inlineStr">
        <is>
          <t>Medium</t>
        </is>
      </c>
      <c r="L925" t="inlineStr">
        <is>
          <t>Revenue/Operations Risk</t>
        </is>
      </c>
    </row>
    <row r="926">
      <c r="A926" t="inlineStr">
        <is>
          <t>FB-00925</t>
        </is>
      </c>
      <c r="B926" t="inlineStr">
        <is>
          <t>CUST-0227</t>
        </is>
      </c>
      <c r="C926" t="inlineStr">
        <is>
          <t>2026-06-01</t>
        </is>
      </c>
      <c r="D926" t="inlineStr">
        <is>
          <t>In-App Feedback</t>
        </is>
      </c>
      <c r="E926" t="inlineStr">
        <is>
          <t>Enterprise</t>
        </is>
      </c>
      <c r="F926" t="inlineStr">
        <is>
          <t>Enterprise</t>
        </is>
      </c>
      <c r="G926" t="inlineStr">
        <is>
          <t>Workflow Automation</t>
        </is>
      </c>
      <c r="H926" t="inlineStr">
        <is>
          <t>Bug</t>
        </is>
      </c>
      <c r="I926" t="inlineStr">
        <is>
          <t>This has been a recurring problem for us. We found workflow failures only because a customer complained. We need a fix before renewal.</t>
        </is>
      </c>
      <c r="J926" t="inlineStr">
        <is>
          <t>Negative</t>
        </is>
      </c>
      <c r="K926" t="inlineStr">
        <is>
          <t>Low</t>
        </is>
      </c>
      <c r="L926" t="inlineStr">
        <is>
          <t>Minor Inconvenience</t>
        </is>
      </c>
    </row>
    <row r="927">
      <c r="A927" t="inlineStr">
        <is>
          <t>FB-00926</t>
        </is>
      </c>
      <c r="B927" t="inlineStr">
        <is>
          <t>CUST-0201</t>
        </is>
      </c>
      <c r="C927" t="inlineStr">
        <is>
          <t>2026-06-02</t>
        </is>
      </c>
      <c r="D927" t="inlineStr">
        <is>
          <t>Feature Request</t>
        </is>
      </c>
      <c r="E927" t="inlineStr">
        <is>
          <t>Starter</t>
        </is>
      </c>
      <c r="F927" t="inlineStr">
        <is>
          <t>SMB</t>
        </is>
      </c>
      <c r="G927" t="inlineStr">
        <is>
          <t>Reporting</t>
        </is>
      </c>
      <c r="H927" t="inlineStr">
        <is>
          <t>Feature Request</t>
        </is>
      </c>
      <c r="I927" t="inlineStr">
        <is>
          <t>Feedback from our monthly review. Please add sales forecasting; managers keep a separate spreadsheet. It affects our onboarding process every cycle.</t>
        </is>
      </c>
      <c r="J927" t="inlineStr">
        <is>
          <t>Neutral</t>
        </is>
      </c>
      <c r="K927" t="inlineStr">
        <is>
          <t>Low</t>
        </is>
      </c>
      <c r="L927" t="inlineStr">
        <is>
          <t>Workflow Slowdown</t>
        </is>
      </c>
    </row>
    <row r="928">
      <c r="A928" t="inlineStr">
        <is>
          <t>FB-00927</t>
        </is>
      </c>
      <c r="B928" t="inlineStr">
        <is>
          <t>CUST-0234</t>
        </is>
      </c>
      <c r="C928" t="inlineStr">
        <is>
          <t>2026-06-02</t>
        </is>
      </c>
      <c r="D928" t="inlineStr">
        <is>
          <t>Feature Request</t>
        </is>
      </c>
      <c r="E928" t="inlineStr">
        <is>
          <t>Enterprise</t>
        </is>
      </c>
      <c r="F928" t="inlineStr">
        <is>
          <t>SMB</t>
        </is>
      </c>
      <c r="G928" t="inlineStr">
        <is>
          <t>Contact Management</t>
        </is>
      </c>
      <c r="H928" t="inlineStr">
        <is>
          <t>Feature Request</t>
        </is>
      </c>
      <c r="I928" t="inlineStr">
        <is>
          <t>Please build a tool to merge duplicate contacts with a preview of what will be combined. It happens about 19 times a week for our team of 30.</t>
        </is>
      </c>
      <c r="J928" t="inlineStr">
        <is>
          <t>Positive</t>
        </is>
      </c>
      <c r="K928" t="inlineStr">
        <is>
          <t>Low</t>
        </is>
      </c>
      <c r="L928" t="inlineStr">
        <is>
          <t>Minor Inconvenience</t>
        </is>
      </c>
    </row>
    <row r="929">
      <c r="A929" t="inlineStr">
        <is>
          <t>FB-00928</t>
        </is>
      </c>
      <c r="B929" t="inlineStr">
        <is>
          <t>CUST-0145</t>
        </is>
      </c>
      <c r="C929" t="inlineStr">
        <is>
          <t>2026-06-02</t>
        </is>
      </c>
      <c r="D929" t="inlineStr">
        <is>
          <t>In-App Feedback</t>
        </is>
      </c>
      <c r="E929" t="inlineStr">
        <is>
          <t>Professional</t>
        </is>
      </c>
      <c r="F929" t="inlineStr">
        <is>
          <t>SMB</t>
        </is>
      </c>
      <c r="G929" t="inlineStr">
        <is>
          <t>Reporting</t>
        </is>
      </c>
      <c r="H929" t="inlineStr">
        <is>
          <t>Bug</t>
        </is>
      </c>
      <c r="I929" t="inlineStr">
        <is>
          <t>Frustrated with this one. Our CSV export of reports drops formatting and shows dates as numbers. So far 19 people on our side have reported it. Is there a workaround?</t>
        </is>
      </c>
      <c r="J929" t="inlineStr">
        <is>
          <t>Negative</t>
        </is>
      </c>
      <c r="K929" t="inlineStr">
        <is>
          <t>Critical</t>
        </is>
      </c>
      <c r="L929" t="inlineStr">
        <is>
          <t>Blocks Key Task</t>
        </is>
      </c>
    </row>
    <row r="930">
      <c r="A930" t="inlineStr">
        <is>
          <t>FB-00929</t>
        </is>
      </c>
      <c r="B930" t="inlineStr">
        <is>
          <t>CUST-0210</t>
        </is>
      </c>
      <c r="C930" t="inlineStr">
        <is>
          <t>2026-06-02</t>
        </is>
      </c>
      <c r="D930" t="inlineStr">
        <is>
          <t>Support Ticket</t>
        </is>
      </c>
      <c r="E930" t="inlineStr">
        <is>
          <t>Professional</t>
        </is>
      </c>
      <c r="F930" t="inlineStr">
        <is>
          <t>Mid-Market</t>
        </is>
      </c>
      <c r="G930" t="inlineStr">
        <is>
          <t>Contact Management</t>
        </is>
      </c>
      <c r="H930" t="inlineStr">
        <is>
          <t>Feature Request</t>
        </is>
      </c>
      <c r="I930" t="inlineStr">
        <is>
          <t>Noting this during onboarding. We need custom contact fields to reflect parent companies and subsidiaries. We estimate we lose roughly 21 hours a month on this. Let us know if you need examples.</t>
        </is>
      </c>
      <c r="J930" t="inlineStr">
        <is>
          <t>Neutral</t>
        </is>
      </c>
      <c r="K930" t="inlineStr">
        <is>
          <t>Medium</t>
        </is>
      </c>
      <c r="L930" t="inlineStr">
        <is>
          <t>Minor Inconvenience</t>
        </is>
      </c>
    </row>
    <row r="931">
      <c r="A931" t="inlineStr">
        <is>
          <t>FB-00930</t>
        </is>
      </c>
      <c r="B931" t="inlineStr">
        <is>
          <t>CUST-0367</t>
        </is>
      </c>
      <c r="C931" t="inlineStr">
        <is>
          <t>2026-06-02</t>
        </is>
      </c>
      <c r="D931" t="inlineStr">
        <is>
          <t>In-App Feedback</t>
        </is>
      </c>
      <c r="E931" t="inlineStr">
        <is>
          <t>Enterprise</t>
        </is>
      </c>
      <c r="F931" t="inlineStr">
        <is>
          <t>Mid-Market</t>
        </is>
      </c>
      <c r="G931" t="inlineStr">
        <is>
          <t>Contact Management</t>
        </is>
      </c>
      <c r="H931" t="inlineStr">
        <is>
          <t>Bug</t>
        </is>
      </c>
      <c r="I931" t="inlineStr">
        <is>
          <t>Our team keeps running into this. The spreadsheet import silently skipped rows and we only noticed days later. So far 38 people on our side have reported it.</t>
        </is>
      </c>
      <c r="J931" t="inlineStr">
        <is>
          <t>Negative</t>
        </is>
      </c>
      <c r="K931" t="inlineStr">
        <is>
          <t>Medium</t>
        </is>
      </c>
      <c r="L931" t="inlineStr">
        <is>
          <t>Workflow Slowdown</t>
        </is>
      </c>
    </row>
    <row r="932">
      <c r="A932" t="inlineStr">
        <is>
          <t>FB-00931</t>
        </is>
      </c>
      <c r="B932" t="inlineStr">
        <is>
          <t>CUST-0088</t>
        </is>
      </c>
      <c r="C932" t="inlineStr">
        <is>
          <t>2026-06-02</t>
        </is>
      </c>
      <c r="D932" t="inlineStr">
        <is>
          <t>Feature Request</t>
        </is>
      </c>
      <c r="E932" t="inlineStr">
        <is>
          <t>Starter</t>
        </is>
      </c>
      <c r="F932" t="inlineStr">
        <is>
          <t>SMB</t>
        </is>
      </c>
      <c r="G932" t="inlineStr">
        <is>
          <t>Workflow Automation</t>
        </is>
      </c>
      <c r="H932" t="inlineStr">
        <is>
          <t>Usability Issue</t>
        </is>
      </c>
      <c r="I932" t="inlineStr">
        <is>
          <t>Noting this during onboarding. I can't tell what a branch does in the automation canvas without opening every node. It affects our renewal process every cycle. Let us know if you need examples.</t>
        </is>
      </c>
      <c r="J932" t="inlineStr">
        <is>
          <t>Neutral</t>
        </is>
      </c>
      <c r="K932" t="inlineStr">
        <is>
          <t>Critical</t>
        </is>
      </c>
      <c r="L932" t="inlineStr">
        <is>
          <t>Revenue/Operations Risk</t>
        </is>
      </c>
    </row>
    <row r="933">
      <c r="A933" t="inlineStr">
        <is>
          <t>FB-00932</t>
        </is>
      </c>
      <c r="B933" t="inlineStr">
        <is>
          <t>CUST-0089</t>
        </is>
      </c>
      <c r="C933" t="inlineStr">
        <is>
          <t>2026-06-02</t>
        </is>
      </c>
      <c r="D933" t="inlineStr">
        <is>
          <t>Support Ticket</t>
        </is>
      </c>
      <c r="E933" t="inlineStr">
        <is>
          <t>Starter</t>
        </is>
      </c>
      <c r="F933" t="inlineStr">
        <is>
          <t>SMB</t>
        </is>
      </c>
      <c r="G933" t="inlineStr">
        <is>
          <t>User Interface</t>
        </is>
      </c>
      <c r="H933" t="inlineStr">
        <is>
          <t>Performance Issue</t>
        </is>
      </c>
      <c r="I933" t="inlineStr">
        <is>
          <t>Feedback from our monthly review. We notice UI freezing whenever more than a few tabs are open.</t>
        </is>
      </c>
      <c r="J933" t="inlineStr">
        <is>
          <t>Neutral</t>
        </is>
      </c>
      <c r="K933" t="inlineStr">
        <is>
          <t>Medium</t>
        </is>
      </c>
      <c r="L933" t="inlineStr">
        <is>
          <t>Workflow Slowdown</t>
        </is>
      </c>
    </row>
    <row r="934">
      <c r="A934" t="inlineStr">
        <is>
          <t>FB-00933</t>
        </is>
      </c>
      <c r="B934" t="inlineStr">
        <is>
          <t>CUST-0260</t>
        </is>
      </c>
      <c r="C934" t="inlineStr">
        <is>
          <t>2026-06-02</t>
        </is>
      </c>
      <c r="D934" t="inlineStr">
        <is>
          <t>Support Ticket</t>
        </is>
      </c>
      <c r="E934" t="inlineStr">
        <is>
          <t>Starter</t>
        </is>
      </c>
      <c r="F934" t="inlineStr">
        <is>
          <t>SMB</t>
        </is>
      </c>
      <c r="G934" t="inlineStr">
        <is>
          <t>Integrations</t>
        </is>
      </c>
      <c r="H934" t="inlineStr">
        <is>
          <t>Integration Issue</t>
        </is>
      </c>
      <c r="I934" t="inlineStr">
        <is>
          <t>This has been a recurring problem for us. Our Outlook calendar sync keeps disconnecting and activities are missing from the contact timeline. So far 37 people on our side have reported it. Is there a workaround?</t>
        </is>
      </c>
      <c r="J934" t="inlineStr">
        <is>
          <t>Negative</t>
        </is>
      </c>
      <c r="K934" t="inlineStr">
        <is>
          <t>High</t>
        </is>
      </c>
      <c r="L934" t="inlineStr">
        <is>
          <t>Revenue/Operations Risk</t>
        </is>
      </c>
    </row>
    <row r="935">
      <c r="A935" t="inlineStr">
        <is>
          <t>FB-00934</t>
        </is>
      </c>
      <c r="B935" t="inlineStr">
        <is>
          <t>CUST-0095</t>
        </is>
      </c>
      <c r="C935" t="inlineStr">
        <is>
          <t>03-Jun-2026</t>
        </is>
      </c>
      <c r="D935" t="inlineStr">
        <is>
          <t>Feature Request</t>
        </is>
      </c>
      <c r="E935" t="inlineStr">
        <is>
          <t xml:space="preserve">Professional </t>
        </is>
      </c>
      <c r="F935" t="inlineStr">
        <is>
          <t>SMB</t>
        </is>
      </c>
      <c r="G935" t="inlineStr">
        <is>
          <t>Workflow Automation</t>
        </is>
      </c>
      <c r="H935" t="inlineStr">
        <is>
          <t>Feature Request</t>
        </is>
      </c>
      <c r="I935" t="inlineStr">
        <is>
          <t>Feedback from our monthly review. Requesting a discount approval flow; today approvals happen over chat. Happy to join a feedback call.</t>
        </is>
      </c>
      <c r="J935" t="inlineStr">
        <is>
          <t>Neutral</t>
        </is>
      </c>
      <c r="K935" t="inlineStr">
        <is>
          <t>Medium</t>
        </is>
      </c>
      <c r="L935" t="inlineStr">
        <is>
          <t>Workflow Slowdown</t>
        </is>
      </c>
    </row>
    <row r="936">
      <c r="A936" t="inlineStr">
        <is>
          <t>FB-00935</t>
        </is>
      </c>
      <c r="B936" t="inlineStr">
        <is>
          <t>CUST-0307</t>
        </is>
      </c>
      <c r="C936" t="inlineStr">
        <is>
          <t>2026-06-03</t>
        </is>
      </c>
      <c r="D936" t="inlineStr">
        <is>
          <t>Support Ticket</t>
        </is>
      </c>
      <c r="E936" t="inlineStr">
        <is>
          <t>Starter</t>
        </is>
      </c>
      <c r="F936" t="inlineStr">
        <is>
          <t>SMB</t>
        </is>
      </c>
      <c r="G936" t="inlineStr">
        <is>
          <t>Reporting</t>
        </is>
      </c>
      <c r="H936" t="inlineStr">
        <is>
          <t>Bug</t>
        </is>
      </c>
      <c r="I936" t="inlineStr">
        <is>
          <t>Our team keeps running into this. The report export times out for date ranges longer than a quarter. So far 106 people on our side have reported it. Is there a workaround?</t>
        </is>
      </c>
      <c r="J936" t="inlineStr">
        <is>
          <t>Negative</t>
        </is>
      </c>
      <c r="K936" t="inlineStr">
        <is>
          <t>Medium</t>
        </is>
      </c>
      <c r="L936" t="inlineStr">
        <is>
          <t>Workflow Slowdown</t>
        </is>
      </c>
    </row>
    <row r="937">
      <c r="A937" t="inlineStr">
        <is>
          <t>FB-00936</t>
        </is>
      </c>
      <c r="B937" t="inlineStr">
        <is>
          <t>CUST-0276</t>
        </is>
      </c>
      <c r="C937" t="inlineStr">
        <is>
          <t>03-Jun-2026</t>
        </is>
      </c>
      <c r="D937" t="inlineStr">
        <is>
          <t>In-App Feedback</t>
        </is>
      </c>
      <c r="E937" t="inlineStr">
        <is>
          <t>Professional</t>
        </is>
      </c>
      <c r="F937" t="inlineStr">
        <is>
          <t>SMB</t>
        </is>
      </c>
      <c r="G937" t="inlineStr">
        <is>
          <t>Reporting</t>
        </is>
      </c>
      <c r="H937" t="inlineStr">
        <is>
          <t>Performance Issue</t>
        </is>
      </c>
      <c r="I937" t="inlineStr">
        <is>
          <t>The dashboard loading is painfully slow with a full year of data. We estimate we lose roughly 33 hours a month on this.</t>
        </is>
      </c>
      <c r="J937" t="inlineStr">
        <is>
          <t>Negative</t>
        </is>
      </c>
      <c r="K937" t="inlineStr">
        <is>
          <t>Low</t>
        </is>
      </c>
      <c r="L937" t="inlineStr">
        <is>
          <t>Blocks Key Task</t>
        </is>
      </c>
    </row>
    <row r="938">
      <c r="A938" t="inlineStr">
        <is>
          <t>FB-00937</t>
        </is>
      </c>
      <c r="B938" t="inlineStr">
        <is>
          <t>CUST-0051</t>
        </is>
      </c>
      <c r="C938" t="inlineStr">
        <is>
          <t>2026-06-04</t>
        </is>
      </c>
      <c r="D938" t="inlineStr">
        <is>
          <t>In-App Feedback</t>
        </is>
      </c>
      <c r="E938" t="inlineStr">
        <is>
          <t>Enterprise</t>
        </is>
      </c>
      <c r="F938" t="inlineStr">
        <is>
          <t>Enterprise</t>
        </is>
      </c>
      <c r="G938" t="inlineStr">
        <is>
          <t>Workflow Automation</t>
        </is>
      </c>
      <c r="H938" t="inlineStr">
        <is>
          <t>Usability Issue</t>
        </is>
      </c>
      <c r="I938" t="inlineStr">
        <is>
          <t>Sharing this from our team. I can't tell what a branch does in the workflow builder without opening every node. It affects our quarterly planning process every cycle.</t>
        </is>
      </c>
      <c r="J938" t="inlineStr">
        <is>
          <t>Neutral</t>
        </is>
      </c>
      <c r="K938" t="inlineStr">
        <is>
          <t>Medium</t>
        </is>
      </c>
      <c r="L938" t="inlineStr">
        <is>
          <t>Minor Inconvenience</t>
        </is>
      </c>
    </row>
    <row r="939">
      <c r="A939" t="inlineStr">
        <is>
          <t>FB-00938</t>
        </is>
      </c>
      <c r="B939" t="inlineStr">
        <is>
          <t>CUST-0316</t>
        </is>
      </c>
      <c r="C939" t="inlineStr">
        <is>
          <t>2026-06-04</t>
        </is>
      </c>
      <c r="D939" t="inlineStr">
        <is>
          <t>Support Ticket</t>
        </is>
      </c>
      <c r="E939" t="inlineStr">
        <is>
          <t>Starter</t>
        </is>
      </c>
      <c r="F939" t="inlineStr">
        <is>
          <t>Mid-Market</t>
        </is>
      </c>
      <c r="G939" t="inlineStr">
        <is>
          <t>Reporting</t>
        </is>
      </c>
      <c r="H939" t="inlineStr">
        <is>
          <t>Performance Issue</t>
        </is>
      </c>
      <c r="I939" t="inlineStr">
        <is>
          <t>This has been a recurring problem for us. The report load time is painfully slow with a full year of data. It happens about 28 times a week for our team of 73. Is there a workaround?</t>
        </is>
      </c>
      <c r="J939" t="inlineStr">
        <is>
          <t>Negative</t>
        </is>
      </c>
      <c r="K939" t="inlineStr">
        <is>
          <t>Low</t>
        </is>
      </c>
    </row>
    <row r="940">
      <c r="A940" t="inlineStr">
        <is>
          <t>FB-00939</t>
        </is>
      </c>
      <c r="B940" t="inlineStr">
        <is>
          <t>CUST-0168</t>
        </is>
      </c>
      <c r="C940" t="inlineStr">
        <is>
          <t>2026-06-04</t>
        </is>
      </c>
      <c r="D940" t="inlineStr">
        <is>
          <t>Support Ticket</t>
        </is>
      </c>
      <c r="E940" t="inlineStr">
        <is>
          <t>Professional</t>
        </is>
      </c>
      <c r="F940" t="inlineStr">
        <is>
          <t>Mid-Market</t>
        </is>
      </c>
      <c r="G940" t="inlineStr">
        <is>
          <t xml:space="preserve">Reporting </t>
        </is>
      </c>
      <c r="H940" t="inlineStr">
        <is>
          <t>Performance Issue</t>
        </is>
      </c>
      <c r="I940" t="inlineStr">
        <is>
          <t>Not what we expected for the price. Dashboard loading got noticeably worse over the last few months. Is there a workaround?</t>
        </is>
      </c>
      <c r="J940" t="inlineStr">
        <is>
          <t>Negative</t>
        </is>
      </c>
      <c r="K940" t="inlineStr">
        <is>
          <t>Low</t>
        </is>
      </c>
      <c r="L940" t="inlineStr">
        <is>
          <t>Minor Inconvenience</t>
        </is>
      </c>
    </row>
    <row r="941">
      <c r="A941" t="inlineStr">
        <is>
          <t>FB-00940</t>
        </is>
      </c>
      <c r="B941" t="inlineStr">
        <is>
          <t>CUST-0415</t>
        </is>
      </c>
      <c r="C941" t="inlineStr">
        <is>
          <t>2026-06-04</t>
        </is>
      </c>
      <c r="D941" t="inlineStr">
        <is>
          <t>Support Ticket</t>
        </is>
      </c>
      <c r="E941" t="inlineStr">
        <is>
          <t>Enterprise</t>
        </is>
      </c>
      <c r="F941" t="inlineStr">
        <is>
          <t>Mid-Market</t>
        </is>
      </c>
      <c r="G941" t="inlineStr">
        <is>
          <t>Integrations</t>
        </is>
      </c>
      <c r="H941" t="inlineStr">
        <is>
          <t>Feature Request</t>
        </is>
      </c>
      <c r="I941" t="inlineStr">
        <is>
          <t>Our security team requires SCIM provisioning before we can expand seats. So far 107 people on our side have reported it. Let us know if you need examples.</t>
        </is>
      </c>
      <c r="J941" t="inlineStr">
        <is>
          <t>Neutral</t>
        </is>
      </c>
      <c r="K941" t="inlineStr">
        <is>
          <t>High</t>
        </is>
      </c>
      <c r="L941" t="inlineStr">
        <is>
          <t>Workflow Slowdown</t>
        </is>
      </c>
    </row>
    <row r="942">
      <c r="A942" t="inlineStr">
        <is>
          <t>FB-00941</t>
        </is>
      </c>
      <c r="B942" t="inlineStr">
        <is>
          <t>CUST-0269</t>
        </is>
      </c>
      <c r="C942" t="inlineStr">
        <is>
          <t>2026-06-04</t>
        </is>
      </c>
      <c r="D942" t="inlineStr">
        <is>
          <t>In-App Feedback</t>
        </is>
      </c>
      <c r="E942" t="inlineStr">
        <is>
          <t>Professional</t>
        </is>
      </c>
      <c r="F942" t="inlineStr">
        <is>
          <t>SMB</t>
        </is>
      </c>
      <c r="G942" t="inlineStr">
        <is>
          <t>Workflow Automation</t>
        </is>
      </c>
      <c r="H942" t="inlineStr">
        <is>
          <t>Usability Issue</t>
        </is>
      </c>
      <c r="I942" t="inlineStr">
        <is>
          <t>Our new admins struggle with the automation canvas; there is no guidance or validation. So far 115 people on our side have reported it. Please look into it soon.</t>
        </is>
      </c>
      <c r="J942" t="inlineStr">
        <is>
          <t>Negative</t>
        </is>
      </c>
      <c r="K942" t="inlineStr">
        <is>
          <t>Low</t>
        </is>
      </c>
      <c r="L942" t="inlineStr">
        <is>
          <t>Minor Inconvenience</t>
        </is>
      </c>
    </row>
    <row r="943">
      <c r="A943" t="inlineStr">
        <is>
          <t>FB-00942</t>
        </is>
      </c>
      <c r="B943" t="inlineStr">
        <is>
          <t>CUST-0117</t>
        </is>
      </c>
      <c r="C943" t="inlineStr">
        <is>
          <t>2026-06-04</t>
        </is>
      </c>
      <c r="D943" t="inlineStr">
        <is>
          <t>Customer Survey</t>
        </is>
      </c>
      <c r="E943" t="inlineStr">
        <is>
          <t>Professional</t>
        </is>
      </c>
      <c r="F943" t="inlineStr">
        <is>
          <t>Mid-Market</t>
        </is>
      </c>
      <c r="G943" t="inlineStr">
        <is>
          <t>Reporting</t>
        </is>
      </c>
      <c r="H943" t="inlineStr">
        <is>
          <t>Feature Request</t>
        </is>
      </c>
      <c r="I943" t="inlineStr">
        <is>
          <t>Feedback from our monthly review. We need report scheduling so non-technical managers can create their own views. Let us know if you need examples.</t>
        </is>
      </c>
      <c r="J943" t="inlineStr">
        <is>
          <t>Neutral</t>
        </is>
      </c>
      <c r="K943" t="inlineStr">
        <is>
          <t>High</t>
        </is>
      </c>
      <c r="L943" t="inlineStr">
        <is>
          <t>Workflow Slowdown</t>
        </is>
      </c>
    </row>
    <row r="944">
      <c r="A944" t="inlineStr">
        <is>
          <t>FB-00943</t>
        </is>
      </c>
      <c r="B944" t="inlineStr">
        <is>
          <t>CUST-0315</t>
        </is>
      </c>
      <c r="C944" t="inlineStr">
        <is>
          <t>2026-06-05</t>
        </is>
      </c>
      <c r="D944" t="inlineStr">
        <is>
          <t>Customer Survey</t>
        </is>
      </c>
      <c r="E944" t="inlineStr">
        <is>
          <t>Professional</t>
        </is>
      </c>
      <c r="F944" t="inlineStr">
        <is>
          <t>SMB</t>
        </is>
      </c>
      <c r="G944" t="inlineStr">
        <is>
          <t>Lead Management</t>
        </is>
      </c>
      <c r="H944" t="inlineStr">
        <is>
          <t>Feature Request</t>
        </is>
      </c>
      <c r="I944" t="inlineStr">
        <is>
          <t>Overall we like the product. Right now reps rank leads by gut feel; automated lead scoring would fix that. So far 13 people on our side have reported it.</t>
        </is>
      </c>
      <c r="J944" t="inlineStr">
        <is>
          <t>Positive</t>
        </is>
      </c>
      <c r="K944" t="inlineStr">
        <is>
          <t>Low</t>
        </is>
      </c>
      <c r="L944" t="inlineStr">
        <is>
          <t>Minor Inconvenience</t>
        </is>
      </c>
    </row>
    <row r="945">
      <c r="A945" t="inlineStr">
        <is>
          <t>FB-00944</t>
        </is>
      </c>
      <c r="B945" t="inlineStr">
        <is>
          <t>CUST-0405</t>
        </is>
      </c>
      <c r="C945" t="inlineStr">
        <is>
          <t>2026-06-05</t>
        </is>
      </c>
      <c r="D945" t="inlineStr">
        <is>
          <t>Feature Request</t>
        </is>
      </c>
      <c r="E945" t="inlineStr">
        <is>
          <t>Starter</t>
        </is>
      </c>
      <c r="F945" t="inlineStr">
        <is>
          <t>SMB</t>
        </is>
      </c>
      <c r="G945" t="inlineStr">
        <is>
          <t>User Interface</t>
        </is>
      </c>
      <c r="H945" t="inlineStr">
        <is>
          <t>Feature Request</t>
        </is>
      </c>
      <c r="I945" t="inlineStr">
        <is>
          <t>Requesting multi-select actions across every list view. We estimate we lose roughly 27 hours a month on this.</t>
        </is>
      </c>
      <c r="J945" t="inlineStr">
        <is>
          <t>Neutral</t>
        </is>
      </c>
      <c r="K945" t="inlineStr">
        <is>
          <t>Low</t>
        </is>
      </c>
      <c r="L945" t="inlineStr">
        <is>
          <t>Minor Inconvenience</t>
        </is>
      </c>
    </row>
    <row r="946">
      <c r="A946" t="inlineStr">
        <is>
          <t>FB-00945</t>
        </is>
      </c>
      <c r="B946" t="inlineStr">
        <is>
          <t>CUST-0034</t>
        </is>
      </c>
      <c r="C946" t="inlineStr">
        <is>
          <t>2026-06-05</t>
        </is>
      </c>
      <c r="D946" t="inlineStr">
        <is>
          <t>In-App Feedback</t>
        </is>
      </c>
      <c r="E946" t="inlineStr">
        <is>
          <t>Professional</t>
        </is>
      </c>
      <c r="F946" t="inlineStr">
        <is>
          <t>Mid-Market</t>
        </is>
      </c>
      <c r="G946" t="inlineStr">
        <is>
          <t>Integrations</t>
        </is>
      </c>
      <c r="H946" t="inlineStr">
        <is>
          <t>Integration Issue</t>
        </is>
      </c>
      <c r="I946" t="inlineStr">
        <is>
          <t>Raising this again after our last business review. After the token expires, Gmail sync stops with no warning. Support suggested logging it here.</t>
        </is>
      </c>
      <c r="J946" t="inlineStr">
        <is>
          <t>Negative</t>
        </is>
      </c>
      <c r="K946" t="inlineStr">
        <is>
          <t>Medium</t>
        </is>
      </c>
      <c r="L946" t="inlineStr">
        <is>
          <t>Workflow Slowdown</t>
        </is>
      </c>
    </row>
    <row r="947">
      <c r="A947" t="inlineStr">
        <is>
          <t>FB-00946</t>
        </is>
      </c>
      <c r="B947" t="inlineStr">
        <is>
          <t>CUST-0226</t>
        </is>
      </c>
      <c r="C947" t="inlineStr">
        <is>
          <t>2026-06-05</t>
        </is>
      </c>
      <c r="D947" t="inlineStr">
        <is>
          <t>In-App Feedback</t>
        </is>
      </c>
      <c r="E947" t="inlineStr">
        <is>
          <t>Professional</t>
        </is>
      </c>
      <c r="F947" t="inlineStr">
        <is>
          <t>Enterprise</t>
        </is>
      </c>
      <c r="G947" t="inlineStr">
        <is>
          <t>User Interface</t>
        </is>
      </c>
      <c r="H947" t="inlineStr">
        <is>
          <t>Performance Issue</t>
        </is>
      </c>
      <c r="I947" t="inlineStr">
        <is>
          <t>The UI freezing gets worse in the afternoon. Our finance analyst flagged it while onboarding 65 new users.</t>
        </is>
      </c>
      <c r="J947" t="inlineStr">
        <is>
          <t>Neutral</t>
        </is>
      </c>
      <c r="K947" t="inlineStr">
        <is>
          <t>Low</t>
        </is>
      </c>
      <c r="L947" t="inlineStr">
        <is>
          <t>Minor Inconvenience</t>
        </is>
      </c>
    </row>
    <row r="948">
      <c r="A948" t="inlineStr">
        <is>
          <t>FB-00947</t>
        </is>
      </c>
      <c r="B948" t="inlineStr">
        <is>
          <t>CUST-0040</t>
        </is>
      </c>
      <c r="C948" t="inlineStr">
        <is>
          <t>2026-06-06</t>
        </is>
      </c>
      <c r="D948" t="inlineStr">
        <is>
          <t>Customer Survey</t>
        </is>
      </c>
      <c r="E948" t="inlineStr">
        <is>
          <t>Professional</t>
        </is>
      </c>
      <c r="F948" t="inlineStr">
        <is>
          <t>SMB</t>
        </is>
      </c>
      <c r="G948" t="inlineStr">
        <is>
          <t>Contact Management</t>
        </is>
      </c>
      <c r="H948" t="inlineStr">
        <is>
          <t>Feature Request</t>
        </is>
      </c>
      <c r="I948" t="inlineStr">
        <is>
          <t>Feedback from our monthly review. Is there any plan for a bulk contact merge? Merging one record at a time is not realistic. It happens about 4 times a week for our team of 105.</t>
        </is>
      </c>
      <c r="J948" t="inlineStr">
        <is>
          <t>Neutral</t>
        </is>
      </c>
      <c r="K948" t="inlineStr">
        <is>
          <t>Low</t>
        </is>
      </c>
      <c r="L948" t="inlineStr">
        <is>
          <t>Minor Inconvenience</t>
        </is>
      </c>
    </row>
    <row r="949">
      <c r="A949" t="inlineStr">
        <is>
          <t>FB-00948</t>
        </is>
      </c>
      <c r="B949" t="inlineStr">
        <is>
          <t>CUST-0320</t>
        </is>
      </c>
      <c r="C949" t="inlineStr">
        <is>
          <t>2026-06-06</t>
        </is>
      </c>
      <c r="D949" t="inlineStr">
        <is>
          <t>In-App Feedback</t>
        </is>
      </c>
      <c r="E949" t="inlineStr">
        <is>
          <t>Professional</t>
        </is>
      </c>
      <c r="F949" t="inlineStr">
        <is>
          <t>Mid-Market</t>
        </is>
      </c>
      <c r="G949" t="inlineStr">
        <is>
          <t>Lead Management</t>
        </is>
      </c>
      <c r="H949" t="inlineStr">
        <is>
          <t>Feature Request</t>
        </is>
      </c>
      <c r="I949" t="inlineStr">
        <is>
          <t>Feedback from our monthly review. Please add a lead score model based on engagement, company size and recent activity. It happens about 26 times a week for our team of 80. Happy to join a feedback call.</t>
        </is>
      </c>
      <c r="J949" t="inlineStr">
        <is>
          <t>Neutral</t>
        </is>
      </c>
      <c r="K949" t="inlineStr">
        <is>
          <t>LOW</t>
        </is>
      </c>
      <c r="L949" t="inlineStr">
        <is>
          <t>Minor Inconvenience</t>
        </is>
      </c>
    </row>
    <row r="950">
      <c r="A950" t="inlineStr">
        <is>
          <t>FB-00949</t>
        </is>
      </c>
      <c r="B950" t="inlineStr">
        <is>
          <t>CUST-0360</t>
        </is>
      </c>
      <c r="C950" t="inlineStr">
        <is>
          <t>2026-06-06</t>
        </is>
      </c>
      <c r="D950" t="inlineStr">
        <is>
          <t>Customer Survey</t>
        </is>
      </c>
      <c r="E950" t="inlineStr">
        <is>
          <t>Enterprise</t>
        </is>
      </c>
      <c r="F950" t="inlineStr">
        <is>
          <t>Enterprise</t>
        </is>
      </c>
      <c r="G950" t="inlineStr">
        <is>
          <t>Integrations</t>
        </is>
      </c>
      <c r="H950" t="inlineStr">
        <is>
          <t>Feature Request</t>
        </is>
      </c>
      <c r="I950" t="inlineStr">
        <is>
          <t>Please add SSO support; managing users by hand does not scale. It happens about 25 times a week for our team of 94. Let us know if you need examples.</t>
        </is>
      </c>
      <c r="J950" t="inlineStr">
        <is>
          <t>Neutral</t>
        </is>
      </c>
      <c r="K950" t="inlineStr">
        <is>
          <t>Medium</t>
        </is>
      </c>
      <c r="L950" t="inlineStr">
        <is>
          <t>Workflow Slowdown</t>
        </is>
      </c>
    </row>
    <row r="951">
      <c r="A951" t="inlineStr">
        <is>
          <t>FB-00950</t>
        </is>
      </c>
      <c r="B951" t="inlineStr">
        <is>
          <t>CUST-0253</t>
        </is>
      </c>
      <c r="C951" t="inlineStr">
        <is>
          <t>2026-06-06</t>
        </is>
      </c>
      <c r="D951" t="inlineStr">
        <is>
          <t>In-App Feedback</t>
        </is>
      </c>
      <c r="E951" t="inlineStr">
        <is>
          <t>Professional</t>
        </is>
      </c>
      <c r="F951" t="inlineStr">
        <is>
          <t>SMB</t>
        </is>
      </c>
      <c r="G951" t="inlineStr">
        <is>
          <t>Integrations</t>
        </is>
      </c>
      <c r="H951" t="inlineStr">
        <is>
          <t>Feature Request</t>
        </is>
      </c>
      <c r="I951" t="inlineStr">
        <is>
          <t>Requesting a marketing automation connector to remove manual re-entry. We estimate we lose roughly 20 hours a month on this. Let us know if you need examples.</t>
        </is>
      </c>
      <c r="J951" t="inlineStr">
        <is>
          <t>Neutral</t>
        </is>
      </c>
      <c r="K951" t="inlineStr">
        <is>
          <t>Low</t>
        </is>
      </c>
      <c r="L951" t="inlineStr">
        <is>
          <t>Minor Inconvenience</t>
        </is>
      </c>
    </row>
    <row r="952">
      <c r="A952" t="inlineStr">
        <is>
          <t>FB-00951</t>
        </is>
      </c>
      <c r="B952" t="inlineStr">
        <is>
          <t>CUST-0128</t>
        </is>
      </c>
      <c r="C952" t="inlineStr">
        <is>
          <t>2026-06-07</t>
        </is>
      </c>
      <c r="D952" t="inlineStr">
        <is>
          <t>Customer Survey</t>
        </is>
      </c>
      <c r="E952" t="inlineStr">
        <is>
          <t>Professional</t>
        </is>
      </c>
      <c r="F952" t="inlineStr">
        <is>
          <t>SMB</t>
        </is>
      </c>
      <c r="G952" t="inlineStr">
        <is>
          <t>Workflow Automation</t>
        </is>
      </c>
      <c r="H952" t="inlineStr">
        <is>
          <t>Usability Issue</t>
        </is>
      </c>
      <c r="I952" t="inlineStr">
        <is>
          <t>FYI for the product team. The workflow builder is hard to follow once a flow has more than a handful of steps. So far 30 people on our side have reported it. Happy to join a feedback call.</t>
        </is>
      </c>
      <c r="J952" t="inlineStr">
        <is>
          <t>Neutral</t>
        </is>
      </c>
      <c r="K952" t="inlineStr">
        <is>
          <t>Critical</t>
        </is>
      </c>
      <c r="L952" t="inlineStr">
        <is>
          <t>Workflow Slowdown</t>
        </is>
      </c>
    </row>
    <row r="953">
      <c r="A953" t="inlineStr">
        <is>
          <t>FB-00952</t>
        </is>
      </c>
      <c r="B953" t="inlineStr">
        <is>
          <t>CUST-0221</t>
        </is>
      </c>
      <c r="C953" t="inlineStr">
        <is>
          <t>2026-06-08</t>
        </is>
      </c>
      <c r="D953" t="inlineStr">
        <is>
          <t>Support Ticket</t>
        </is>
      </c>
      <c r="E953" t="inlineStr">
        <is>
          <t>Professional</t>
        </is>
      </c>
      <c r="F953" t="inlineStr">
        <is>
          <t>SMB</t>
        </is>
      </c>
      <c r="G953" t="inlineStr">
        <is>
          <t>Reporting</t>
        </is>
      </c>
      <c r="H953" t="inlineStr">
        <is>
          <t>Bug</t>
        </is>
      </c>
      <c r="I953" t="inlineStr">
        <is>
          <t>The Excel export times out for date ranges longer than a quarter. We estimate we lose roughly 48 hours a month on this. Is there a workaround?</t>
        </is>
      </c>
      <c r="J953" t="inlineStr">
        <is>
          <t>Negative</t>
        </is>
      </c>
      <c r="K953" t="inlineStr">
        <is>
          <t>Low</t>
        </is>
      </c>
    </row>
    <row r="954">
      <c r="A954" t="inlineStr">
        <is>
          <t>FB-00953</t>
        </is>
      </c>
      <c r="B954" t="inlineStr">
        <is>
          <t>CUST-0026</t>
        </is>
      </c>
      <c r="C954" t="inlineStr">
        <is>
          <t>2026-06-08</t>
        </is>
      </c>
      <c r="D954" t="inlineStr">
        <is>
          <t>Support Ticket</t>
        </is>
      </c>
      <c r="E954" t="inlineStr">
        <is>
          <t>Starter</t>
        </is>
      </c>
      <c r="F954" t="inlineStr">
        <is>
          <t>SMB</t>
        </is>
      </c>
      <c r="G954" t="inlineStr">
        <is>
          <t>Contact Management</t>
        </is>
      </c>
      <c r="H954" t="inlineStr">
        <is>
          <t>Bug</t>
        </is>
      </c>
      <c r="I954" t="inlineStr">
        <is>
          <t>This has been a recurring problem for us. The contact CSV import rejects files with accented characters in names. So far 118 people on our side have reported it.</t>
        </is>
      </c>
      <c r="J954" t="inlineStr">
        <is>
          <t>Negative</t>
        </is>
      </c>
      <c r="K954" t="inlineStr">
        <is>
          <t>Medium</t>
        </is>
      </c>
      <c r="L954" t="inlineStr">
        <is>
          <t>Minor Inconvenience</t>
        </is>
      </c>
    </row>
    <row r="955">
      <c r="A955" t="inlineStr">
        <is>
          <t>FB-00954</t>
        </is>
      </c>
      <c r="B955" t="inlineStr">
        <is>
          <t>CUST-0060</t>
        </is>
      </c>
      <c r="C955" t="inlineStr">
        <is>
          <t>2026-06-08</t>
        </is>
      </c>
      <c r="D955" t="inlineStr">
        <is>
          <t>Support Ticket</t>
        </is>
      </c>
      <c r="E955" t="inlineStr">
        <is>
          <t>Starter</t>
        </is>
      </c>
      <c r="F955" t="inlineStr">
        <is>
          <t>SMB</t>
        </is>
      </c>
      <c r="G955" t="inlineStr">
        <is>
          <t>Lead Management</t>
        </is>
      </c>
      <c r="H955" t="inlineStr">
        <is>
          <t>Performance Issue</t>
        </is>
      </c>
      <c r="I955" t="inlineStr">
        <is>
          <t>Escalating on behalf of our ops lead. The lead view load times gets very slow once we pass a few thousand open leads.</t>
        </is>
      </c>
      <c r="J955" t="inlineStr">
        <is>
          <t>Negative</t>
        </is>
      </c>
      <c r="K955" t="inlineStr">
        <is>
          <t>Medium</t>
        </is>
      </c>
      <c r="L955" t="inlineStr">
        <is>
          <t>Workflow Slowdown</t>
        </is>
      </c>
    </row>
    <row r="956">
      <c r="A956" t="inlineStr">
        <is>
          <t>FB-00955</t>
        </is>
      </c>
      <c r="B956" t="inlineStr">
        <is>
          <t>CUST-0318</t>
        </is>
      </c>
      <c r="C956" t="inlineStr">
        <is>
          <t>2026-06-09</t>
        </is>
      </c>
      <c r="D956" t="inlineStr">
        <is>
          <t>Feature Request</t>
        </is>
      </c>
      <c r="E956" t="inlineStr">
        <is>
          <t>Starter</t>
        </is>
      </c>
      <c r="F956" t="inlineStr">
        <is>
          <t>SMB</t>
        </is>
      </c>
      <c r="G956" t="inlineStr">
        <is>
          <t>User Interface</t>
        </is>
      </c>
      <c r="H956" t="inlineStr">
        <is>
          <t>Feature Request</t>
        </is>
      </c>
      <c r="I956" t="inlineStr">
        <is>
          <t>Our field reps need offline mobile access to update deals between visits.</t>
        </is>
      </c>
      <c r="J956" t="inlineStr">
        <is>
          <t>Neutral</t>
        </is>
      </c>
      <c r="K956" t="inlineStr">
        <is>
          <t>Low</t>
        </is>
      </c>
      <c r="L956" t="inlineStr">
        <is>
          <t>Minor Inconvenience</t>
        </is>
      </c>
    </row>
    <row r="957">
      <c r="A957" t="inlineStr">
        <is>
          <t>FB-00956</t>
        </is>
      </c>
      <c r="B957" t="inlineStr">
        <is>
          <t>CUST-0367</t>
        </is>
      </c>
      <c r="C957" t="inlineStr">
        <is>
          <t>2026-06-09</t>
        </is>
      </c>
      <c r="D957" t="inlineStr">
        <is>
          <t xml:space="preserve"> In-App Feedback</t>
        </is>
      </c>
      <c r="E957" t="inlineStr">
        <is>
          <t>Enterprise</t>
        </is>
      </c>
      <c r="F957" t="inlineStr">
        <is>
          <t>Mid-Market</t>
        </is>
      </c>
      <c r="G957" t="inlineStr">
        <is>
          <t>User Interface</t>
        </is>
      </c>
      <c r="H957" t="inlineStr">
        <is>
          <t>Feature Request</t>
        </is>
      </c>
      <c r="I957" t="inlineStr">
        <is>
          <t>Requesting a mobile app so reps can log activity right after a meeting. Let us know if you need examples.</t>
        </is>
      </c>
      <c r="J957" t="inlineStr">
        <is>
          <t>Neutral</t>
        </is>
      </c>
      <c r="K957" t="inlineStr">
        <is>
          <t>Low</t>
        </is>
      </c>
      <c r="L957" t="inlineStr">
        <is>
          <t>Workflow Slowdown</t>
        </is>
      </c>
    </row>
    <row r="958">
      <c r="A958" t="inlineStr">
        <is>
          <t>FB-00957</t>
        </is>
      </c>
      <c r="B958" t="inlineStr">
        <is>
          <t>CUST-0286</t>
        </is>
      </c>
      <c r="C958" t="inlineStr">
        <is>
          <t>2026-06-10</t>
        </is>
      </c>
      <c r="D958" t="inlineStr">
        <is>
          <t>Support Ticket</t>
        </is>
      </c>
      <c r="E958" t="inlineStr">
        <is>
          <t>Enterprise</t>
        </is>
      </c>
      <c r="F958" t="inlineStr">
        <is>
          <t>Enterprise</t>
        </is>
      </c>
      <c r="G958" t="inlineStr">
        <is>
          <t>Integrations</t>
        </is>
      </c>
      <c r="H958" t="inlineStr">
        <is>
          <t>Integration Issue</t>
        </is>
      </c>
      <c r="I958" t="inlineStr">
        <is>
          <t>Raising this again after our last business review. The Outlook calendar sync duplicates meetings and misses replies. So far 91 people on our side have reported it. Is there a workaround?</t>
        </is>
      </c>
      <c r="J958" t="inlineStr">
        <is>
          <t>Negative</t>
        </is>
      </c>
      <c r="K958" t="inlineStr">
        <is>
          <t>High</t>
        </is>
      </c>
      <c r="L958" t="inlineStr">
        <is>
          <t>Minor Inconvenience</t>
        </is>
      </c>
    </row>
    <row r="959">
      <c r="A959" t="inlineStr">
        <is>
          <t>FB-00958</t>
        </is>
      </c>
      <c r="B959" t="inlineStr">
        <is>
          <t>CUST-0158</t>
        </is>
      </c>
      <c r="C959" t="inlineStr">
        <is>
          <t>2026-06-10</t>
        </is>
      </c>
      <c r="D959" t="inlineStr">
        <is>
          <t>Support Ticket</t>
        </is>
      </c>
      <c r="E959" t="inlineStr">
        <is>
          <t>Starter</t>
        </is>
      </c>
      <c r="F959" t="inlineStr">
        <is>
          <t>SMB</t>
        </is>
      </c>
      <c r="G959" t="inlineStr">
        <is>
          <t>Reporting</t>
        </is>
      </c>
      <c r="H959" t="inlineStr">
        <is>
          <t>Performance Issue</t>
        </is>
      </c>
      <c r="I959" t="inlineStr">
        <is>
          <t>Quick note from our admin. Execs gave up on the dashboard loading and ask for screenshots instead. So far 52 people on our side have reported it.</t>
        </is>
      </c>
      <c r="J959" t="inlineStr">
        <is>
          <t>Neutral</t>
        </is>
      </c>
      <c r="K959" t="inlineStr">
        <is>
          <t>Low</t>
        </is>
      </c>
      <c r="L959" t="inlineStr">
        <is>
          <t>Minor Inconvenience</t>
        </is>
      </c>
    </row>
    <row r="960">
      <c r="A960" t="inlineStr">
        <is>
          <t>FB-00959</t>
        </is>
      </c>
      <c r="B960" t="inlineStr">
        <is>
          <t>CUST-0178</t>
        </is>
      </c>
      <c r="C960" t="inlineStr">
        <is>
          <t>2026-06-11</t>
        </is>
      </c>
      <c r="D960" t="inlineStr">
        <is>
          <t>Support Ticket</t>
        </is>
      </c>
      <c r="E960" t="inlineStr">
        <is>
          <t>Starter</t>
        </is>
      </c>
      <c r="F960" t="inlineStr">
        <is>
          <t>SMB</t>
        </is>
      </c>
      <c r="G960" t="inlineStr">
        <is>
          <t>Contact Management</t>
        </is>
      </c>
      <c r="H960" t="inlineStr">
        <is>
          <t>Bug</t>
        </is>
      </c>
      <c r="I960" t="inlineStr">
        <is>
          <t>Raising this again after our last business review. The import field mapping fails halfway through with a generic error and no row-level detail. So far 14 people on our side have reported it. We need a fix before renewal.</t>
        </is>
      </c>
      <c r="J960" t="inlineStr">
        <is>
          <t>Negative</t>
        </is>
      </c>
      <c r="K960" t="inlineStr">
        <is>
          <t>Medium</t>
        </is>
      </c>
      <c r="L960" t="inlineStr">
        <is>
          <t>Blocks Key Task</t>
        </is>
      </c>
    </row>
    <row r="961">
      <c r="A961" t="inlineStr">
        <is>
          <t>FB-00960</t>
        </is>
      </c>
      <c r="B961" t="inlineStr">
        <is>
          <t>CUST-0308</t>
        </is>
      </c>
      <c r="C961" t="inlineStr">
        <is>
          <t>2026-06-11</t>
        </is>
      </c>
      <c r="D961" t="inlineStr">
        <is>
          <t>Feature Request</t>
        </is>
      </c>
      <c r="E961" t="inlineStr">
        <is>
          <t>Professional</t>
        </is>
      </c>
      <c r="F961" t="inlineStr">
        <is>
          <t>SMB</t>
        </is>
      </c>
      <c r="G961" t="inlineStr">
        <is>
          <t>User Interface</t>
        </is>
      </c>
      <c r="H961" t="inlineStr">
        <is>
          <t>Feature Request</t>
        </is>
      </c>
      <c r="I961" t="inlineStr">
        <is>
          <t>Happy with most of the product. Requesting bulk actions on lists across every list view. Happy to beta test.</t>
        </is>
      </c>
      <c r="J961" t="inlineStr">
        <is>
          <t>Positive</t>
        </is>
      </c>
      <c r="K961" t="inlineStr">
        <is>
          <t>Medium</t>
        </is>
      </c>
      <c r="L961" t="inlineStr">
        <is>
          <t>Workflow Slowdown</t>
        </is>
      </c>
    </row>
    <row r="962">
      <c r="A962" t="inlineStr">
        <is>
          <t>FB-00961</t>
        </is>
      </c>
      <c r="B962" t="inlineStr">
        <is>
          <t>CUST-0076</t>
        </is>
      </c>
      <c r="C962" t="inlineStr">
        <is>
          <t>11-Jun-2026</t>
        </is>
      </c>
      <c r="D962" t="inlineStr">
        <is>
          <t>Feature Request</t>
        </is>
      </c>
      <c r="E962" t="inlineStr">
        <is>
          <t>Starter</t>
        </is>
      </c>
      <c r="F962" t="inlineStr">
        <is>
          <t>SMB</t>
        </is>
      </c>
      <c r="G962" t="inlineStr">
        <is>
          <t>User Interface</t>
        </is>
      </c>
      <c r="H962" t="inlineStr">
        <is>
          <t>Feature Request</t>
        </is>
      </c>
      <c r="I962" t="inlineStr">
        <is>
          <t>Requesting multi-select actions across every list view. Support suggested logging it here.</t>
        </is>
      </c>
      <c r="J962" t="inlineStr">
        <is>
          <t>Negative</t>
        </is>
      </c>
      <c r="K962" t="inlineStr">
        <is>
          <t>Medium</t>
        </is>
      </c>
      <c r="L962" t="inlineStr">
        <is>
          <t>Workflow Slowdown</t>
        </is>
      </c>
    </row>
    <row r="963">
      <c r="A963" t="inlineStr">
        <is>
          <t>FB-00962</t>
        </is>
      </c>
      <c r="B963" t="inlineStr">
        <is>
          <t>CUST-0065</t>
        </is>
      </c>
      <c r="C963" t="inlineStr">
        <is>
          <t>2026-06-11</t>
        </is>
      </c>
      <c r="D963" t="inlineStr">
        <is>
          <t>Customer Survey</t>
        </is>
      </c>
      <c r="E963" t="inlineStr">
        <is>
          <t>Professional</t>
        </is>
      </c>
      <c r="F963" t="inlineStr">
        <is>
          <t>Mid-Market</t>
        </is>
      </c>
      <c r="G963" t="inlineStr">
        <is>
          <t>Reporting</t>
        </is>
      </c>
      <c r="H963" t="inlineStr">
        <is>
          <t>Bug</t>
        </is>
      </c>
      <c r="I963" t="inlineStr">
        <is>
          <t>The report export times out for date ranges longer than a quarter. Our customer success lead flagged it while onboarding 41 new users.</t>
        </is>
      </c>
      <c r="J963" t="inlineStr">
        <is>
          <t>Negative</t>
        </is>
      </c>
      <c r="K963" t="inlineStr">
        <is>
          <t>High</t>
        </is>
      </c>
      <c r="L963" t="inlineStr">
        <is>
          <t>Minor Inconvenience</t>
        </is>
      </c>
    </row>
    <row r="964">
      <c r="A964" t="inlineStr">
        <is>
          <t>FB-00963</t>
        </is>
      </c>
      <c r="B964" t="inlineStr">
        <is>
          <t>CUST-0149</t>
        </is>
      </c>
      <c r="C964" t="inlineStr">
        <is>
          <t>2026-06-12</t>
        </is>
      </c>
      <c r="D964" t="inlineStr">
        <is>
          <t>In-App Feedback</t>
        </is>
      </c>
      <c r="E964" t="inlineStr">
        <is>
          <t>Professional</t>
        </is>
      </c>
      <c r="F964" t="inlineStr">
        <is>
          <t>Mid-Market</t>
        </is>
      </c>
      <c r="G964" t="inlineStr">
        <is>
          <t>Workflow Automation</t>
        </is>
      </c>
      <c r="H964" t="inlineStr">
        <is>
          <t>Feature Request</t>
        </is>
      </c>
      <c r="I964" t="inlineStr">
        <is>
          <t>Not what we expected for the price. We'd adopt automation faster with workflow templates we could customize. So far 27 people on our side have reported it. Support suggested logging it here.</t>
        </is>
      </c>
      <c r="J964" t="inlineStr">
        <is>
          <t xml:space="preserve">Negative </t>
        </is>
      </c>
      <c r="K964" t="inlineStr">
        <is>
          <t>Medium</t>
        </is>
      </c>
      <c r="L964" t="inlineStr">
        <is>
          <t>Blocks Key Task</t>
        </is>
      </c>
    </row>
    <row r="965">
      <c r="A965" t="inlineStr">
        <is>
          <t>FB-00964</t>
        </is>
      </c>
      <c r="B965" t="inlineStr">
        <is>
          <t>CUST-0165</t>
        </is>
      </c>
      <c r="C965" t="inlineStr">
        <is>
          <t>2026-06-12</t>
        </is>
      </c>
      <c r="D965" t="inlineStr">
        <is>
          <t>Support Ticket</t>
        </is>
      </c>
      <c r="E965" t="inlineStr">
        <is>
          <t>Enterprise</t>
        </is>
      </c>
      <c r="F965" t="inlineStr">
        <is>
          <t>Mid-Market</t>
        </is>
      </c>
      <c r="G965" t="inlineStr">
        <is>
          <t>Lead Management</t>
        </is>
      </c>
      <c r="H965" t="inlineStr">
        <is>
          <t>Bug</t>
        </is>
      </c>
      <c r="I965" t="inlineStr">
        <is>
          <t>Frustrated with this one. There are lead de-duplication failures across our pipeline views and nobody knows which record is the source of truth. Support suggested logging it here.</t>
        </is>
      </c>
      <c r="J965" t="inlineStr">
        <is>
          <t>Negative</t>
        </is>
      </c>
      <c r="K965" t="inlineStr">
        <is>
          <t>Critical</t>
        </is>
      </c>
      <c r="L965" t="inlineStr">
        <is>
          <t>Blocks Key Task</t>
        </is>
      </c>
    </row>
    <row r="966">
      <c r="A966" t="inlineStr">
        <is>
          <t>FB-00965</t>
        </is>
      </c>
      <c r="B966" t="inlineStr">
        <is>
          <t>CUST-0146</t>
        </is>
      </c>
      <c r="C966" t="inlineStr">
        <is>
          <t>2026-06-12</t>
        </is>
      </c>
      <c r="D966" t="inlineStr">
        <is>
          <t>Feature Request</t>
        </is>
      </c>
      <c r="E966" t="inlineStr">
        <is>
          <t>Starter</t>
        </is>
      </c>
      <c r="F966" t="inlineStr">
        <is>
          <t>SMB</t>
        </is>
      </c>
      <c r="G966" t="inlineStr">
        <is>
          <t>Reporting</t>
        </is>
      </c>
      <c r="H966" t="inlineStr">
        <is>
          <t>Feature Request</t>
        </is>
      </c>
      <c r="I966" t="inlineStr">
        <is>
          <t>Requesting quota tracking that updates as deal stages change. So far 33 people on our side have reported it.</t>
        </is>
      </c>
      <c r="J966" t="inlineStr">
        <is>
          <t>Neutral</t>
        </is>
      </c>
      <c r="K966" t="inlineStr">
        <is>
          <t>Low</t>
        </is>
      </c>
      <c r="L966" t="inlineStr">
        <is>
          <t>Minor Inconvenience</t>
        </is>
      </c>
    </row>
    <row r="967">
      <c r="A967" t="inlineStr">
        <is>
          <t>FB-00966</t>
        </is>
      </c>
      <c r="B967" t="inlineStr">
        <is>
          <t>CUST-0338</t>
        </is>
      </c>
      <c r="C967" t="inlineStr">
        <is>
          <t>2026-06-12</t>
        </is>
      </c>
      <c r="D967" t="inlineStr">
        <is>
          <t>Support Ticket</t>
        </is>
      </c>
      <c r="E967" t="inlineStr">
        <is>
          <t>Professional</t>
        </is>
      </c>
      <c r="F967" t="inlineStr">
        <is>
          <t>Mid-Market</t>
        </is>
      </c>
      <c r="G967" t="inlineStr">
        <is>
          <t>Lead Management</t>
        </is>
      </c>
      <c r="H967" t="inlineStr">
        <is>
          <t>Bug</t>
        </is>
      </c>
      <c r="I967" t="inlineStr">
        <is>
          <t>Escalating on behalf of our ops lead. Web form submissions keep creating duplicated leads, and reps end up calling the same prospect twice. So far 16 people on our side have reported it. Is there a workaround?</t>
        </is>
      </c>
      <c r="J967" t="inlineStr">
        <is>
          <t>Negative</t>
        </is>
      </c>
      <c r="K967" t="inlineStr">
        <is>
          <t>Medium</t>
        </is>
      </c>
      <c r="L967" t="inlineStr">
        <is>
          <t>Workflow Slowdown</t>
        </is>
      </c>
    </row>
    <row r="968">
      <c r="A968" t="inlineStr">
        <is>
          <t>FB-00967</t>
        </is>
      </c>
      <c r="B968" t="inlineStr">
        <is>
          <t>CUST-0145</t>
        </is>
      </c>
      <c r="C968" t="inlineStr">
        <is>
          <t>2026-06-12</t>
        </is>
      </c>
      <c r="D968" t="inlineStr">
        <is>
          <t>Customer Survey</t>
        </is>
      </c>
      <c r="E968" t="inlineStr">
        <is>
          <t>Professional</t>
        </is>
      </c>
      <c r="F968" t="inlineStr">
        <is>
          <t>SMB</t>
        </is>
      </c>
      <c r="G968" t="inlineStr">
        <is>
          <t>Contact Management</t>
        </is>
      </c>
      <c r="H968" t="inlineStr">
        <is>
          <t>Bug</t>
        </is>
      </c>
      <c r="I968" t="inlineStr">
        <is>
          <t>Raising this again after our last business review. Our spreadsheet import scrambles phone and email columns even after we map them correctly. It affects our lead handoff process every cycle.</t>
        </is>
      </c>
      <c r="J968" t="inlineStr">
        <is>
          <t>Negative</t>
        </is>
      </c>
      <c r="K968" t="inlineStr">
        <is>
          <t>Medium</t>
        </is>
      </c>
      <c r="L968" t="inlineStr">
        <is>
          <t>Workflow Slowdown</t>
        </is>
      </c>
    </row>
    <row r="969">
      <c r="A969" t="inlineStr">
        <is>
          <t>FB-00968</t>
        </is>
      </c>
      <c r="B969" t="inlineStr">
        <is>
          <t>CUST-0284</t>
        </is>
      </c>
      <c r="C969" t="inlineStr">
        <is>
          <t>2026-06-13</t>
        </is>
      </c>
      <c r="D969" t="inlineStr">
        <is>
          <t>In-App Feedback</t>
        </is>
      </c>
      <c r="E969" t="inlineStr">
        <is>
          <t>Enterprise</t>
        </is>
      </c>
      <c r="F969" t="inlineStr">
        <is>
          <t>Enterprise</t>
        </is>
      </c>
      <c r="G969" t="inlineStr">
        <is>
          <t>User Interface</t>
        </is>
      </c>
      <c r="H969" t="inlineStr">
        <is>
          <t>Feature Request</t>
        </is>
      </c>
      <c r="I969" t="inlineStr">
        <is>
          <t>We need multi-select actions to update owners and stages for many records at once. We estimate we lose roughly 8 hours a month on this. Support suggested logging it here.</t>
        </is>
      </c>
      <c r="J969" t="inlineStr">
        <is>
          <t>Negative</t>
        </is>
      </c>
      <c r="K969" t="inlineStr">
        <is>
          <t>Low</t>
        </is>
      </c>
      <c r="L969" t="inlineStr">
        <is>
          <t>Minor Inconvenience</t>
        </is>
      </c>
    </row>
    <row r="970">
      <c r="A970" t="inlineStr">
        <is>
          <t>FB-00969</t>
        </is>
      </c>
      <c r="B970" t="inlineStr">
        <is>
          <t>CUST-0216</t>
        </is>
      </c>
      <c r="C970" t="inlineStr">
        <is>
          <t>2026-06-13</t>
        </is>
      </c>
      <c r="D970" t="inlineStr">
        <is>
          <t>Support Ticket</t>
        </is>
      </c>
      <c r="E970" t="inlineStr">
        <is>
          <t>Starter</t>
        </is>
      </c>
      <c r="F970" t="inlineStr">
        <is>
          <t>Mid-Market</t>
        </is>
      </c>
      <c r="G970" t="inlineStr">
        <is>
          <t>Reporting</t>
        </is>
      </c>
      <c r="H970" t="inlineStr">
        <is>
          <t>Bug</t>
        </is>
      </c>
      <c r="I970" t="inlineStr">
        <is>
          <t>Frustrated with this one. Our Excel export drops formatting and shows dates as numbers. So far 101 people on our side have reported it. Please look into it soon.</t>
        </is>
      </c>
      <c r="J970" t="inlineStr">
        <is>
          <t>Negative</t>
        </is>
      </c>
      <c r="K970" t="inlineStr">
        <is>
          <t>High</t>
        </is>
      </c>
      <c r="L970" t="inlineStr">
        <is>
          <t>Workflow Slowdown</t>
        </is>
      </c>
    </row>
    <row r="971">
      <c r="A971" t="inlineStr">
        <is>
          <t>FB-00970</t>
        </is>
      </c>
      <c r="B971" t="inlineStr">
        <is>
          <t>CUST-0102</t>
        </is>
      </c>
      <c r="C971" t="inlineStr">
        <is>
          <t>2026-06-14</t>
        </is>
      </c>
      <c r="D971" t="inlineStr">
        <is>
          <t>Support Ticket</t>
        </is>
      </c>
      <c r="E971" t="inlineStr">
        <is>
          <t>Professional</t>
        </is>
      </c>
      <c r="F971" t="inlineStr">
        <is>
          <t>Mid-Market</t>
        </is>
      </c>
      <c r="G971" t="inlineStr">
        <is>
          <t>workflow automation</t>
        </is>
      </c>
      <c r="H971" t="inlineStr">
        <is>
          <t>Bug</t>
        </is>
      </c>
      <c r="I971" t="inlineStr">
        <is>
          <t>Since the last release we've had workflow failures and tasks are being created twice. It affects our lead handoff process every cycle. Please look into it soon.</t>
        </is>
      </c>
      <c r="J971" t="inlineStr">
        <is>
          <t>Negative</t>
        </is>
      </c>
      <c r="K971" t="inlineStr">
        <is>
          <t>Medium</t>
        </is>
      </c>
      <c r="L971" t="inlineStr">
        <is>
          <t>Blocks Key Task</t>
        </is>
      </c>
    </row>
    <row r="972">
      <c r="A972" t="inlineStr">
        <is>
          <t>FB-00971</t>
        </is>
      </c>
      <c r="B972" t="inlineStr">
        <is>
          <t>CUST-0027</t>
        </is>
      </c>
      <c r="C972" t="inlineStr">
        <is>
          <t>2026-06-14</t>
        </is>
      </c>
      <c r="D972" t="inlineStr">
        <is>
          <t>In-App Feedback</t>
        </is>
      </c>
      <c r="E972" t="inlineStr">
        <is>
          <t>Professional</t>
        </is>
      </c>
      <c r="F972" t="inlineStr">
        <is>
          <t>SMB</t>
        </is>
      </c>
      <c r="G972" t="inlineStr">
        <is>
          <t>Reporting</t>
        </is>
      </c>
      <c r="H972" t="inlineStr">
        <is>
          <t>Bug</t>
        </is>
      </c>
      <c r="I972" t="inlineStr">
        <is>
          <t>Finance can't rely on the CSV export of reports; totals don't match the screen. We estimate we lose roughly 8 hours a month on this. Support suggested logging it here.</t>
        </is>
      </c>
      <c r="J972" t="inlineStr">
        <is>
          <t>Negative</t>
        </is>
      </c>
      <c r="K972" t="inlineStr">
        <is>
          <t>High</t>
        </is>
      </c>
      <c r="L972" t="inlineStr">
        <is>
          <t>Blocks Key Task</t>
        </is>
      </c>
    </row>
    <row r="973">
      <c r="A973" t="inlineStr">
        <is>
          <t>FB-00972</t>
        </is>
      </c>
      <c r="B973" t="inlineStr">
        <is>
          <t>CUST-0069</t>
        </is>
      </c>
      <c r="C973" t="inlineStr">
        <is>
          <t>2026-06-15</t>
        </is>
      </c>
      <c r="D973" t="inlineStr">
        <is>
          <t>Support Ticket</t>
        </is>
      </c>
      <c r="E973" t="inlineStr">
        <is>
          <t>Starter</t>
        </is>
      </c>
      <c r="F973" t="inlineStr">
        <is>
          <t>Mid-Market</t>
        </is>
      </c>
      <c r="G973" t="inlineStr">
        <is>
          <t>Contact Management</t>
        </is>
      </c>
      <c r="H973" t="inlineStr">
        <is>
          <t>Bug</t>
        </is>
      </c>
      <c r="I973" t="inlineStr">
        <is>
          <t>Not what we expected for the price. The spreadsheet import rejects files with accented characters in names. Our finance analyst flagged it while onboarding 110 new users.</t>
        </is>
      </c>
      <c r="J973" t="inlineStr">
        <is>
          <t>Negative</t>
        </is>
      </c>
      <c r="K973" t="inlineStr">
        <is>
          <t>Low</t>
        </is>
      </c>
      <c r="L973" t="inlineStr">
        <is>
          <t>Minor Inconvenience</t>
        </is>
      </c>
    </row>
    <row r="974">
      <c r="A974" t="inlineStr">
        <is>
          <t>FB-00973</t>
        </is>
      </c>
      <c r="B974" t="inlineStr">
        <is>
          <t>CUST-0154</t>
        </is>
      </c>
      <c r="C974" t="inlineStr">
        <is>
          <t>2026-06-15</t>
        </is>
      </c>
      <c r="D974" t="inlineStr">
        <is>
          <t>Support Ticket</t>
        </is>
      </c>
      <c r="E974" t="inlineStr">
        <is>
          <t>Professional</t>
        </is>
      </c>
      <c r="F974" t="inlineStr">
        <is>
          <t>SMB</t>
        </is>
      </c>
      <c r="G974" t="inlineStr">
        <is>
          <t>Integrations</t>
        </is>
      </c>
      <c r="H974" t="inlineStr">
        <is>
          <t>Integration Issue</t>
        </is>
      </c>
      <c r="I974" t="inlineStr">
        <is>
          <t>This has been a recurring problem for us. Our email sync keeps disconnecting and activities are missing from the contact timeline. Is there a workaround?</t>
        </is>
      </c>
      <c r="J974" t="inlineStr">
        <is>
          <t>Negative</t>
        </is>
      </c>
      <c r="K974" t="inlineStr">
        <is>
          <t>High</t>
        </is>
      </c>
      <c r="L974" t="inlineStr">
        <is>
          <t>Workflow Slowdown</t>
        </is>
      </c>
    </row>
    <row r="975">
      <c r="A975" t="inlineStr">
        <is>
          <t>FB-00974</t>
        </is>
      </c>
      <c r="B975" t="inlineStr">
        <is>
          <t>CUST-0145</t>
        </is>
      </c>
      <c r="C975" t="inlineStr">
        <is>
          <t>2026-06-15</t>
        </is>
      </c>
      <c r="D975" t="inlineStr">
        <is>
          <t>In-App Feedback</t>
        </is>
      </c>
      <c r="E975" t="inlineStr">
        <is>
          <t>Professional</t>
        </is>
      </c>
      <c r="F975" t="inlineStr">
        <is>
          <t>SMB</t>
        </is>
      </c>
      <c r="G975" t="inlineStr">
        <is>
          <t>Workflow Automation</t>
        </is>
      </c>
      <c r="H975" t="inlineStr">
        <is>
          <t>Bug</t>
        </is>
      </c>
      <c r="I975" t="inlineStr">
        <is>
          <t>Since the last release we've had workflow runs failing silently and tasks are being created twice. It happens about 34 times a week for our team of 21. Support suggested logging it here.</t>
        </is>
      </c>
      <c r="J975" t="inlineStr">
        <is>
          <t>Negative</t>
        </is>
      </c>
      <c r="K975" t="inlineStr">
        <is>
          <t>High</t>
        </is>
      </c>
      <c r="L975" t="inlineStr">
        <is>
          <t>Workflow Slowdown</t>
        </is>
      </c>
    </row>
    <row r="976">
      <c r="A976" t="inlineStr">
        <is>
          <t>FB-00975</t>
        </is>
      </c>
      <c r="B976" t="inlineStr">
        <is>
          <t>CUST-0299</t>
        </is>
      </c>
      <c r="C976" t="inlineStr">
        <is>
          <t>2026-06-15</t>
        </is>
      </c>
      <c r="D976" t="inlineStr">
        <is>
          <t>In-App Feedback</t>
        </is>
      </c>
      <c r="E976" t="inlineStr">
        <is>
          <t>Professional</t>
        </is>
      </c>
      <c r="F976" t="inlineStr">
        <is>
          <t>Mid-Market</t>
        </is>
      </c>
      <c r="G976" t="inlineStr">
        <is>
          <t>Contact Management</t>
        </is>
      </c>
      <c r="H976" t="inlineStr">
        <is>
          <t>Performance Issue</t>
        </is>
      </c>
      <c r="I976" t="inlineStr">
        <is>
          <t>Our saved contact filters is slow and often returns stale results right after an update. We estimate we lose roughly 49 hours a month on this.</t>
        </is>
      </c>
      <c r="J976" t="inlineStr">
        <is>
          <t>Negative</t>
        </is>
      </c>
      <c r="K976" t="inlineStr">
        <is>
          <t>Medium</t>
        </is>
      </c>
      <c r="L976" t="inlineStr">
        <is>
          <t>Minor Inconvenience</t>
        </is>
      </c>
    </row>
    <row r="977">
      <c r="A977" t="inlineStr">
        <is>
          <t>FB-00976</t>
        </is>
      </c>
      <c r="B977" t="inlineStr">
        <is>
          <t>CUST-0360</t>
        </is>
      </c>
      <c r="C977" t="inlineStr">
        <is>
          <t>2026-06-15</t>
        </is>
      </c>
      <c r="D977" t="inlineStr">
        <is>
          <t>Support Ticket</t>
        </is>
      </c>
      <c r="E977" t="inlineStr">
        <is>
          <t>Enterprise</t>
        </is>
      </c>
      <c r="F977" t="inlineStr">
        <is>
          <t>Enterprise</t>
        </is>
      </c>
      <c r="G977" t="inlineStr">
        <is>
          <t>Workflow Automation</t>
        </is>
      </c>
      <c r="H977" t="inlineStr">
        <is>
          <t>Usability Issue</t>
        </is>
      </c>
      <c r="I977" t="inlineStr">
        <is>
          <t>I can't tell what a branch does in the workflow editor without opening every node. Let us know if you need examples.</t>
        </is>
      </c>
      <c r="J977" t="inlineStr">
        <is>
          <t>Neutral</t>
        </is>
      </c>
      <c r="K977" t="inlineStr">
        <is>
          <t>High</t>
        </is>
      </c>
      <c r="L977" t="inlineStr">
        <is>
          <t>Workflow Slowdown</t>
        </is>
      </c>
    </row>
    <row r="978">
      <c r="A978" t="inlineStr">
        <is>
          <t>FB-00977</t>
        </is>
      </c>
      <c r="B978" t="inlineStr">
        <is>
          <t>CUST-0338</t>
        </is>
      </c>
      <c r="C978" t="inlineStr">
        <is>
          <t>2026-06-16</t>
        </is>
      </c>
      <c r="D978" t="inlineStr">
        <is>
          <t>In-App Feedback</t>
        </is>
      </c>
      <c r="E978" t="inlineStr">
        <is>
          <t>Professional</t>
        </is>
      </c>
      <c r="F978" t="inlineStr">
        <is>
          <t>Mid-Market</t>
        </is>
      </c>
      <c r="G978" t="inlineStr">
        <is>
          <t>Integrations</t>
        </is>
      </c>
      <c r="H978" t="inlineStr">
        <is>
          <t>Integration Issue</t>
        </is>
      </c>
      <c r="I978" t="inlineStr">
        <is>
          <t>Not what we expected for the price. The Outlook calendar sync duplicates meetings and misses replies. Please look into it soon.</t>
        </is>
      </c>
      <c r="J978" t="inlineStr">
        <is>
          <t xml:space="preserve"> Negative</t>
        </is>
      </c>
      <c r="K978" t="inlineStr">
        <is>
          <t>Medium</t>
        </is>
      </c>
      <c r="L978" t="inlineStr">
        <is>
          <t>Minor Inconvenience</t>
        </is>
      </c>
    </row>
    <row r="979">
      <c r="A979" t="inlineStr">
        <is>
          <t>FB-00978</t>
        </is>
      </c>
      <c r="B979" t="inlineStr">
        <is>
          <t>CUST-0120</t>
        </is>
      </c>
      <c r="C979" t="inlineStr">
        <is>
          <t>2026-06-16</t>
        </is>
      </c>
      <c r="D979" t="inlineStr">
        <is>
          <t>Feature Request</t>
        </is>
      </c>
      <c r="E979" t="inlineStr">
        <is>
          <t>Starter</t>
        </is>
      </c>
      <c r="F979" t="inlineStr">
        <is>
          <t>Mid-Market</t>
        </is>
      </c>
      <c r="G979" t="inlineStr">
        <is>
          <t>Integrations</t>
        </is>
      </c>
      <c r="H979" t="inlineStr">
        <is>
          <t>Feature Request</t>
        </is>
      </c>
      <c r="I979" t="inlineStr">
        <is>
          <t>Great support experience recently. We would pay for a marketing automation connector instead of maintaining Zapier chains. Our customer success lead flagged it while onboarding 67 new users. Keep up the good work.</t>
        </is>
      </c>
      <c r="J979" t="inlineStr">
        <is>
          <t>Positive</t>
        </is>
      </c>
      <c r="K979" t="inlineStr">
        <is>
          <t>Low</t>
        </is>
      </c>
      <c r="L979" t="inlineStr">
        <is>
          <t>Workflow Slowdown</t>
        </is>
      </c>
    </row>
    <row r="980">
      <c r="A980" t="inlineStr">
        <is>
          <t>FB-00979</t>
        </is>
      </c>
      <c r="B980" t="inlineStr">
        <is>
          <t>CUST-0132</t>
        </is>
      </c>
      <c r="C980" t="inlineStr">
        <is>
          <t>2026-06-16</t>
        </is>
      </c>
      <c r="D980" t="inlineStr">
        <is>
          <t>Support Ticket</t>
        </is>
      </c>
      <c r="E980" t="inlineStr">
        <is>
          <t>Starter</t>
        </is>
      </c>
      <c r="F980" t="inlineStr">
        <is>
          <t>SMB</t>
        </is>
      </c>
      <c r="G980" t="inlineStr">
        <is>
          <t>Lead Management</t>
        </is>
      </c>
      <c r="H980" t="inlineStr">
        <is>
          <t>Bug</t>
        </is>
      </c>
      <c r="I980" t="inlineStr">
        <is>
          <t>Not what we expected for the price. We are seeing duplicated leads when a lead arrives from both the website and a trade-show list. Please look into it soon.</t>
        </is>
      </c>
      <c r="J980" t="inlineStr">
        <is>
          <t>Negative</t>
        </is>
      </c>
      <c r="K980" t="inlineStr">
        <is>
          <t>Medium</t>
        </is>
      </c>
      <c r="L980" t="inlineStr">
        <is>
          <t>Minor Inconvenience</t>
        </is>
      </c>
    </row>
    <row r="981">
      <c r="A981" t="inlineStr">
        <is>
          <t>FB-00980</t>
        </is>
      </c>
      <c r="B981" t="inlineStr">
        <is>
          <t>CUST-0249</t>
        </is>
      </c>
      <c r="C981" t="inlineStr">
        <is>
          <t>2026-06-16</t>
        </is>
      </c>
      <c r="D981" t="inlineStr">
        <is>
          <t>Feature Request</t>
        </is>
      </c>
      <c r="E981" t="inlineStr">
        <is>
          <t>Starter</t>
        </is>
      </c>
      <c r="F981" t="inlineStr">
        <is>
          <t>SMB</t>
        </is>
      </c>
      <c r="G981" t="inlineStr">
        <is>
          <t>User Interface</t>
        </is>
      </c>
      <c r="H981" t="inlineStr">
        <is>
          <t>Feature Request</t>
        </is>
      </c>
      <c r="I981" t="inlineStr">
        <is>
          <t>Requesting offline mobile access so reps can log activity right after a meeting. It affects our onboarding process every cycle. Happy to join a feedback call.</t>
        </is>
      </c>
      <c r="J981" t="inlineStr">
        <is>
          <t>Neutral</t>
        </is>
      </c>
      <c r="K981" t="inlineStr">
        <is>
          <t>Medium</t>
        </is>
      </c>
      <c r="L981" t="inlineStr">
        <is>
          <t>Blocks Key Task</t>
        </is>
      </c>
    </row>
    <row r="982">
      <c r="A982" t="inlineStr">
        <is>
          <t>FB-00981</t>
        </is>
      </c>
      <c r="B982" t="inlineStr">
        <is>
          <t>CUST-0231</t>
        </is>
      </c>
      <c r="C982" t="inlineStr">
        <is>
          <t>2026-06-16</t>
        </is>
      </c>
      <c r="D982" t="inlineStr">
        <is>
          <t>Support Ticket</t>
        </is>
      </c>
      <c r="E982" t="inlineStr">
        <is>
          <t>Enterprise</t>
        </is>
      </c>
      <c r="F982" t="inlineStr">
        <is>
          <t>Enterprise</t>
        </is>
      </c>
      <c r="G982" t="inlineStr">
        <is>
          <t>Integrations</t>
        </is>
      </c>
      <c r="H982" t="inlineStr">
        <is>
          <t>Integration Issue</t>
        </is>
      </c>
      <c r="I982" t="inlineStr">
        <is>
          <t>Frustrated with this one. Reps no longer trust Gmail sync, so they log activity by hand.</t>
        </is>
      </c>
      <c r="J982" t="inlineStr">
        <is>
          <t>Negative</t>
        </is>
      </c>
      <c r="K982" t="inlineStr">
        <is>
          <t>Medium</t>
        </is>
      </c>
      <c r="L982" t="inlineStr">
        <is>
          <t>Workflow Slowdown</t>
        </is>
      </c>
    </row>
    <row r="983">
      <c r="A983" t="inlineStr">
        <is>
          <t>FB-00982</t>
        </is>
      </c>
      <c r="B983" t="inlineStr">
        <is>
          <t>CUST-0202</t>
        </is>
      </c>
      <c r="C983" t="inlineStr">
        <is>
          <t>2026-06-16</t>
        </is>
      </c>
      <c r="D983" t="inlineStr">
        <is>
          <t>Feature Request</t>
        </is>
      </c>
      <c r="E983" t="inlineStr">
        <is>
          <t>Enterprise</t>
        </is>
      </c>
      <c r="F983" t="inlineStr">
        <is>
          <t>Enterprise</t>
        </is>
      </c>
      <c r="G983" t="inlineStr">
        <is>
          <t>Reporting</t>
        </is>
      </c>
      <c r="H983" t="inlineStr">
        <is>
          <t>Feature Request</t>
        </is>
      </c>
      <c r="I983" t="inlineStr">
        <is>
          <t>Happy with most of the product. We need a custom report builder so non-technical managers can create their own views. So far 38 people on our side have reported it. Keep up the good work.</t>
        </is>
      </c>
      <c r="J983" t="inlineStr">
        <is>
          <t>Positive</t>
        </is>
      </c>
      <c r="K983" t="inlineStr">
        <is>
          <t>Low</t>
        </is>
      </c>
      <c r="L983" t="inlineStr">
        <is>
          <t>Minor Inconvenience</t>
        </is>
      </c>
    </row>
    <row r="984">
      <c r="A984" t="inlineStr">
        <is>
          <t>FB-00983</t>
        </is>
      </c>
      <c r="B984" t="inlineStr">
        <is>
          <t>CUST-0246</t>
        </is>
      </c>
      <c r="C984" t="inlineStr">
        <is>
          <t>2026-06-16</t>
        </is>
      </c>
      <c r="D984" t="inlineStr">
        <is>
          <t>Customer Survey</t>
        </is>
      </c>
      <c r="E984" t="inlineStr">
        <is>
          <t>Professional</t>
        </is>
      </c>
      <c r="F984" t="inlineStr">
        <is>
          <t>Mid-Market</t>
        </is>
      </c>
      <c r="G984" t="inlineStr">
        <is>
          <t>Lead Management</t>
        </is>
      </c>
      <c r="H984" t="inlineStr">
        <is>
          <t>Usability Issue</t>
        </is>
      </c>
      <c r="I984" t="inlineStr">
        <is>
          <t>Escalating on behalf of our ops lead. We can't combine region and deal size in the round-robin lead assignment. So far 13 people on our side have reported it. We need a fix before renewal.</t>
        </is>
      </c>
      <c r="J984" t="inlineStr">
        <is>
          <t>Negative</t>
        </is>
      </c>
      <c r="K984" t="inlineStr">
        <is>
          <t>Medium</t>
        </is>
      </c>
      <c r="L984" t="inlineStr">
        <is>
          <t>Workflow Slowdown</t>
        </is>
      </c>
    </row>
    <row r="985">
      <c r="A985" t="inlineStr">
        <is>
          <t>FB-00984</t>
        </is>
      </c>
      <c r="B985" t="inlineStr">
        <is>
          <t>CUST-0326</t>
        </is>
      </c>
      <c r="C985" t="inlineStr">
        <is>
          <t>2026-06-16</t>
        </is>
      </c>
      <c r="D985" t="inlineStr">
        <is>
          <t>Support Ticket</t>
        </is>
      </c>
      <c r="E985" t="inlineStr">
        <is>
          <t>Starter</t>
        </is>
      </c>
      <c r="F985" t="inlineStr">
        <is>
          <t>SMB</t>
        </is>
      </c>
      <c r="G985" t="inlineStr">
        <is>
          <t>Workflow Automation</t>
        </is>
      </c>
      <c r="H985" t="inlineStr">
        <is>
          <t>Usability Issue</t>
        </is>
      </c>
      <c r="I985" t="inlineStr">
        <is>
          <t>Raising this again after our last business review. Our new admins struggle with the automation canvas; there is no guidance or validation. We estimate we lose roughly 21 hours a month on this. We need a fix before renewal.</t>
        </is>
      </c>
      <c r="J985" t="inlineStr">
        <is>
          <t>Negative</t>
        </is>
      </c>
      <c r="K985" t="inlineStr">
        <is>
          <t>Medium</t>
        </is>
      </c>
      <c r="L985" t="inlineStr">
        <is>
          <t>Minor Inconvenience</t>
        </is>
      </c>
    </row>
    <row r="986">
      <c r="A986" t="inlineStr">
        <is>
          <t>FB-00985</t>
        </is>
      </c>
      <c r="B986" t="inlineStr">
        <is>
          <t>CUST-0394</t>
        </is>
      </c>
      <c r="C986" t="inlineStr">
        <is>
          <t>2026-06-17</t>
        </is>
      </c>
      <c r="D986" t="inlineStr">
        <is>
          <t>In-App Feedback</t>
        </is>
      </c>
      <c r="E986" t="inlineStr">
        <is>
          <t>Enterprise</t>
        </is>
      </c>
      <c r="F986" t="inlineStr">
        <is>
          <t>Enterprise</t>
        </is>
      </c>
      <c r="G986" t="inlineStr">
        <is>
          <t>Contact Management</t>
        </is>
      </c>
      <c r="H986" t="inlineStr">
        <is>
          <t>Performance Issue</t>
        </is>
      </c>
      <c r="I986" t="inlineStr">
        <is>
          <t>Escalating on behalf of our ops lead. Combining several conditions in contact search makes the page hang. Our RevOps lead flagged it while onboarding 30 new users.</t>
        </is>
      </c>
      <c r="J986" t="inlineStr">
        <is>
          <t>Negative</t>
        </is>
      </c>
      <c r="K986" t="inlineStr">
        <is>
          <t>High</t>
        </is>
      </c>
      <c r="L986" t="inlineStr">
        <is>
          <t>Blocks Key Task</t>
        </is>
      </c>
    </row>
    <row r="987">
      <c r="A987" t="inlineStr">
        <is>
          <t>FB-00986</t>
        </is>
      </c>
      <c r="B987" t="inlineStr">
        <is>
          <t>CUST-0054</t>
        </is>
      </c>
      <c r="C987" t="inlineStr">
        <is>
          <t>2026-06-17</t>
        </is>
      </c>
      <c r="D987" t="inlineStr">
        <is>
          <t>Support Ticket</t>
        </is>
      </c>
      <c r="E987" t="inlineStr">
        <is>
          <t>Enterprise</t>
        </is>
      </c>
      <c r="F987" t="inlineStr">
        <is>
          <t>Enterprise</t>
        </is>
      </c>
      <c r="G987" t="inlineStr">
        <is>
          <t>Integrations</t>
        </is>
      </c>
      <c r="H987" t="inlineStr">
        <is>
          <t>Integration Issue</t>
        </is>
      </c>
      <c r="I987" t="inlineStr">
        <is>
          <t>Our integration partner flagged API rate limits as a risk for the project. Our admin flagged it while onboarding 102 new users. Happy to join a feedback call.</t>
        </is>
      </c>
      <c r="J987" t="inlineStr">
        <is>
          <t>Neutral</t>
        </is>
      </c>
      <c r="K987" t="inlineStr">
        <is>
          <t>Medium</t>
        </is>
      </c>
      <c r="L987" t="inlineStr">
        <is>
          <t>Workflow Slowdown</t>
        </is>
      </c>
    </row>
    <row r="988">
      <c r="A988" t="inlineStr">
        <is>
          <t>FB-00987</t>
        </is>
      </c>
      <c r="B988" t="inlineStr">
        <is>
          <t>CUST-0094</t>
        </is>
      </c>
      <c r="C988" t="inlineStr">
        <is>
          <t>2026-06-17</t>
        </is>
      </c>
      <c r="D988" t="inlineStr">
        <is>
          <t>In-App Feedback</t>
        </is>
      </c>
      <c r="E988" t="inlineStr">
        <is>
          <t>Professional</t>
        </is>
      </c>
      <c r="F988" t="inlineStr">
        <is>
          <t>SMB</t>
        </is>
      </c>
      <c r="G988" t="inlineStr">
        <is>
          <t>Reporting</t>
        </is>
      </c>
      <c r="H988" t="inlineStr">
        <is>
          <t>Bug</t>
        </is>
      </c>
      <c r="I988" t="inlineStr">
        <is>
          <t>Our Excel export drops formatting and shows dates as numbers.</t>
        </is>
      </c>
      <c r="J988" t="inlineStr">
        <is>
          <t>Neutral</t>
        </is>
      </c>
      <c r="K988" t="inlineStr">
        <is>
          <t>Medium</t>
        </is>
      </c>
      <c r="L988" t="inlineStr">
        <is>
          <t>Workflow Slowdown</t>
        </is>
      </c>
    </row>
    <row r="989">
      <c r="A989" t="inlineStr">
        <is>
          <t>FB-00988</t>
        </is>
      </c>
      <c r="B989" t="inlineStr">
        <is>
          <t>CUST-0002</t>
        </is>
      </c>
      <c r="C989" t="inlineStr">
        <is>
          <t>18-Jun-2026</t>
        </is>
      </c>
      <c r="D989" t="inlineStr">
        <is>
          <t>Customer Survey</t>
        </is>
      </c>
      <c r="E989" t="inlineStr">
        <is>
          <t>Starter</t>
        </is>
      </c>
      <c r="F989" t="inlineStr">
        <is>
          <t>SMB</t>
        </is>
      </c>
      <c r="G989" t="inlineStr">
        <is>
          <t>Workflow Automation</t>
        </is>
      </c>
      <c r="H989" t="inlineStr">
        <is>
          <t>Feature Request</t>
        </is>
      </c>
      <c r="I989" t="inlineStr">
        <is>
          <t>FYI for the product team. Please provide prebuilt automations for common processes like onboarding and renewals. It happens about 29 times a week for our team of 5. Happy to join a feedback call.</t>
        </is>
      </c>
      <c r="J989" t="inlineStr">
        <is>
          <t>Neutral</t>
        </is>
      </c>
      <c r="K989" t="inlineStr">
        <is>
          <t>High</t>
        </is>
      </c>
      <c r="L989" t="inlineStr">
        <is>
          <t>Blocks Key Task</t>
        </is>
      </c>
    </row>
    <row r="990">
      <c r="A990" t="inlineStr">
        <is>
          <t>FB-00989</t>
        </is>
      </c>
      <c r="B990" t="inlineStr">
        <is>
          <t>CUST-0286</t>
        </is>
      </c>
      <c r="C990" t="inlineStr">
        <is>
          <t>2026-06-18</t>
        </is>
      </c>
      <c r="D990" t="inlineStr">
        <is>
          <t>Feature Request</t>
        </is>
      </c>
      <c r="E990" t="inlineStr">
        <is>
          <t>Enterprise</t>
        </is>
      </c>
      <c r="F990" t="inlineStr">
        <is>
          <t>Enterprise</t>
        </is>
      </c>
      <c r="G990" t="inlineStr">
        <is>
          <t>Workflow Automation</t>
        </is>
      </c>
      <c r="H990" t="inlineStr">
        <is>
          <t>Feature Request</t>
        </is>
      </c>
      <c r="I990" t="inlineStr">
        <is>
          <t>Please provide prebuilt automations for common processes like onboarding and renewals.</t>
        </is>
      </c>
      <c r="J990" t="inlineStr">
        <is>
          <t>Neutral</t>
        </is>
      </c>
      <c r="K990" t="inlineStr">
        <is>
          <t>High</t>
        </is>
      </c>
      <c r="L990" t="inlineStr">
        <is>
          <t>Workflow Slowdown</t>
        </is>
      </c>
    </row>
    <row r="991">
      <c r="A991" t="inlineStr">
        <is>
          <t>FB-00990</t>
        </is>
      </c>
      <c r="B991" t="inlineStr">
        <is>
          <t>CUST-0210</t>
        </is>
      </c>
      <c r="C991" t="inlineStr">
        <is>
          <t>2026-06-18</t>
        </is>
      </c>
      <c r="D991" t="inlineStr">
        <is>
          <t>Feature Request</t>
        </is>
      </c>
      <c r="E991" t="inlineStr">
        <is>
          <t>Professional</t>
        </is>
      </c>
      <c r="F991" t="inlineStr">
        <is>
          <t>Mid-Market</t>
        </is>
      </c>
      <c r="G991" t="inlineStr">
        <is>
          <t>Lead Management</t>
        </is>
      </c>
      <c r="H991" t="inlineStr">
        <is>
          <t>Feature Request</t>
        </is>
      </c>
      <c r="I991" t="inlineStr">
        <is>
          <t>Overall we like the product. Right now reps rank leads by gut feel; lead scoring rules would fix that. So far 50 people on our side have reported it. Thanks to the team.</t>
        </is>
      </c>
      <c r="J991" t="inlineStr">
        <is>
          <t>Positive</t>
        </is>
      </c>
      <c r="K991" t="inlineStr">
        <is>
          <t>Low</t>
        </is>
      </c>
      <c r="L991" t="inlineStr">
        <is>
          <t>Minor Inconvenience</t>
        </is>
      </c>
    </row>
    <row r="992">
      <c r="A992" t="inlineStr">
        <is>
          <t>FB-00991</t>
        </is>
      </c>
      <c r="B992" t="inlineStr">
        <is>
          <t>CUST-0107</t>
        </is>
      </c>
      <c r="C992" t="inlineStr">
        <is>
          <t>2026-06-18</t>
        </is>
      </c>
      <c r="D992" t="inlineStr">
        <is>
          <t>Feature Request</t>
        </is>
      </c>
      <c r="E992" t="inlineStr">
        <is>
          <t>Starter</t>
        </is>
      </c>
      <c r="F992" t="inlineStr">
        <is>
          <t>SMB</t>
        </is>
      </c>
      <c r="G992" t="inlineStr">
        <is>
          <t>Contact Management</t>
        </is>
      </c>
      <c r="H992" t="inlineStr">
        <is>
          <t>Feature Request</t>
        </is>
      </c>
      <c r="I992" t="inlineStr">
        <is>
          <t>Noting this during onboarding. Contact de-duplication tooling that keeps activity history would save our ops team hours. It happens about 23 times a week for our team of 95. Let us know if you need examples.</t>
        </is>
      </c>
      <c r="J992" t="inlineStr">
        <is>
          <t>Neutral</t>
        </is>
      </c>
      <c r="K992" t="inlineStr">
        <is>
          <t>Low</t>
        </is>
      </c>
      <c r="L992" t="inlineStr">
        <is>
          <t>Minor Inconvenience</t>
        </is>
      </c>
    </row>
    <row r="993">
      <c r="A993" t="inlineStr">
        <is>
          <t>FB-00992</t>
        </is>
      </c>
      <c r="B993" t="inlineStr">
        <is>
          <t>CUST-0347</t>
        </is>
      </c>
      <c r="C993" t="inlineStr">
        <is>
          <t>2026-06-18</t>
        </is>
      </c>
      <c r="D993" t="inlineStr">
        <is>
          <t>Support Ticket</t>
        </is>
      </c>
      <c r="E993" t="inlineStr">
        <is>
          <t>Starter</t>
        </is>
      </c>
      <c r="F993" t="inlineStr">
        <is>
          <t>SMB</t>
        </is>
      </c>
      <c r="G993" t="inlineStr">
        <is>
          <t>Contact Management</t>
        </is>
      </c>
      <c r="H993" t="inlineStr">
        <is>
          <t>Bug</t>
        </is>
      </c>
      <c r="I993" t="inlineStr">
        <is>
          <t>Our spreadsheet import scrambles phone and email columns even after we map them correctly. Please look into it soon.</t>
        </is>
      </c>
      <c r="J993" t="inlineStr">
        <is>
          <t>Negative</t>
        </is>
      </c>
      <c r="K993" t="inlineStr">
        <is>
          <t>Medium</t>
        </is>
      </c>
      <c r="L993" t="inlineStr">
        <is>
          <t>Workflow Slowdown</t>
        </is>
      </c>
    </row>
    <row r="994">
      <c r="A994" t="inlineStr">
        <is>
          <t>FB-00993</t>
        </is>
      </c>
      <c r="B994" t="inlineStr">
        <is>
          <t>CUST-0096</t>
        </is>
      </c>
      <c r="C994" t="inlineStr">
        <is>
          <t>2026-06-19</t>
        </is>
      </c>
      <c r="D994" t="inlineStr">
        <is>
          <t>Feature Request</t>
        </is>
      </c>
      <c r="E994" t="inlineStr">
        <is>
          <t>Enterprise</t>
        </is>
      </c>
      <c r="F994" t="inlineStr">
        <is>
          <t>Enterprise</t>
        </is>
      </c>
      <c r="G994" t="inlineStr">
        <is>
          <t>Integrations</t>
        </is>
      </c>
      <c r="H994" t="inlineStr">
        <is>
          <t>Feature Request</t>
        </is>
      </c>
      <c r="I994" t="inlineStr">
        <is>
          <t>FYI for the product team. Our security team requires SSO support before we can expand seats. It affects our quarterly planning process every cycle.</t>
        </is>
      </c>
      <c r="J994" t="inlineStr">
        <is>
          <t>Neutral</t>
        </is>
      </c>
      <c r="K994" t="inlineStr">
        <is>
          <t>Low</t>
        </is>
      </c>
      <c r="L994" t="inlineStr">
        <is>
          <t>Blocks Key Task</t>
        </is>
      </c>
    </row>
    <row r="995">
      <c r="A995" t="inlineStr">
        <is>
          <t>FB-00994</t>
        </is>
      </c>
      <c r="B995" t="inlineStr">
        <is>
          <t>CUST-0107</t>
        </is>
      </c>
      <c r="C995" t="inlineStr">
        <is>
          <t>2026-06-19</t>
        </is>
      </c>
      <c r="D995" t="inlineStr">
        <is>
          <t>Customer Survey</t>
        </is>
      </c>
      <c r="E995" t="inlineStr">
        <is>
          <t>Starter</t>
        </is>
      </c>
      <c r="F995" t="inlineStr">
        <is>
          <t>SMB</t>
        </is>
      </c>
      <c r="G995" t="inlineStr">
        <is>
          <t>User Interface</t>
        </is>
      </c>
      <c r="H995" t="inlineStr">
        <is>
          <t>Feature Request</t>
        </is>
      </c>
      <c r="I995" t="inlineStr">
        <is>
          <t>Sharing this from our team. Please prioritize offline mobile access; the mobile web view is hard to use. So far 94 people on our side have reported it. Happy to join a feedback call.</t>
        </is>
      </c>
      <c r="J995" t="inlineStr">
        <is>
          <t>Neutral</t>
        </is>
      </c>
      <c r="K995" t="inlineStr">
        <is>
          <t>Medium</t>
        </is>
      </c>
      <c r="L995" t="inlineStr">
        <is>
          <t>Minor Inconvenience</t>
        </is>
      </c>
    </row>
    <row r="996">
      <c r="A996" t="inlineStr">
        <is>
          <t>FB-00995</t>
        </is>
      </c>
      <c r="B996" t="inlineStr">
        <is>
          <t>CUST-0261</t>
        </is>
      </c>
      <c r="C996" t="inlineStr">
        <is>
          <t>2026-06-19</t>
        </is>
      </c>
      <c r="D996" t="inlineStr">
        <is>
          <t>In-App Feedback</t>
        </is>
      </c>
      <c r="E996" t="inlineStr">
        <is>
          <t>Professional</t>
        </is>
      </c>
      <c r="F996" t="inlineStr">
        <is>
          <t>Enterprise</t>
        </is>
      </c>
      <c r="G996" t="inlineStr">
        <is>
          <t>Integrations</t>
        </is>
      </c>
      <c r="H996" t="inlineStr">
        <is>
          <t>Integration Issue</t>
        </is>
      </c>
      <c r="I996" t="inlineStr">
        <is>
          <t>After the token expires, Outlook calendar sync stops with no warning. It affects our quarterly planning process every cycle.</t>
        </is>
      </c>
      <c r="J996" t="inlineStr">
        <is>
          <t>Neutral</t>
        </is>
      </c>
      <c r="K996" t="inlineStr">
        <is>
          <t>High</t>
        </is>
      </c>
      <c r="L996" t="inlineStr">
        <is>
          <t>Blocks Key Task</t>
        </is>
      </c>
    </row>
    <row r="997">
      <c r="A997" t="inlineStr">
        <is>
          <t>FB-00996</t>
        </is>
      </c>
      <c r="B997" t="inlineStr">
        <is>
          <t>CUST-0418</t>
        </is>
      </c>
      <c r="C997" t="inlineStr">
        <is>
          <t>2026-06-19</t>
        </is>
      </c>
      <c r="D997" t="inlineStr">
        <is>
          <t>Feature Request</t>
        </is>
      </c>
      <c r="E997" t="inlineStr">
        <is>
          <t>Professional</t>
        </is>
      </c>
      <c r="F997" t="inlineStr">
        <is>
          <t>Mid-Market</t>
        </is>
      </c>
      <c r="G997" t="inlineStr">
        <is>
          <t>User Interface</t>
        </is>
      </c>
      <c r="H997" t="inlineStr">
        <is>
          <t>Feature Request</t>
        </is>
      </c>
      <c r="I997" t="inlineStr">
        <is>
          <t>Happy with most of the product. Please prioritize a mobile app; the mobile web view is hard to use.</t>
        </is>
      </c>
      <c r="J997" t="inlineStr">
        <is>
          <t>Positive</t>
        </is>
      </c>
      <c r="K997" t="inlineStr">
        <is>
          <t>Low</t>
        </is>
      </c>
      <c r="L997" t="inlineStr">
        <is>
          <t>Minor Inconvenience</t>
        </is>
      </c>
    </row>
    <row r="998">
      <c r="A998" t="inlineStr">
        <is>
          <t>FB-00997</t>
        </is>
      </c>
      <c r="B998" t="inlineStr">
        <is>
          <t>CUST-0338</t>
        </is>
      </c>
      <c r="C998" t="inlineStr">
        <is>
          <t>2026-06-19</t>
        </is>
      </c>
      <c r="D998" t="inlineStr">
        <is>
          <t>Support Ticket</t>
        </is>
      </c>
      <c r="E998" t="inlineStr">
        <is>
          <t>Professional</t>
        </is>
      </c>
      <c r="F998" t="inlineStr">
        <is>
          <t>Mid-Market</t>
        </is>
      </c>
      <c r="G998" t="inlineStr">
        <is>
          <t>User Interface</t>
        </is>
      </c>
      <c r="H998" t="inlineStr">
        <is>
          <t>Performance Issue</t>
        </is>
      </c>
      <c r="I998" t="inlineStr">
        <is>
          <t>Quick note from our admin. Since the redesign there is more UI freezing on older laptops. We estimate we lose roughly 47 hours a month on this. Happy to join a feedback call.</t>
        </is>
      </c>
      <c r="J998" t="inlineStr">
        <is>
          <t>Neutral</t>
        </is>
      </c>
      <c r="K998" t="inlineStr">
        <is>
          <t>Low</t>
        </is>
      </c>
      <c r="L998" t="inlineStr">
        <is>
          <t>Minor Inconvenience</t>
        </is>
      </c>
    </row>
    <row r="999">
      <c r="A999" t="inlineStr">
        <is>
          <t>FB-00998</t>
        </is>
      </c>
      <c r="B999" t="inlineStr">
        <is>
          <t>CUST-0117</t>
        </is>
      </c>
      <c r="C999" t="inlineStr">
        <is>
          <t>2026-06-19</t>
        </is>
      </c>
      <c r="D999" t="inlineStr">
        <is>
          <t>Support Ticket</t>
        </is>
      </c>
      <c r="E999" t="inlineStr">
        <is>
          <t>Professional</t>
        </is>
      </c>
      <c r="F999" t="inlineStr">
        <is>
          <t>Mid-Market</t>
        </is>
      </c>
      <c r="G999" t="inlineStr">
        <is>
          <t>Contact Management</t>
        </is>
      </c>
      <c r="H999" t="inlineStr">
        <is>
          <t>Bug</t>
        </is>
      </c>
      <c r="I999" t="inlineStr">
        <is>
          <t>Not what we expected for the price. The spreadsheet import rejects files with accented characters in names. Our admin flagged it while onboarding 109 new users. Is there a workaround?</t>
        </is>
      </c>
      <c r="J999" t="inlineStr">
        <is>
          <t>Negative</t>
        </is>
      </c>
      <c r="K999" t="inlineStr">
        <is>
          <t>High</t>
        </is>
      </c>
      <c r="L999" t="inlineStr">
        <is>
          <t>Workflow Slowdown</t>
        </is>
      </c>
    </row>
    <row r="1000">
      <c r="A1000" t="inlineStr">
        <is>
          <t>FB-00999</t>
        </is>
      </c>
      <c r="B1000" t="inlineStr">
        <is>
          <t>CUST-0203</t>
        </is>
      </c>
      <c r="C1000" t="inlineStr">
        <is>
          <t>2026-06-20</t>
        </is>
      </c>
      <c r="D1000" t="inlineStr">
        <is>
          <t>Customer Survey</t>
        </is>
      </c>
      <c r="E1000" t="inlineStr">
        <is>
          <t>Professional</t>
        </is>
      </c>
      <c r="F1000" t="inlineStr">
        <is>
          <t>Mid-Market</t>
        </is>
      </c>
      <c r="G1000" t="inlineStr">
        <is>
          <t>Reporting</t>
        </is>
      </c>
      <c r="H1000" t="inlineStr">
        <is>
          <t>Feature Request</t>
        </is>
      </c>
      <c r="I1000" t="inlineStr">
        <is>
          <t>Requesting report scheduling so leadership gets numbers without logging in. Happy to join a feedback call.</t>
        </is>
      </c>
      <c r="J1000" t="inlineStr">
        <is>
          <t>Neutral</t>
        </is>
      </c>
      <c r="K1000" t="inlineStr">
        <is>
          <t>Low</t>
        </is>
      </c>
      <c r="L1000" t="inlineStr">
        <is>
          <t>Minor Inconvenience</t>
        </is>
      </c>
    </row>
    <row r="1001">
      <c r="A1001" t="inlineStr">
        <is>
          <t>FB-01000</t>
        </is>
      </c>
      <c r="B1001" t="inlineStr">
        <is>
          <t>CUST-0153</t>
        </is>
      </c>
      <c r="C1001" t="inlineStr">
        <is>
          <t>2026-06-20</t>
        </is>
      </c>
      <c r="D1001" t="inlineStr">
        <is>
          <t>Feature Request</t>
        </is>
      </c>
      <c r="E1001" t="inlineStr">
        <is>
          <t>Enterprise</t>
        </is>
      </c>
      <c r="F1001" t="inlineStr">
        <is>
          <t>Enterprise</t>
        </is>
      </c>
      <c r="G1001" t="inlineStr">
        <is>
          <t>Contact Management</t>
        </is>
      </c>
      <c r="H1001" t="inlineStr">
        <is>
          <t>Feature Request</t>
        </is>
      </c>
      <c r="I1001" t="inlineStr">
        <is>
          <t>We need a tool to merge duplicate contacts because our database has years of overlapping records. Our customer success lead flagged it while onboarding 109 new users. Happy to join a feedback call.</t>
        </is>
      </c>
      <c r="J1001" t="inlineStr">
        <is>
          <t>Neutral</t>
        </is>
      </c>
      <c r="K1001" t="inlineStr">
        <is>
          <t>Medium</t>
        </is>
      </c>
      <c r="L1001" t="inlineStr">
        <is>
          <t>Workflow Slowdown</t>
        </is>
      </c>
    </row>
    <row r="1002">
      <c r="A1002" t="inlineStr">
        <is>
          <t>FB-01001</t>
        </is>
      </c>
      <c r="B1002" t="inlineStr">
        <is>
          <t>CUST-0046</t>
        </is>
      </c>
      <c r="C1002" t="inlineStr">
        <is>
          <t>2026-06-20</t>
        </is>
      </c>
      <c r="D1002" t="inlineStr">
        <is>
          <t>Customer Survey</t>
        </is>
      </c>
      <c r="E1002" t="inlineStr">
        <is>
          <t>Professional</t>
        </is>
      </c>
      <c r="F1002" t="inlineStr">
        <is>
          <t>Mid-Market</t>
        </is>
      </c>
      <c r="G1002" t="inlineStr">
        <is>
          <t>Integrations</t>
        </is>
      </c>
      <c r="H1002" t="inlineStr">
        <is>
          <t>Integration Issue</t>
        </is>
      </c>
      <c r="I1002" t="inlineStr">
        <is>
          <t>Our integration partner flagged API timeouts as a risk for the project. It affects our onboarding process every cycle.</t>
        </is>
      </c>
      <c r="J1002" t="inlineStr">
        <is>
          <t>Neutral</t>
        </is>
      </c>
      <c r="K1002" t="inlineStr">
        <is>
          <t>Medium</t>
        </is>
      </c>
      <c r="L1002" t="inlineStr">
        <is>
          <t>Minor Inconvenience</t>
        </is>
      </c>
    </row>
    <row r="1003">
      <c r="A1003" t="inlineStr">
        <is>
          <t>FB-01002</t>
        </is>
      </c>
      <c r="B1003" t="inlineStr">
        <is>
          <t>CUST-0074</t>
        </is>
      </c>
      <c r="C1003" t="inlineStr">
        <is>
          <t>2026-06-20</t>
        </is>
      </c>
      <c r="D1003" t="inlineStr">
        <is>
          <t>Support Ticket</t>
        </is>
      </c>
      <c r="E1003" t="inlineStr">
        <is>
          <t>Enterprise</t>
        </is>
      </c>
      <c r="F1003" t="inlineStr">
        <is>
          <t>Mid-Market</t>
        </is>
      </c>
      <c r="G1003" t="inlineStr">
        <is>
          <t>Workflow Automation</t>
        </is>
      </c>
      <c r="H1003" t="inlineStr">
        <is>
          <t>Bug</t>
        </is>
      </c>
      <c r="I1003" t="inlineStr">
        <is>
          <t>Frustrated with this one. Several automation misfires left deals stuck in the wrong stage. Support suggested logging it here.</t>
        </is>
      </c>
      <c r="J1003" t="inlineStr">
        <is>
          <t>Negative</t>
        </is>
      </c>
      <c r="K1003" t="inlineStr">
        <is>
          <t>High</t>
        </is>
      </c>
      <c r="L1003" t="inlineStr">
        <is>
          <t>Blocks Key Task</t>
        </is>
      </c>
    </row>
    <row r="1004">
      <c r="A1004" t="inlineStr">
        <is>
          <t>FB-01003</t>
        </is>
      </c>
      <c r="B1004" t="inlineStr">
        <is>
          <t>CUST-0358</t>
        </is>
      </c>
      <c r="C1004" t="inlineStr">
        <is>
          <t>2026-06-21</t>
        </is>
      </c>
      <c r="D1004" t="inlineStr">
        <is>
          <t>Customer Survey</t>
        </is>
      </c>
      <c r="E1004" t="inlineStr">
        <is>
          <t>Starter</t>
        </is>
      </c>
      <c r="F1004" t="inlineStr">
        <is>
          <t>Mid-Market</t>
        </is>
      </c>
      <c r="G1004" t="inlineStr">
        <is>
          <t>User Interface</t>
        </is>
      </c>
      <c r="H1004" t="inlineStr">
        <is>
          <t>Usability Issue</t>
        </is>
      </c>
      <c r="I1004" t="inlineStr">
        <is>
          <t>This has been a recurring problem for us. Too many clicks to reach common screens because of the navigation menu. So far 105 people on our side have reported it. We need a fix before renewal.</t>
        </is>
      </c>
      <c r="J1004" t="inlineStr">
        <is>
          <t>Negative</t>
        </is>
      </c>
      <c r="K1004" t="inlineStr">
        <is>
          <t>Medium</t>
        </is>
      </c>
      <c r="L1004" t="inlineStr">
        <is>
          <t>Blocks Key Task</t>
        </is>
      </c>
    </row>
    <row r="1005">
      <c r="A1005" t="inlineStr">
        <is>
          <t>FB-01004</t>
        </is>
      </c>
      <c r="B1005" t="inlineStr">
        <is>
          <t>CUST-0002</t>
        </is>
      </c>
      <c r="C1005" t="inlineStr">
        <is>
          <t>2026-06-21</t>
        </is>
      </c>
      <c r="D1005" t="inlineStr">
        <is>
          <t>In-App Feedback</t>
        </is>
      </c>
      <c r="E1005" t="inlineStr">
        <is>
          <t>Starter</t>
        </is>
      </c>
      <c r="F1005" t="inlineStr">
        <is>
          <t>SMB</t>
        </is>
      </c>
      <c r="G1005" t="inlineStr">
        <is>
          <t>Lead Management</t>
        </is>
      </c>
      <c r="H1005" t="inlineStr">
        <is>
          <t>Performance Issue</t>
        </is>
      </c>
      <c r="I1005" t="inlineStr">
        <is>
          <t>Reps have stopped using the board because of lead view load times. We estimate we lose roughly 47 hours a month on this. Please look into it soon.</t>
        </is>
      </c>
      <c r="J1005" t="inlineStr">
        <is>
          <t>Negative</t>
        </is>
      </c>
      <c r="K1005" t="inlineStr">
        <is>
          <t>Medium</t>
        </is>
      </c>
      <c r="L1005" t="inlineStr">
        <is>
          <t>Workflow Slowdown</t>
        </is>
      </c>
    </row>
    <row r="1006">
      <c r="A1006" t="inlineStr">
        <is>
          <t>FB-01005</t>
        </is>
      </c>
      <c r="B1006" t="inlineStr">
        <is>
          <t>CUST-0204</t>
        </is>
      </c>
      <c r="C1006" t="inlineStr">
        <is>
          <t>2026-06-21</t>
        </is>
      </c>
      <c r="D1006" t="inlineStr">
        <is>
          <t>Support Ticket</t>
        </is>
      </c>
      <c r="E1006" t="inlineStr">
        <is>
          <t>Enterprise</t>
        </is>
      </c>
      <c r="F1006" t="inlineStr">
        <is>
          <t>Enterprise</t>
        </is>
      </c>
      <c r="G1006" t="inlineStr">
        <is>
          <t>Integrations</t>
        </is>
      </c>
      <c r="H1006" t="inlineStr">
        <is>
          <t>Feature Request</t>
        </is>
      </c>
      <c r="I1006" t="inlineStr">
        <is>
          <t>Noting this during onboarding. Please add SSO support; managing users by hand does not scale. Happy to join a feedback call.</t>
        </is>
      </c>
      <c r="J1006" t="inlineStr">
        <is>
          <t>Neutral</t>
        </is>
      </c>
      <c r="K1006" t="inlineStr">
        <is>
          <t>Low</t>
        </is>
      </c>
      <c r="L1006" t="inlineStr">
        <is>
          <t>Workflow Slowdown</t>
        </is>
      </c>
    </row>
    <row r="1007">
      <c r="A1007" t="inlineStr">
        <is>
          <t>FB-01006</t>
        </is>
      </c>
      <c r="B1007" t="inlineStr">
        <is>
          <t>CUST-0126</t>
        </is>
      </c>
      <c r="C1007" t="inlineStr">
        <is>
          <t>2026-06-21</t>
        </is>
      </c>
      <c r="D1007" t="inlineStr">
        <is>
          <t>Customer Survey</t>
        </is>
      </c>
      <c r="E1007" t="inlineStr">
        <is>
          <t>Professional</t>
        </is>
      </c>
      <c r="F1007" t="inlineStr">
        <is>
          <t>Mid-Market</t>
        </is>
      </c>
      <c r="G1007" t="inlineStr">
        <is>
          <t>User Interface</t>
        </is>
      </c>
      <c r="H1007" t="inlineStr">
        <is>
          <t>Usability Issue</t>
        </is>
      </c>
      <c r="I1007" t="inlineStr">
        <is>
          <t>FYI for the product team. Too many clicks to reach common screens because of the settings navigation. Let us know if you need examples.</t>
        </is>
      </c>
      <c r="J1007" t="inlineStr">
        <is>
          <t>Neutral</t>
        </is>
      </c>
      <c r="K1007" t="inlineStr">
        <is>
          <t>Low</t>
        </is>
      </c>
      <c r="L1007" t="inlineStr">
        <is>
          <t>Minor Inconvenience</t>
        </is>
      </c>
    </row>
    <row r="1008">
      <c r="A1008" t="inlineStr">
        <is>
          <t>FB-01007</t>
        </is>
      </c>
      <c r="B1008" t="inlineStr">
        <is>
          <t>CUST-0152</t>
        </is>
      </c>
      <c r="C1008" t="inlineStr">
        <is>
          <t>2026-06-21</t>
        </is>
      </c>
      <c r="D1008" t="inlineStr">
        <is>
          <t>Support Ticket</t>
        </is>
      </c>
      <c r="E1008" t="inlineStr">
        <is>
          <t>Enterprise</t>
        </is>
      </c>
      <c r="F1008" t="inlineStr">
        <is>
          <t>Enterprise</t>
        </is>
      </c>
      <c r="G1008" t="inlineStr">
        <is>
          <t>Lead Management</t>
        </is>
      </c>
      <c r="H1008" t="inlineStr">
        <is>
          <t>Bug</t>
        </is>
      </c>
      <c r="I1008" t="inlineStr">
        <is>
          <t>Sharing this from our team. We are seeing duplicated leads when a lead arrives from both the website and a trade-show list. It affects our lead handoff process every cycle. Happy to join a feedback call.</t>
        </is>
      </c>
      <c r="J1008" t="inlineStr">
        <is>
          <t>Neutral</t>
        </is>
      </c>
      <c r="K1008" t="inlineStr">
        <is>
          <t>Medium</t>
        </is>
      </c>
      <c r="L1008" t="inlineStr">
        <is>
          <t>Workflow Slowdown</t>
        </is>
      </c>
    </row>
    <row r="1009">
      <c r="A1009" t="inlineStr">
        <is>
          <t>FB-01008</t>
        </is>
      </c>
      <c r="B1009" t="inlineStr">
        <is>
          <t>CUST-0322</t>
        </is>
      </c>
      <c r="C1009" t="inlineStr">
        <is>
          <t>2026-06-21</t>
        </is>
      </c>
      <c r="D1009" t="inlineStr">
        <is>
          <t>In-App Feedback</t>
        </is>
      </c>
      <c r="E1009" t="inlineStr">
        <is>
          <t>Starter</t>
        </is>
      </c>
      <c r="F1009" t="inlineStr">
        <is>
          <t>SMB</t>
        </is>
      </c>
      <c r="G1009" t="inlineStr">
        <is>
          <t>User Interface</t>
        </is>
      </c>
      <c r="H1009" t="inlineStr">
        <is>
          <t>Usability Issue</t>
        </is>
      </c>
      <c r="I1009" t="inlineStr">
        <is>
          <t>Sharing this from our team. New hires get lost in the navigation menu; it takes weeks to learn. We estimate we lose roughly 39 hours a month on this.</t>
        </is>
      </c>
      <c r="J1009" t="inlineStr">
        <is>
          <t>Neutral</t>
        </is>
      </c>
      <c r="K1009" t="inlineStr">
        <is>
          <t>Low</t>
        </is>
      </c>
      <c r="L1009" t="inlineStr">
        <is>
          <t>Minor Inconvenience</t>
        </is>
      </c>
    </row>
    <row r="1010">
      <c r="A1010" t="inlineStr">
        <is>
          <t>FB-01009</t>
        </is>
      </c>
      <c r="B1010" t="inlineStr">
        <is>
          <t>CUST-0054</t>
        </is>
      </c>
      <c r="C1010" t="inlineStr">
        <is>
          <t>2026-06-21</t>
        </is>
      </c>
      <c r="D1010" t="inlineStr">
        <is>
          <t>In-App Feedback</t>
        </is>
      </c>
      <c r="E1010" t="inlineStr">
        <is>
          <t>Enterprise</t>
        </is>
      </c>
      <c r="F1010" t="inlineStr">
        <is>
          <t>Enterprise</t>
        </is>
      </c>
      <c r="G1010" t="inlineStr">
        <is>
          <t>Workflow Automation</t>
        </is>
      </c>
      <c r="H1010" t="inlineStr">
        <is>
          <t>Feature Request</t>
        </is>
      </c>
      <c r="I1010" t="inlineStr">
        <is>
          <t>Great support experience recently. We'd adopt automation faster with workflow templates we could customize. So far 10 people on our side have reported it. Thanks to the team.</t>
        </is>
      </c>
      <c r="J1010" t="inlineStr">
        <is>
          <t>Positive</t>
        </is>
      </c>
      <c r="K1010" t="inlineStr">
        <is>
          <t>Low</t>
        </is>
      </c>
      <c r="L1010" t="inlineStr">
        <is>
          <t>Minor Inconvenience</t>
        </is>
      </c>
    </row>
    <row r="1011">
      <c r="A1011" t="inlineStr">
        <is>
          <t>FB-01010</t>
        </is>
      </c>
      <c r="B1011" t="inlineStr">
        <is>
          <t>CUST-0227</t>
        </is>
      </c>
      <c r="C1011" t="inlineStr">
        <is>
          <t>2026-06-21</t>
        </is>
      </c>
      <c r="D1011" t="inlineStr">
        <is>
          <t>Support Ticket</t>
        </is>
      </c>
      <c r="E1011" t="inlineStr">
        <is>
          <t>Enterprise</t>
        </is>
      </c>
      <c r="F1011" t="inlineStr">
        <is>
          <t>Enterprise</t>
        </is>
      </c>
      <c r="G1011" t="inlineStr">
        <is>
          <t>Workflow Automation</t>
        </is>
      </c>
      <c r="H1011" t="inlineStr">
        <is>
          <t>Bug</t>
        </is>
      </c>
      <c r="I1011" t="inlineStr">
        <is>
          <t>Several automation misfires left deals stuck in the wrong stage. Happy to join a feedback call.</t>
        </is>
      </c>
      <c r="J1011" t="inlineStr">
        <is>
          <t>Neutral</t>
        </is>
      </c>
      <c r="K1011" t="inlineStr">
        <is>
          <t>Critical</t>
        </is>
      </c>
      <c r="L1011" t="inlineStr">
        <is>
          <t>Workflow Slowdown</t>
        </is>
      </c>
    </row>
    <row r="1012">
      <c r="A1012" t="inlineStr">
        <is>
          <t>FB-01011</t>
        </is>
      </c>
      <c r="B1012" t="inlineStr">
        <is>
          <t>CUST-0073</t>
        </is>
      </c>
      <c r="C1012" t="inlineStr">
        <is>
          <t>22-Jun-2026</t>
        </is>
      </c>
      <c r="D1012" t="inlineStr">
        <is>
          <t>Customer Survey</t>
        </is>
      </c>
      <c r="E1012" t="inlineStr">
        <is>
          <t>Starter</t>
        </is>
      </c>
      <c r="F1012" t="inlineStr">
        <is>
          <t>SMB</t>
        </is>
      </c>
      <c r="G1012" t="inlineStr">
        <is>
          <t>User Interface</t>
        </is>
      </c>
      <c r="H1012" t="inlineStr">
        <is>
          <t>Feature Request</t>
        </is>
      </c>
      <c r="I1012" t="inlineStr">
        <is>
          <t>We lose notes whenever reps are away from a desk without offline mobile access. So far 108 people on our side have reported it. Happy to join a feedback call.</t>
        </is>
      </c>
      <c r="J1012" t="inlineStr">
        <is>
          <t>Neutral</t>
        </is>
      </c>
      <c r="K1012" t="inlineStr">
        <is>
          <t>Low</t>
        </is>
      </c>
      <c r="L1012" t="inlineStr">
        <is>
          <t>Minor Inconvenience</t>
        </is>
      </c>
    </row>
    <row r="1013">
      <c r="A1013" t="inlineStr">
        <is>
          <t>FB-01012</t>
        </is>
      </c>
      <c r="B1013" t="inlineStr">
        <is>
          <t>CUST-0413</t>
        </is>
      </c>
      <c r="C1013" t="inlineStr">
        <is>
          <t>2026-06-22</t>
        </is>
      </c>
      <c r="D1013" t="inlineStr">
        <is>
          <t>In-App Feedback</t>
        </is>
      </c>
      <c r="E1013" t="inlineStr">
        <is>
          <t>Professional</t>
        </is>
      </c>
      <c r="F1013" t="inlineStr">
        <is>
          <t>SMB</t>
        </is>
      </c>
      <c r="G1013" t="inlineStr">
        <is>
          <t>Integrations</t>
        </is>
      </c>
      <c r="H1013" t="inlineStr">
        <is>
          <t>Integration Issue</t>
        </is>
      </c>
      <c r="I1013" t="inlineStr">
        <is>
          <t>Frustrated with this one. The Outlook calendar sync duplicates meetings and misses replies.</t>
        </is>
      </c>
      <c r="J1013" t="inlineStr">
        <is>
          <t>Negative</t>
        </is>
      </c>
      <c r="K1013" t="inlineStr">
        <is>
          <t>Medium</t>
        </is>
      </c>
      <c r="L1013" t="inlineStr">
        <is>
          <t>Workflow Slowdown</t>
        </is>
      </c>
    </row>
    <row r="1014">
      <c r="A1014" t="inlineStr">
        <is>
          <t>FB-01013</t>
        </is>
      </c>
      <c r="B1014" t="inlineStr">
        <is>
          <t>CUST-0147</t>
        </is>
      </c>
      <c r="C1014" t="inlineStr">
        <is>
          <t>2026-06-22</t>
        </is>
      </c>
      <c r="D1014" t="inlineStr">
        <is>
          <t>Support Ticket</t>
        </is>
      </c>
      <c r="E1014" t="inlineStr">
        <is>
          <t>Enterprise</t>
        </is>
      </c>
      <c r="F1014" t="inlineStr">
        <is>
          <t>Enterprise</t>
        </is>
      </c>
      <c r="G1014" t="inlineStr">
        <is>
          <t>User Interface</t>
        </is>
      </c>
      <c r="H1014" t="inlineStr">
        <is>
          <t>Performance Issue</t>
        </is>
      </c>
      <c r="I1014" t="inlineStr">
        <is>
          <t>Not what we expected for the price. The page lag gets worse in the afternoon. Please look into it soon.</t>
        </is>
      </c>
      <c r="J1014" t="inlineStr">
        <is>
          <t>Negative</t>
        </is>
      </c>
      <c r="K1014" t="inlineStr">
        <is>
          <t>Medium</t>
        </is>
      </c>
      <c r="L1014" t="inlineStr">
        <is>
          <t>Blocks Key Task</t>
        </is>
      </c>
    </row>
    <row r="1015">
      <c r="A1015" t="inlineStr">
        <is>
          <t>FB-01014</t>
        </is>
      </c>
      <c r="B1015" t="inlineStr">
        <is>
          <t>CUST-0060</t>
        </is>
      </c>
      <c r="C1015" t="inlineStr">
        <is>
          <t>2026-06-22</t>
        </is>
      </c>
      <c r="D1015" t="inlineStr">
        <is>
          <t>Feature Request</t>
        </is>
      </c>
      <c r="E1015" t="inlineStr">
        <is>
          <t>Starter</t>
        </is>
      </c>
      <c r="F1015" t="inlineStr">
        <is>
          <t>SMB</t>
        </is>
      </c>
      <c r="G1015" t="inlineStr">
        <is>
          <t>User Interface</t>
        </is>
      </c>
      <c r="H1015" t="inlineStr">
        <is>
          <t>Feature Request</t>
        </is>
      </c>
      <c r="I1015" t="inlineStr">
        <is>
          <t>Sharing this from our team. Requesting mobile call logging so reps can log activity right after a meeting.</t>
        </is>
      </c>
      <c r="J1015" t="inlineStr">
        <is>
          <t>Neutral</t>
        </is>
      </c>
      <c r="K1015" t="inlineStr">
        <is>
          <t>Low</t>
        </is>
      </c>
      <c r="L1015" t="inlineStr">
        <is>
          <t>Minor Inconvenience</t>
        </is>
      </c>
    </row>
    <row r="1016">
      <c r="A1016" t="inlineStr">
        <is>
          <t>FB-01015</t>
        </is>
      </c>
      <c r="B1016" t="inlineStr">
        <is>
          <t>CUST-0341</t>
        </is>
      </c>
      <c r="C1016" t="inlineStr">
        <is>
          <t>2026-06-22</t>
        </is>
      </c>
      <c r="D1016" t="inlineStr">
        <is>
          <t>Feature Request</t>
        </is>
      </c>
      <c r="E1016" t="inlineStr">
        <is>
          <t>Starter</t>
        </is>
      </c>
      <c r="F1016" t="inlineStr">
        <is>
          <t>SMB</t>
        </is>
      </c>
      <c r="G1016" t="inlineStr">
        <is>
          <t>User Interface</t>
        </is>
      </c>
      <c r="H1016" t="inlineStr">
        <is>
          <t>Feature Request</t>
        </is>
      </c>
      <c r="I1016" t="inlineStr">
        <is>
          <t>We lose notes whenever reps are away from a desk without mobile call logging. Is there a workaround?</t>
        </is>
      </c>
      <c r="J1016" t="inlineStr">
        <is>
          <t>Negative</t>
        </is>
      </c>
      <c r="K1016" t="inlineStr">
        <is>
          <t>Low</t>
        </is>
      </c>
      <c r="L1016" t="inlineStr">
        <is>
          <t>Blocks Key Task</t>
        </is>
      </c>
    </row>
    <row r="1017">
      <c r="A1017" t="inlineStr">
        <is>
          <t>FB-01016</t>
        </is>
      </c>
      <c r="B1017" t="inlineStr">
        <is>
          <t>CUST-0021</t>
        </is>
      </c>
      <c r="C1017" t="inlineStr">
        <is>
          <t>2026-06-22</t>
        </is>
      </c>
      <c r="D1017" t="inlineStr">
        <is>
          <t>Support Ticket</t>
        </is>
      </c>
      <c r="E1017" t="inlineStr">
        <is>
          <t>Professional</t>
        </is>
      </c>
      <c r="F1017" t="inlineStr">
        <is>
          <t>Mid-Market</t>
        </is>
      </c>
      <c r="G1017" t="inlineStr">
        <is>
          <t>Workflow Automation</t>
        </is>
      </c>
      <c r="H1017" t="inlineStr">
        <is>
          <t>BUG</t>
        </is>
      </c>
      <c r="I1017" t="inlineStr">
        <is>
          <t>Since the last release we've had workflow failures and tasks are being created twice. So far 110 people on our side have reported it.</t>
        </is>
      </c>
      <c r="J1017" t="inlineStr">
        <is>
          <t>Neutral</t>
        </is>
      </c>
      <c r="K1017" t="inlineStr">
        <is>
          <t>Critical</t>
        </is>
      </c>
      <c r="L1017" t="inlineStr">
        <is>
          <t>Revenue/Operations Risk</t>
        </is>
      </c>
    </row>
    <row r="1018">
      <c r="A1018" t="inlineStr">
        <is>
          <t>FB-01017</t>
        </is>
      </c>
      <c r="B1018" t="inlineStr">
        <is>
          <t>CUST-0269</t>
        </is>
      </c>
      <c r="C1018" t="inlineStr">
        <is>
          <t>2026-06-23</t>
        </is>
      </c>
      <c r="D1018" t="inlineStr">
        <is>
          <t>Support Ticket</t>
        </is>
      </c>
      <c r="E1018" t="inlineStr">
        <is>
          <t>Professional</t>
        </is>
      </c>
      <c r="F1018" t="inlineStr">
        <is>
          <t>SMB</t>
        </is>
      </c>
      <c r="G1018" t="inlineStr">
        <is>
          <t>User Interface</t>
        </is>
      </c>
      <c r="H1018" t="inlineStr">
        <is>
          <t>Performance Issue</t>
        </is>
      </c>
      <c r="I1018" t="inlineStr">
        <is>
          <t>Frustrated with this one. The page lag gets worse in the afternoon.</t>
        </is>
      </c>
      <c r="J1018" t="inlineStr">
        <is>
          <t>Negative</t>
        </is>
      </c>
      <c r="K1018" t="inlineStr">
        <is>
          <t>Medium</t>
        </is>
      </c>
      <c r="L1018" t="inlineStr">
        <is>
          <t>Revenue/Operations Risk</t>
        </is>
      </c>
    </row>
    <row r="1019">
      <c r="A1019" t="inlineStr">
        <is>
          <t>FB-01018</t>
        </is>
      </c>
      <c r="B1019" t="inlineStr">
        <is>
          <t>CUST-0197</t>
        </is>
      </c>
      <c r="C1019" t="inlineStr">
        <is>
          <t>2026-06-23</t>
        </is>
      </c>
      <c r="D1019" t="inlineStr">
        <is>
          <t>Support Ticket</t>
        </is>
      </c>
      <c r="E1019" t="inlineStr">
        <is>
          <t>Professional</t>
        </is>
      </c>
      <c r="F1019" t="inlineStr">
        <is>
          <t>Mid-Market</t>
        </is>
      </c>
      <c r="G1019" t="inlineStr">
        <is>
          <t>Workflow Automation</t>
        </is>
      </c>
      <c r="H1019" t="inlineStr">
        <is>
          <t>Bug</t>
        </is>
      </c>
      <c r="I1019" t="inlineStr">
        <is>
          <t>This has been a recurring problem for us. Since the last release we've had automation misfires and tasks are being created twice. Our marketing ops owner flagged it while onboarding 65 new users.</t>
        </is>
      </c>
      <c r="J1019" t="inlineStr">
        <is>
          <t>Negative</t>
        </is>
      </c>
      <c r="K1019" t="inlineStr">
        <is>
          <t>Medium</t>
        </is>
      </c>
      <c r="L1019" t="inlineStr">
        <is>
          <t>Minor Inconvenience</t>
        </is>
      </c>
    </row>
    <row r="1020">
      <c r="A1020" t="inlineStr">
        <is>
          <t>FB-01019</t>
        </is>
      </c>
      <c r="B1020" t="inlineStr">
        <is>
          <t>CUST-0349</t>
        </is>
      </c>
      <c r="C1020" t="inlineStr">
        <is>
          <t>2026-06-23</t>
        </is>
      </c>
      <c r="D1020" t="inlineStr">
        <is>
          <t>Support Ticket</t>
        </is>
      </c>
      <c r="E1020" t="inlineStr">
        <is>
          <t>Professional</t>
        </is>
      </c>
      <c r="F1020" t="inlineStr">
        <is>
          <t>Mid-Market</t>
        </is>
      </c>
      <c r="G1020" t="inlineStr">
        <is>
          <t>Integrations</t>
        </is>
      </c>
      <c r="H1020" t="inlineStr">
        <is>
          <t>Integration Issue</t>
        </is>
      </c>
      <c r="I1020" t="inlineStr">
        <is>
          <t>After the token expires, email sync stops with no warning. It happens about 28 times a week for our team of 29. Is there a workaround?</t>
        </is>
      </c>
      <c r="J1020" t="inlineStr">
        <is>
          <t>Negative</t>
        </is>
      </c>
      <c r="K1020" t="inlineStr">
        <is>
          <t>Medium</t>
        </is>
      </c>
      <c r="L1020" t="inlineStr">
        <is>
          <t>Minor Inconvenience</t>
        </is>
      </c>
    </row>
    <row r="1021">
      <c r="A1021" t="inlineStr">
        <is>
          <t>FB-01020</t>
        </is>
      </c>
      <c r="B1021" t="inlineStr">
        <is>
          <t>CUST-0092</t>
        </is>
      </c>
      <c r="C1021" t="inlineStr">
        <is>
          <t>2026-06-23</t>
        </is>
      </c>
      <c r="D1021" t="inlineStr">
        <is>
          <t>Feature Request</t>
        </is>
      </c>
      <c r="E1021" t="inlineStr">
        <is>
          <t>Professional</t>
        </is>
      </c>
      <c r="F1021" t="inlineStr">
        <is>
          <t>Mid-Market</t>
        </is>
      </c>
      <c r="G1021" t="inlineStr">
        <is>
          <t>Workflow Automation</t>
        </is>
      </c>
      <c r="H1021" t="inlineStr">
        <is>
          <t>Feature Request</t>
        </is>
      </c>
      <c r="I1021" t="inlineStr">
        <is>
          <t>Happy with most of the product. Competitors ship prebuilt automations; we are rebuilding the same flows from scratch. It affects our renewal process every cycle.</t>
        </is>
      </c>
      <c r="J1021" t="inlineStr">
        <is>
          <t>Positive</t>
        </is>
      </c>
      <c r="K1021" t="inlineStr">
        <is>
          <t>Low</t>
        </is>
      </c>
      <c r="L1021" t="inlineStr">
        <is>
          <t>Minor Inconvenience</t>
        </is>
      </c>
    </row>
    <row r="1022">
      <c r="A1022" t="inlineStr">
        <is>
          <t>FB-01021</t>
        </is>
      </c>
      <c r="B1022" t="inlineStr">
        <is>
          <t>CUST-0308</t>
        </is>
      </c>
      <c r="C1022" t="inlineStr">
        <is>
          <t>2026-06-23</t>
        </is>
      </c>
      <c r="D1022" t="inlineStr">
        <is>
          <t>Support Ticket</t>
        </is>
      </c>
      <c r="E1022" t="inlineStr">
        <is>
          <t>Professional</t>
        </is>
      </c>
      <c r="F1022" t="inlineStr">
        <is>
          <t>SMB</t>
        </is>
      </c>
      <c r="G1022" t="inlineStr">
        <is>
          <t>Integrations</t>
        </is>
      </c>
      <c r="H1022" t="inlineStr">
        <is>
          <t>Feature Request</t>
        </is>
      </c>
      <c r="I1022" t="inlineStr">
        <is>
          <t>Feedback from our monthly review. Please build a native Slack integration; our team copies data across systems daily. Let us know if you need examples.</t>
        </is>
      </c>
      <c r="J1022" t="inlineStr">
        <is>
          <t>Neutral</t>
        </is>
      </c>
      <c r="K1022" t="inlineStr">
        <is>
          <t>Medium</t>
        </is>
      </c>
      <c r="L1022" t="inlineStr">
        <is>
          <t>Minor Inconvenience</t>
        </is>
      </c>
    </row>
    <row r="1023">
      <c r="A1023" t="inlineStr">
        <is>
          <t>FB-01022</t>
        </is>
      </c>
      <c r="B1023" t="inlineStr">
        <is>
          <t>CUST-0314</t>
        </is>
      </c>
      <c r="C1023" t="inlineStr">
        <is>
          <t>2026-06-24</t>
        </is>
      </c>
      <c r="D1023" t="inlineStr">
        <is>
          <t>In-App Feedback</t>
        </is>
      </c>
      <c r="E1023" t="inlineStr">
        <is>
          <t>Enterprise</t>
        </is>
      </c>
      <c r="F1023" t="inlineStr">
        <is>
          <t>Mid-Market</t>
        </is>
      </c>
      <c r="G1023" t="inlineStr">
        <is>
          <t>Integrations</t>
        </is>
      </c>
      <c r="H1023" t="inlineStr">
        <is>
          <t>Feature Request</t>
        </is>
      </c>
      <c r="I1023" t="inlineStr">
        <is>
          <t>FYI for the product team. Please add SCIM provisioning; managing users by hand does not scale.</t>
        </is>
      </c>
      <c r="J1023" t="inlineStr">
        <is>
          <t>Neutral</t>
        </is>
      </c>
      <c r="K1023" t="inlineStr">
        <is>
          <t>Medium</t>
        </is>
      </c>
      <c r="L1023" t="inlineStr">
        <is>
          <t>Workflow Slowdown</t>
        </is>
      </c>
    </row>
    <row r="1024">
      <c r="A1024" t="inlineStr">
        <is>
          <t>FB-01023</t>
        </is>
      </c>
      <c r="B1024" t="inlineStr">
        <is>
          <t>CUST-0182</t>
        </is>
      </c>
      <c r="C1024" t="inlineStr">
        <is>
          <t>2026-06-24</t>
        </is>
      </c>
      <c r="D1024" t="inlineStr">
        <is>
          <t>In-App Feedback</t>
        </is>
      </c>
      <c r="E1024" t="inlineStr">
        <is>
          <t>Professional</t>
        </is>
      </c>
      <c r="F1024" t="inlineStr">
        <is>
          <t>Mid-Market</t>
        </is>
      </c>
      <c r="G1024" t="inlineStr">
        <is>
          <t>Workflow Automation</t>
        </is>
      </c>
      <c r="H1024" t="inlineStr">
        <is>
          <t>Feature Request</t>
        </is>
      </c>
      <c r="I1024" t="inlineStr">
        <is>
          <t>Feedback from our monthly review. We'd adopt automation faster with automation recipes we could customize. Let us know if you need examples.</t>
        </is>
      </c>
      <c r="J1024" t="inlineStr">
        <is>
          <t>Neutral</t>
        </is>
      </c>
      <c r="K1024" t="inlineStr">
        <is>
          <t>Low</t>
        </is>
      </c>
      <c r="L1024" t="inlineStr">
        <is>
          <t>Minor Inconvenience</t>
        </is>
      </c>
    </row>
    <row r="1025">
      <c r="A1025" t="inlineStr">
        <is>
          <t>FB-01024</t>
        </is>
      </c>
      <c r="B1025" t="inlineStr">
        <is>
          <t>CUST-0196</t>
        </is>
      </c>
      <c r="C1025" t="inlineStr">
        <is>
          <t>2026-06-24</t>
        </is>
      </c>
      <c r="D1025" t="inlineStr">
        <is>
          <t>In-App Feedback</t>
        </is>
      </c>
      <c r="E1025" t="inlineStr">
        <is>
          <t>Enterprise</t>
        </is>
      </c>
      <c r="F1025" t="inlineStr">
        <is>
          <t>Enterprise</t>
        </is>
      </c>
      <c r="G1025" t="inlineStr">
        <is>
          <t>Contact Management</t>
        </is>
      </c>
      <c r="H1025" t="inlineStr">
        <is>
          <t>Performance Issue</t>
        </is>
      </c>
      <c r="I1025" t="inlineStr">
        <is>
          <t>Frustrated with this one. We avoid contact search during calls because it takes too long. Please look into it soon.</t>
        </is>
      </c>
      <c r="J1025" t="inlineStr">
        <is>
          <t>Negative</t>
        </is>
      </c>
      <c r="K1025" t="inlineStr">
        <is>
          <t>Medium</t>
        </is>
      </c>
      <c r="L1025" t="inlineStr">
        <is>
          <t>Workflow Slowdown</t>
        </is>
      </c>
    </row>
    <row r="1026">
      <c r="A1026" t="inlineStr">
        <is>
          <t>FB-01025</t>
        </is>
      </c>
      <c r="B1026" t="inlineStr">
        <is>
          <t>CUST-0032</t>
        </is>
      </c>
      <c r="C1026" t="inlineStr">
        <is>
          <t>2026-06-24</t>
        </is>
      </c>
      <c r="D1026" t="inlineStr">
        <is>
          <t>Support Ticket</t>
        </is>
      </c>
      <c r="E1026" t="inlineStr">
        <is>
          <t>Starter</t>
        </is>
      </c>
      <c r="F1026" t="inlineStr">
        <is>
          <t>SMB</t>
        </is>
      </c>
      <c r="G1026" t="inlineStr">
        <is>
          <t>Contact Management</t>
        </is>
      </c>
      <c r="H1026" t="inlineStr">
        <is>
          <t>Bug</t>
        </is>
      </c>
      <c r="I1026" t="inlineStr">
        <is>
          <t>Frustrated with this one. The import field mapping rejects files with accented characters in names. It affects our month-end reporting process every cycle. Please look into it soon.</t>
        </is>
      </c>
      <c r="J1026" t="inlineStr">
        <is>
          <t>Negative</t>
        </is>
      </c>
      <c r="K1026" t="inlineStr">
        <is>
          <t>High</t>
        </is>
      </c>
      <c r="L1026" t="inlineStr">
        <is>
          <t>Workflow Slowdown</t>
        </is>
      </c>
    </row>
    <row r="1027">
      <c r="A1027" t="inlineStr">
        <is>
          <t>FB-01026</t>
        </is>
      </c>
      <c r="B1027" t="inlineStr">
        <is>
          <t>CUST-0368</t>
        </is>
      </c>
      <c r="C1027" t="inlineStr">
        <is>
          <t>2026-06-24</t>
        </is>
      </c>
      <c r="D1027" t="inlineStr">
        <is>
          <t>Support Ticket</t>
        </is>
      </c>
      <c r="E1027" t="inlineStr">
        <is>
          <t>Starter</t>
        </is>
      </c>
      <c r="F1027" t="inlineStr">
        <is>
          <t>SMB</t>
        </is>
      </c>
      <c r="G1027" t="inlineStr">
        <is>
          <t>Contact Management</t>
        </is>
      </c>
      <c r="H1027" t="inlineStr">
        <is>
          <t>Bug</t>
        </is>
      </c>
      <c r="I1027" t="inlineStr">
        <is>
          <t>Frustrated with this one. The import field mapping fails halfway through with a generic error and no row-level detail. So far 53 people on our side have reported it. Support suggested logging it here.</t>
        </is>
      </c>
      <c r="J1027" t="inlineStr">
        <is>
          <t>Negative</t>
        </is>
      </c>
      <c r="K1027" t="inlineStr">
        <is>
          <t>Medium</t>
        </is>
      </c>
      <c r="L1027" t="inlineStr">
        <is>
          <t>Blocks Key Task</t>
        </is>
      </c>
    </row>
    <row r="1028">
      <c r="A1028" t="inlineStr">
        <is>
          <t>FB-01027</t>
        </is>
      </c>
      <c r="B1028" t="inlineStr">
        <is>
          <t>CUST-0010</t>
        </is>
      </c>
      <c r="C1028" t="inlineStr">
        <is>
          <t>2026-06-25</t>
        </is>
      </c>
      <c r="D1028" t="inlineStr">
        <is>
          <t>Feature Request</t>
        </is>
      </c>
      <c r="E1028" t="inlineStr">
        <is>
          <t>Professional</t>
        </is>
      </c>
      <c r="F1028" t="inlineStr">
        <is>
          <t>SMB</t>
        </is>
      </c>
      <c r="G1028" t="inlineStr">
        <is>
          <t>Reporting</t>
        </is>
      </c>
      <c r="H1028" t="inlineStr">
        <is>
          <t>Feature Request</t>
        </is>
      </c>
      <c r="I1028" t="inlineStr">
        <is>
          <t>Not what we expected for the price. Please add sales forecasting; managers keep a separate spreadsheet.</t>
        </is>
      </c>
      <c r="J1028" t="inlineStr">
        <is>
          <t>Negative</t>
        </is>
      </c>
      <c r="K1028" t="inlineStr">
        <is>
          <t>Low</t>
        </is>
      </c>
      <c r="L1028" t="inlineStr">
        <is>
          <t>Minor Inconvenience</t>
        </is>
      </c>
    </row>
    <row r="1029">
      <c r="A1029" t="inlineStr">
        <is>
          <t>FB-01028</t>
        </is>
      </c>
      <c r="B1029" t="inlineStr">
        <is>
          <t>CUST-0334</t>
        </is>
      </c>
      <c r="C1029" t="inlineStr">
        <is>
          <t>2026-06-25</t>
        </is>
      </c>
      <c r="D1029" t="inlineStr">
        <is>
          <t>Feature Request</t>
        </is>
      </c>
      <c r="E1029" t="inlineStr">
        <is>
          <t>Enterprise</t>
        </is>
      </c>
      <c r="F1029" t="inlineStr">
        <is>
          <t>SMB</t>
        </is>
      </c>
      <c r="G1029" t="inlineStr">
        <is>
          <t>Integrations</t>
        </is>
      </c>
      <c r="H1029" t="inlineStr">
        <is>
          <t>Feature Request</t>
        </is>
      </c>
      <c r="I1029" t="inlineStr">
        <is>
          <t>Feedback from our monthly review. Our security team requires SAML login before we can expand seats. So far 105 people on our side have reported it. Let us know if you need examples.</t>
        </is>
      </c>
      <c r="J1029" t="inlineStr">
        <is>
          <t>Neutral</t>
        </is>
      </c>
      <c r="K1029" t="inlineStr">
        <is>
          <t>Medium</t>
        </is>
      </c>
      <c r="L1029" t="inlineStr">
        <is>
          <t>Workflow Slowdown</t>
        </is>
      </c>
    </row>
    <row r="1030">
      <c r="A1030" t="inlineStr">
        <is>
          <t>FB-01029</t>
        </is>
      </c>
      <c r="B1030" t="inlineStr">
        <is>
          <t>CUST-0030</t>
        </is>
      </c>
      <c r="C1030" t="inlineStr">
        <is>
          <t>2026-06-25</t>
        </is>
      </c>
      <c r="D1030" t="inlineStr">
        <is>
          <t>Support Ticket</t>
        </is>
      </c>
      <c r="E1030" t="inlineStr">
        <is>
          <t>Professional</t>
        </is>
      </c>
      <c r="F1030" t="inlineStr">
        <is>
          <t>Mid-Market</t>
        </is>
      </c>
      <c r="G1030" t="inlineStr">
        <is>
          <t>Contact Management</t>
        </is>
      </c>
      <c r="H1030" t="inlineStr">
        <is>
          <t>Feature Request</t>
        </is>
      </c>
      <c r="I1030" t="inlineStr">
        <is>
          <t>Quick note from our admin. Please build contact de-duplication tooling with a preview of what will be combined. Our sales manager flagged it while onboarding 98 new users.</t>
        </is>
      </c>
      <c r="J1030" t="inlineStr">
        <is>
          <t>Neutral</t>
        </is>
      </c>
      <c r="K1030" t="inlineStr">
        <is>
          <t>Low</t>
        </is>
      </c>
      <c r="L1030" t="inlineStr">
        <is>
          <t>Minor Inconvenience</t>
        </is>
      </c>
    </row>
    <row r="1031">
      <c r="A1031" t="inlineStr">
        <is>
          <t>FB-01030</t>
        </is>
      </c>
      <c r="B1031" t="inlineStr">
        <is>
          <t>CUST-0325</t>
        </is>
      </c>
      <c r="C1031" t="inlineStr">
        <is>
          <t>2026-06-25</t>
        </is>
      </c>
      <c r="D1031" t="inlineStr">
        <is>
          <t>Support Ticket</t>
        </is>
      </c>
      <c r="E1031" t="inlineStr">
        <is>
          <t>Starter</t>
        </is>
      </c>
      <c r="F1031" t="inlineStr">
        <is>
          <t>SMB</t>
        </is>
      </c>
      <c r="G1031" t="inlineStr">
        <is>
          <t>Lead Management</t>
        </is>
      </c>
      <c r="H1031" t="inlineStr">
        <is>
          <t>Performance Issue</t>
        </is>
      </c>
      <c r="I1031" t="inlineStr">
        <is>
          <t>Feedback from our monthly review. Complaint about lead list loading: the board freezes while cards render. Let us know if you need examples.</t>
        </is>
      </c>
      <c r="J1031" t="inlineStr">
        <is>
          <t>Neutral</t>
        </is>
      </c>
      <c r="K1031" t="inlineStr">
        <is>
          <t>Critical</t>
        </is>
      </c>
      <c r="L1031" t="inlineStr">
        <is>
          <t>Blocks Key Task</t>
        </is>
      </c>
    </row>
    <row r="1032">
      <c r="A1032" t="inlineStr">
        <is>
          <t>FB-01031</t>
        </is>
      </c>
      <c r="B1032" t="inlineStr">
        <is>
          <t>CUST-0185</t>
        </is>
      </c>
      <c r="C1032" t="inlineStr">
        <is>
          <t>2026-06-25</t>
        </is>
      </c>
      <c r="D1032" t="inlineStr">
        <is>
          <t>Feature Request</t>
        </is>
      </c>
      <c r="E1032" t="inlineStr">
        <is>
          <t>Professional</t>
        </is>
      </c>
      <c r="F1032" t="inlineStr">
        <is>
          <t>Mid-Market</t>
        </is>
      </c>
      <c r="G1032" t="inlineStr">
        <is>
          <t>User Interface</t>
        </is>
      </c>
      <c r="H1032" t="inlineStr">
        <is>
          <t xml:space="preserve"> Feature Request</t>
        </is>
      </c>
      <c r="I1032" t="inlineStr">
        <is>
          <t>Requesting multi-select actions across every list view. Support suggested logging it here.</t>
        </is>
      </c>
      <c r="J1032" t="inlineStr">
        <is>
          <t>Negative</t>
        </is>
      </c>
      <c r="K1032" t="inlineStr">
        <is>
          <t>Low</t>
        </is>
      </c>
      <c r="L1032" t="inlineStr">
        <is>
          <t>Workflow Slowdown</t>
        </is>
      </c>
    </row>
    <row r="1033">
      <c r="A1033" t="inlineStr">
        <is>
          <t>FB-01032</t>
        </is>
      </c>
      <c r="B1033" t="inlineStr">
        <is>
          <t>CUST-0326</t>
        </is>
      </c>
      <c r="C1033" t="inlineStr">
        <is>
          <t>25-Jun-2026</t>
        </is>
      </c>
      <c r="D1033" t="inlineStr">
        <is>
          <t>Support Ticket</t>
        </is>
      </c>
      <c r="E1033" t="inlineStr">
        <is>
          <t>Starter</t>
        </is>
      </c>
      <c r="F1033" t="inlineStr">
        <is>
          <t>SMB</t>
        </is>
      </c>
      <c r="G1033" t="inlineStr">
        <is>
          <t>Contact Management</t>
        </is>
      </c>
      <c r="H1033" t="inlineStr">
        <is>
          <t>Bug</t>
        </is>
      </c>
      <c r="I1033" t="inlineStr">
        <is>
          <t>Raising this again after our last business review. Our import field mapping scrambles phone and email columns even after we map them correctly. Our RevOps lead flagged it while onboarding 74 new users. Support suggested logging it here.</t>
        </is>
      </c>
      <c r="J1033" t="inlineStr">
        <is>
          <t>Negative</t>
        </is>
      </c>
      <c r="K1033" t="inlineStr">
        <is>
          <t>Medium</t>
        </is>
      </c>
      <c r="L1033" t="inlineStr">
        <is>
          <t>Blocks Key Task</t>
        </is>
      </c>
    </row>
    <row r="1034">
      <c r="A1034" t="inlineStr">
        <is>
          <t>FB-01033</t>
        </is>
      </c>
      <c r="B1034" t="inlineStr">
        <is>
          <t>CUST-0116</t>
        </is>
      </c>
      <c r="C1034" t="inlineStr">
        <is>
          <t>2026-06-25</t>
        </is>
      </c>
      <c r="D1034" t="inlineStr">
        <is>
          <t>In-App Feedback</t>
        </is>
      </c>
      <c r="E1034" t="inlineStr">
        <is>
          <t xml:space="preserve"> Professional</t>
        </is>
      </c>
      <c r="F1034" t="inlineStr">
        <is>
          <t>SMB</t>
        </is>
      </c>
      <c r="G1034" t="inlineStr">
        <is>
          <t>Integrations</t>
        </is>
      </c>
      <c r="H1034" t="inlineStr">
        <is>
          <t>Integration Issue</t>
        </is>
      </c>
      <c r="I1034" t="inlineStr">
        <is>
          <t>API timeouts is unreliable and there is no retry or log we can inspect. It happens about 19 times a week for our team of 20.</t>
        </is>
      </c>
      <c r="J1034" t="inlineStr">
        <is>
          <t>Negative</t>
        </is>
      </c>
      <c r="K1034" t="inlineStr">
        <is>
          <t>Critical</t>
        </is>
      </c>
      <c r="L1034" t="inlineStr">
        <is>
          <t>Blocks Key Task</t>
        </is>
      </c>
    </row>
    <row r="1035">
      <c r="A1035" t="inlineStr">
        <is>
          <t>FB-01034</t>
        </is>
      </c>
      <c r="B1035" t="inlineStr">
        <is>
          <t>CUST-0046</t>
        </is>
      </c>
      <c r="C1035" t="inlineStr">
        <is>
          <t>2026-06-26</t>
        </is>
      </c>
      <c r="D1035" t="inlineStr">
        <is>
          <t>Support Ticket</t>
        </is>
      </c>
      <c r="E1035" t="inlineStr">
        <is>
          <t>Professional</t>
        </is>
      </c>
      <c r="F1035" t="inlineStr">
        <is>
          <t>Mid-Market</t>
        </is>
      </c>
      <c r="G1035" t="inlineStr">
        <is>
          <t>Contact Management</t>
        </is>
      </c>
      <c r="H1035" t="inlineStr">
        <is>
          <t>Bug</t>
        </is>
      </c>
      <c r="I1035" t="inlineStr">
        <is>
          <t>Frustrated with this one. The contact CSV import silently skipped rows and we only noticed days later. So far 61 people on our side have reported it. Please look into it soon.</t>
        </is>
      </c>
      <c r="J1035" t="inlineStr">
        <is>
          <t>Negative</t>
        </is>
      </c>
      <c r="K1035" t="inlineStr">
        <is>
          <t>Critical</t>
        </is>
      </c>
      <c r="L1035" t="inlineStr">
        <is>
          <t>Blocks Key Task</t>
        </is>
      </c>
    </row>
    <row r="1036">
      <c r="A1036" t="inlineStr">
        <is>
          <t>FB-01035</t>
        </is>
      </c>
      <c r="B1036" t="inlineStr">
        <is>
          <t>CUST-0408</t>
        </is>
      </c>
      <c r="C1036" t="inlineStr">
        <is>
          <t>2026-06-26</t>
        </is>
      </c>
      <c r="D1036" t="inlineStr">
        <is>
          <t>Feature Request</t>
        </is>
      </c>
      <c r="E1036" t="inlineStr">
        <is>
          <t>Starter</t>
        </is>
      </c>
      <c r="F1036" t="inlineStr">
        <is>
          <t>SMB</t>
        </is>
      </c>
      <c r="G1036" t="inlineStr">
        <is>
          <t>Contact Management</t>
        </is>
      </c>
      <c r="H1036" t="inlineStr">
        <is>
          <t>Feature Request</t>
        </is>
      </c>
      <c r="I1036" t="inlineStr">
        <is>
          <t>Please extend a contact relationship hierarchy; the current limit is too small for our use case. We estimate we lose roughly 22 hours a month on this. Happy to join a feedback call.</t>
        </is>
      </c>
      <c r="J1036" t="inlineStr">
        <is>
          <t>Neutral</t>
        </is>
      </c>
      <c r="K1036" t="inlineStr">
        <is>
          <t>Medium</t>
        </is>
      </c>
      <c r="L1036" t="inlineStr">
        <is>
          <t>Workflow Slowdown</t>
        </is>
      </c>
    </row>
    <row r="1037">
      <c r="A1037" t="inlineStr">
        <is>
          <t>FB-01036</t>
        </is>
      </c>
      <c r="B1037" t="inlineStr">
        <is>
          <t>CUST-0042</t>
        </is>
      </c>
      <c r="C1037" t="inlineStr">
        <is>
          <t>2026-06-26</t>
        </is>
      </c>
      <c r="D1037" t="inlineStr">
        <is>
          <t>Support Ticket</t>
        </is>
      </c>
      <c r="E1037" t="inlineStr">
        <is>
          <t>Professional</t>
        </is>
      </c>
      <c r="F1037" t="inlineStr">
        <is>
          <t>Mid-Market</t>
        </is>
      </c>
      <c r="G1037" t="inlineStr">
        <is>
          <t>Integrations</t>
        </is>
      </c>
      <c r="H1037" t="inlineStr">
        <is>
          <t>integration issue</t>
        </is>
      </c>
      <c r="I1037" t="inlineStr">
        <is>
          <t>The Gmail sync duplicates meetings and misses replies. We estimate we lose roughly 27 hours a month on this.</t>
        </is>
      </c>
      <c r="J1037" t="inlineStr">
        <is>
          <t>Negative</t>
        </is>
      </c>
      <c r="K1037" t="inlineStr">
        <is>
          <t>Critical</t>
        </is>
      </c>
      <c r="L1037" t="inlineStr">
        <is>
          <t>Blocks Key Task</t>
        </is>
      </c>
    </row>
    <row r="1038">
      <c r="A1038" t="inlineStr">
        <is>
          <t>FB-01037</t>
        </is>
      </c>
      <c r="B1038" t="inlineStr">
        <is>
          <t>CUST-0168</t>
        </is>
      </c>
      <c r="C1038" t="inlineStr">
        <is>
          <t>2026-06-26</t>
        </is>
      </c>
      <c r="D1038" t="inlineStr">
        <is>
          <t>Customer Survey</t>
        </is>
      </c>
      <c r="E1038" t="inlineStr">
        <is>
          <t>Professional</t>
        </is>
      </c>
      <c r="F1038" t="inlineStr">
        <is>
          <t>Mid-Market</t>
        </is>
      </c>
      <c r="G1038" t="inlineStr">
        <is>
          <t>Workflow Automation</t>
        </is>
      </c>
      <c r="H1038" t="inlineStr">
        <is>
          <t>Feature Request</t>
        </is>
      </c>
      <c r="I1038" t="inlineStr">
        <is>
          <t>We'd adopt automation faster with automation recipes we could customize. Let us know if you need examples.</t>
        </is>
      </c>
      <c r="J1038" t="inlineStr">
        <is>
          <t>Neutral</t>
        </is>
      </c>
      <c r="K1038" t="inlineStr">
        <is>
          <t>Low</t>
        </is>
      </c>
      <c r="L1038" t="inlineStr">
        <is>
          <t>Workflow Slowdown</t>
        </is>
      </c>
    </row>
    <row r="1039">
      <c r="A1039" t="inlineStr">
        <is>
          <t>FB-01038</t>
        </is>
      </c>
      <c r="B1039" t="inlineStr">
        <is>
          <t>CUST-0117</t>
        </is>
      </c>
      <c r="C1039" t="inlineStr">
        <is>
          <t>2026-06-26</t>
        </is>
      </c>
      <c r="D1039" t="inlineStr">
        <is>
          <t>Feature Request</t>
        </is>
      </c>
      <c r="E1039" t="inlineStr">
        <is>
          <t>Professional</t>
        </is>
      </c>
      <c r="F1039" t="inlineStr">
        <is>
          <t>Mid-Market</t>
        </is>
      </c>
      <c r="G1039" t="inlineStr">
        <is>
          <t>User Interface</t>
        </is>
      </c>
      <c r="H1039" t="inlineStr">
        <is>
          <t>Feature Request</t>
        </is>
      </c>
      <c r="I1039" t="inlineStr">
        <is>
          <t>Our team keeps running into this. We lose notes whenever reps are away from a desk without mobile call logging. We need a fix before renewal.</t>
        </is>
      </c>
      <c r="J1039" t="inlineStr">
        <is>
          <t>Negative</t>
        </is>
      </c>
      <c r="K1039" t="inlineStr">
        <is>
          <t>Low</t>
        </is>
      </c>
      <c r="L1039" t="inlineStr">
        <is>
          <t>Minor Inconvenience</t>
        </is>
      </c>
    </row>
    <row r="1040">
      <c r="A1040" t="inlineStr">
        <is>
          <t>FB-01039</t>
        </is>
      </c>
      <c r="B1040" t="inlineStr">
        <is>
          <t>CUST-0042</t>
        </is>
      </c>
      <c r="C1040" t="inlineStr">
        <is>
          <t>2026-06-26</t>
        </is>
      </c>
      <c r="D1040" t="inlineStr">
        <is>
          <t>Support Ticket</t>
        </is>
      </c>
      <c r="E1040" t="inlineStr">
        <is>
          <t>Professional</t>
        </is>
      </c>
      <c r="F1040" t="inlineStr">
        <is>
          <t>Mid-Market</t>
        </is>
      </c>
      <c r="G1040" t="inlineStr">
        <is>
          <t>Workflow Automation</t>
        </is>
      </c>
      <c r="H1040" t="inlineStr">
        <is>
          <t>Bug</t>
        </is>
      </c>
      <c r="I1040" t="inlineStr">
        <is>
          <t>We are hitting workflow failures: emails don't send and nobody gets notified.</t>
        </is>
      </c>
      <c r="J1040" t="inlineStr">
        <is>
          <t>Negative</t>
        </is>
      </c>
      <c r="K1040" t="inlineStr">
        <is>
          <t>Medium</t>
        </is>
      </c>
      <c r="L1040" t="inlineStr">
        <is>
          <t>Minor Inconvenience</t>
        </is>
      </c>
    </row>
    <row r="1041">
      <c r="A1041" t="inlineStr">
        <is>
          <t>FB-01040</t>
        </is>
      </c>
      <c r="B1041" t="inlineStr">
        <is>
          <t>CUST-0146</t>
        </is>
      </c>
      <c r="C1041" t="inlineStr">
        <is>
          <t>2026-06-27</t>
        </is>
      </c>
      <c r="D1041" t="inlineStr">
        <is>
          <t>Feature Request</t>
        </is>
      </c>
      <c r="E1041" t="inlineStr">
        <is>
          <t>Starter</t>
        </is>
      </c>
      <c r="F1041" t="inlineStr">
        <is>
          <t>SMB</t>
        </is>
      </c>
      <c r="G1041" t="inlineStr">
        <is>
          <t>Workflow Automation</t>
        </is>
      </c>
      <c r="H1041" t="inlineStr">
        <is>
          <t>Feature Request</t>
        </is>
      </c>
      <c r="I1041" t="inlineStr">
        <is>
          <t>Noting this during onboarding. We need approval steps in workflows so managers can sign off on discounts. It affects our weekly pipeline review process every cycle. Happy to join a feedback call.</t>
        </is>
      </c>
      <c r="J1041" t="inlineStr">
        <is>
          <t>Neutral</t>
        </is>
      </c>
      <c r="K1041" t="inlineStr">
        <is>
          <t>Critical</t>
        </is>
      </c>
      <c r="L1041" t="inlineStr">
        <is>
          <t>Revenue/Operations Risk</t>
        </is>
      </c>
    </row>
    <row r="1042">
      <c r="A1042" t="inlineStr">
        <is>
          <t>FB-01041</t>
        </is>
      </c>
      <c r="B1042" t="inlineStr">
        <is>
          <t>CUST-0284</t>
        </is>
      </c>
      <c r="C1042" t="inlineStr">
        <is>
          <t>2026-06-27</t>
        </is>
      </c>
      <c r="D1042" t="inlineStr">
        <is>
          <t>Customer Survey</t>
        </is>
      </c>
      <c r="E1042" t="inlineStr">
        <is>
          <t>Enterprise</t>
        </is>
      </c>
      <c r="F1042" t="inlineStr">
        <is>
          <t>Enterprise</t>
        </is>
      </c>
      <c r="G1042" t="inlineStr">
        <is>
          <t>Integrations</t>
        </is>
      </c>
      <c r="H1042" t="inlineStr">
        <is>
          <t>Integration Issue</t>
        </is>
      </c>
      <c r="I1042" t="inlineStr">
        <is>
          <t>This has been a recurring problem for us. The Outlook calendar sync duplicates meetings and misses replies. So far 47 people on our side have reported it. Is there a workaround?</t>
        </is>
      </c>
      <c r="J1042" t="inlineStr">
        <is>
          <t>Negative</t>
        </is>
      </c>
      <c r="K1042" t="inlineStr">
        <is>
          <t>Critical</t>
        </is>
      </c>
      <c r="L1042" t="inlineStr">
        <is>
          <t>Blocks Key Task</t>
        </is>
      </c>
    </row>
    <row r="1043">
      <c r="A1043" t="inlineStr">
        <is>
          <t>FB-01042</t>
        </is>
      </c>
      <c r="B1043" t="inlineStr">
        <is>
          <t>CUST-0153</t>
        </is>
      </c>
      <c r="C1043" t="inlineStr">
        <is>
          <t>2026-06-27</t>
        </is>
      </c>
      <c r="D1043" t="inlineStr">
        <is>
          <t>Support Ticket</t>
        </is>
      </c>
      <c r="E1043" t="inlineStr">
        <is>
          <t>Enterprise</t>
        </is>
      </c>
      <c r="F1043" t="inlineStr">
        <is>
          <t>Enterprise</t>
        </is>
      </c>
      <c r="G1043" t="inlineStr">
        <is>
          <t>User Interface</t>
        </is>
      </c>
      <c r="H1043" t="inlineStr">
        <is>
          <t>Performance Issue</t>
        </is>
      </c>
      <c r="I1043" t="inlineStr">
        <is>
          <t>This has been a recurring problem for us. The UI freezing gets worse in the afternoon. So far 11 people on our side have reported it. We need a fix before renewal.</t>
        </is>
      </c>
      <c r="J1043" t="inlineStr">
        <is>
          <t>Negative</t>
        </is>
      </c>
      <c r="K1043" t="inlineStr">
        <is>
          <t>Medium</t>
        </is>
      </c>
      <c r="L1043" t="inlineStr">
        <is>
          <t>Workflow Slowdown</t>
        </is>
      </c>
    </row>
    <row r="1044">
      <c r="A1044" t="inlineStr">
        <is>
          <t>FB-01043</t>
        </is>
      </c>
      <c r="B1044" t="inlineStr">
        <is>
          <t>CUST-0091</t>
        </is>
      </c>
      <c r="C1044" t="inlineStr">
        <is>
          <t>2026-06-27</t>
        </is>
      </c>
      <c r="D1044" t="inlineStr">
        <is>
          <t>Customer Survey</t>
        </is>
      </c>
      <c r="E1044" t="inlineStr">
        <is>
          <t>Professional</t>
        </is>
      </c>
      <c r="F1044" t="inlineStr">
        <is>
          <t>SMB</t>
        </is>
      </c>
      <c r="G1044" t="inlineStr">
        <is>
          <t>Contact Management</t>
        </is>
      </c>
      <c r="H1044" t="inlineStr">
        <is>
          <t>Feature Request</t>
        </is>
      </c>
      <c r="I1044" t="inlineStr">
        <is>
          <t>Our team keeps running into this. We need a tool to merge duplicate contacts because our database has years of overlapping records.</t>
        </is>
      </c>
      <c r="J1044" t="inlineStr">
        <is>
          <t>Negative</t>
        </is>
      </c>
      <c r="K1044" t="inlineStr">
        <is>
          <t>Low</t>
        </is>
      </c>
      <c r="L1044" t="inlineStr">
        <is>
          <t>Minor Inconvenience</t>
        </is>
      </c>
    </row>
    <row r="1045">
      <c r="A1045" t="inlineStr">
        <is>
          <t>FB-01044</t>
        </is>
      </c>
      <c r="B1045" t="inlineStr">
        <is>
          <t>CUST-0117</t>
        </is>
      </c>
      <c r="C1045" t="inlineStr">
        <is>
          <t>2026-06-27</t>
        </is>
      </c>
      <c r="D1045" t="inlineStr">
        <is>
          <t>Customer Survey</t>
        </is>
      </c>
      <c r="E1045" t="inlineStr">
        <is>
          <t>Professional</t>
        </is>
      </c>
      <c r="F1045" t="inlineStr">
        <is>
          <t>Mid-Market</t>
        </is>
      </c>
      <c r="G1045" t="inlineStr">
        <is>
          <t>Contact Management</t>
        </is>
      </c>
      <c r="H1045" t="inlineStr">
        <is>
          <t>Feature Request</t>
        </is>
      </c>
      <c r="I1045" t="inlineStr">
        <is>
          <t>Requesting a contact relationship hierarchy so account managers can see who reports to whom.</t>
        </is>
      </c>
      <c r="J1045" t="inlineStr">
        <is>
          <t>Neutral</t>
        </is>
      </c>
      <c r="K1045" t="inlineStr">
        <is>
          <t>Medium</t>
        </is>
      </c>
      <c r="L1045" t="inlineStr">
        <is>
          <t>Minor Inconvenience</t>
        </is>
      </c>
    </row>
    <row r="1046">
      <c r="A1046" t="inlineStr">
        <is>
          <t>FB-01045</t>
        </is>
      </c>
      <c r="B1046" t="inlineStr">
        <is>
          <t>CUST-0216</t>
        </is>
      </c>
      <c r="C1046" t="inlineStr">
        <is>
          <t>2026-06-28</t>
        </is>
      </c>
      <c r="D1046" t="inlineStr">
        <is>
          <t>In-App Feedback</t>
        </is>
      </c>
      <c r="E1046" t="inlineStr">
        <is>
          <t>Starter</t>
        </is>
      </c>
      <c r="F1046" t="inlineStr">
        <is>
          <t>Mid-Market</t>
        </is>
      </c>
      <c r="G1046" t="inlineStr">
        <is>
          <t>User Interface</t>
        </is>
      </c>
      <c r="H1046" t="inlineStr">
        <is>
          <t>Performance Issue</t>
        </is>
      </c>
      <c r="I1046" t="inlineStr">
        <is>
          <t>Frustrated with this one. Slow page transitions makes data entry frustrating during live calls. It affects our quarterly planning process every cycle. We need a fix before renewal.</t>
        </is>
      </c>
      <c r="J1046" t="inlineStr">
        <is>
          <t>Negative</t>
        </is>
      </c>
      <c r="K1046" t="inlineStr">
        <is>
          <t>Medium</t>
        </is>
      </c>
      <c r="L1046" t="inlineStr">
        <is>
          <t>Minor Inconvenience</t>
        </is>
      </c>
    </row>
    <row r="1047">
      <c r="A1047" t="inlineStr">
        <is>
          <t>FB-01046</t>
        </is>
      </c>
      <c r="B1047" t="inlineStr">
        <is>
          <t>CUST-0250</t>
        </is>
      </c>
      <c r="C1047" t="inlineStr">
        <is>
          <t>2026-06-28</t>
        </is>
      </c>
      <c r="D1047" t="inlineStr">
        <is>
          <t>In-App Feedback</t>
        </is>
      </c>
      <c r="E1047" t="inlineStr">
        <is>
          <t>Professional</t>
        </is>
      </c>
      <c r="F1047" t="inlineStr">
        <is>
          <t>Mid-Market</t>
        </is>
      </c>
      <c r="G1047" t="inlineStr">
        <is>
          <t>Integrations</t>
        </is>
      </c>
      <c r="H1047" t="inlineStr">
        <is>
          <t>Integration Issue</t>
        </is>
      </c>
      <c r="I1047" t="inlineStr">
        <is>
          <t>Our integration partner flagged API rate limits as a risk for the project. Our customer success lead flagged it while onboarding 91 new users. Happy to join a feedback call.</t>
        </is>
      </c>
      <c r="J1047" t="inlineStr">
        <is>
          <t>Neutral</t>
        </is>
      </c>
      <c r="K1047" t="inlineStr">
        <is>
          <t>Low</t>
        </is>
      </c>
      <c r="L1047" t="inlineStr">
        <is>
          <t>Workflow Slowdown</t>
        </is>
      </c>
    </row>
    <row r="1048">
      <c r="A1048" t="inlineStr">
        <is>
          <t>FB-01047</t>
        </is>
      </c>
      <c r="B1048" t="inlineStr">
        <is>
          <t>CUST-0142</t>
        </is>
      </c>
      <c r="C1048" t="inlineStr">
        <is>
          <t>2026-06-28</t>
        </is>
      </c>
      <c r="D1048" t="inlineStr">
        <is>
          <t>Support Ticket</t>
        </is>
      </c>
      <c r="E1048" t="inlineStr">
        <is>
          <t>Professional</t>
        </is>
      </c>
      <c r="F1048" t="inlineStr">
        <is>
          <t>Enterprise</t>
        </is>
      </c>
      <c r="G1048" t="inlineStr">
        <is>
          <t>Workflow Automation</t>
        </is>
      </c>
      <c r="H1048" t="inlineStr">
        <is>
          <t>Feature Request</t>
        </is>
      </c>
      <c r="I1048" t="inlineStr">
        <is>
          <t>Feedback from our monthly review. A library of automation recipes would cut our setup time. Let us know if you need examples.</t>
        </is>
      </c>
      <c r="J1048" t="inlineStr">
        <is>
          <t>Neutral</t>
        </is>
      </c>
      <c r="K1048" t="inlineStr">
        <is>
          <t>Low</t>
        </is>
      </c>
      <c r="L1048" t="inlineStr">
        <is>
          <t>Minor Inconvenience</t>
        </is>
      </c>
    </row>
    <row r="1049">
      <c r="A1049" t="inlineStr">
        <is>
          <t>FB-01048</t>
        </is>
      </c>
      <c r="B1049" t="inlineStr">
        <is>
          <t>CUST-0049</t>
        </is>
      </c>
      <c r="C1049" t="inlineStr">
        <is>
          <t>2026-06-28</t>
        </is>
      </c>
      <c r="D1049" t="inlineStr">
        <is>
          <t>Support Ticket</t>
        </is>
      </c>
      <c r="E1049" t="inlineStr">
        <is>
          <t>Starter</t>
        </is>
      </c>
      <c r="F1049" t="inlineStr">
        <is>
          <t>SMB</t>
        </is>
      </c>
      <c r="G1049" t="inlineStr">
        <is>
          <t>Lead Management</t>
        </is>
      </c>
      <c r="H1049" t="inlineStr">
        <is>
          <t>Performance Issue</t>
        </is>
      </c>
      <c r="I1049" t="inlineStr">
        <is>
          <t>Complaint about lead list loading: the board freezes while cards render. We estimate we lose roughly 14 hours a month on this.</t>
        </is>
      </c>
      <c r="J1049" t="inlineStr">
        <is>
          <t>Neutral</t>
        </is>
      </c>
      <c r="K1049" t="inlineStr">
        <is>
          <t>Low</t>
        </is>
      </c>
      <c r="L1049" t="inlineStr">
        <is>
          <t>Minor Inconvenience</t>
        </is>
      </c>
    </row>
    <row r="1050">
      <c r="A1050" t="inlineStr">
        <is>
          <t>FB-01049</t>
        </is>
      </c>
      <c r="B1050" t="inlineStr">
        <is>
          <t>CUST-0243</t>
        </is>
      </c>
      <c r="C1050" t="inlineStr">
        <is>
          <t>2026-06-28</t>
        </is>
      </c>
      <c r="D1050" t="inlineStr">
        <is>
          <t>Feature Request</t>
        </is>
      </c>
      <c r="E1050" t="inlineStr">
        <is>
          <t>Professional</t>
        </is>
      </c>
      <c r="F1050" t="inlineStr">
        <is>
          <t>SMB</t>
        </is>
      </c>
      <c r="G1050" t="inlineStr">
        <is>
          <t>Contact Management</t>
        </is>
      </c>
      <c r="H1050" t="inlineStr">
        <is>
          <t>Feature Request</t>
        </is>
      </c>
      <c r="I1050" t="inlineStr">
        <is>
          <t>Noting this during onboarding. Requesting custom contact fields so account managers can see who reports to whom. Our marketing ops owner flagged it while onboarding 15 new users. Let us know if you need examples.</t>
        </is>
      </c>
      <c r="J1050" t="inlineStr">
        <is>
          <t>Neutral</t>
        </is>
      </c>
      <c r="K1050" t="inlineStr">
        <is>
          <t>Low</t>
        </is>
      </c>
      <c r="L1050" t="inlineStr">
        <is>
          <t>Minor Inconvenience</t>
        </is>
      </c>
    </row>
    <row r="1051">
      <c r="A1051" t="inlineStr">
        <is>
          <t>FB-01050</t>
        </is>
      </c>
      <c r="B1051" t="inlineStr">
        <is>
          <t>CUST-0117</t>
        </is>
      </c>
      <c r="C1051" t="inlineStr">
        <is>
          <t>28-Jun-2026</t>
        </is>
      </c>
      <c r="D1051" t="inlineStr">
        <is>
          <t>In-App Feedback</t>
        </is>
      </c>
      <c r="E1051" t="inlineStr">
        <is>
          <t>Professional</t>
        </is>
      </c>
      <c r="F1051" t="inlineStr">
        <is>
          <t>Mid-Market</t>
        </is>
      </c>
      <c r="G1051" t="inlineStr">
        <is>
          <t>USER INTERFACE</t>
        </is>
      </c>
      <c r="H1051" t="inlineStr">
        <is>
          <t>Feature Request</t>
        </is>
      </c>
      <c r="I1051" t="inlineStr">
        <is>
          <t>We lose notes whenever reps are away from a desk without a mobile app. Thanks to the team.</t>
        </is>
      </c>
      <c r="J1051" t="inlineStr">
        <is>
          <t>Positive</t>
        </is>
      </c>
      <c r="K1051" t="inlineStr">
        <is>
          <t>Low</t>
        </is>
      </c>
      <c r="L1051" t="inlineStr">
        <is>
          <t>Workflow Slowdown</t>
        </is>
      </c>
    </row>
    <row r="1052">
      <c r="A1052" t="inlineStr">
        <is>
          <t>FB-01051</t>
        </is>
      </c>
      <c r="B1052" t="inlineStr">
        <is>
          <t>CUST-0165</t>
        </is>
      </c>
      <c r="C1052" t="inlineStr">
        <is>
          <t>2026-06-28</t>
        </is>
      </c>
      <c r="D1052" t="inlineStr">
        <is>
          <t>Customer Survey</t>
        </is>
      </c>
      <c r="E1052" t="inlineStr">
        <is>
          <t>Enterprise</t>
        </is>
      </c>
      <c r="F1052" t="inlineStr">
        <is>
          <t>Mid-Market</t>
        </is>
      </c>
      <c r="G1052" t="inlineStr">
        <is>
          <t>Workflow Automation</t>
        </is>
      </c>
      <c r="H1052" t="inlineStr">
        <is>
          <t>Feature Request</t>
        </is>
      </c>
      <c r="I1052" t="inlineStr">
        <is>
          <t>Great support experience recently. Competitors ship automation recipes; we are rebuilding the same flows from scratch. Thanks to the team.</t>
        </is>
      </c>
      <c r="J1052" t="inlineStr">
        <is>
          <t>Positive</t>
        </is>
      </c>
      <c r="K1052" t="inlineStr">
        <is>
          <t>Low</t>
        </is>
      </c>
      <c r="L1052" t="inlineStr">
        <is>
          <t>Minor Inconvenience</t>
        </is>
      </c>
    </row>
    <row r="1053">
      <c r="A1053" t="inlineStr">
        <is>
          <t>FB-01052</t>
        </is>
      </c>
      <c r="B1053" t="inlineStr">
        <is>
          <t>CUST-0248</t>
        </is>
      </c>
      <c r="C1053" t="inlineStr">
        <is>
          <t>2026-06-29</t>
        </is>
      </c>
      <c r="D1053" t="inlineStr">
        <is>
          <t>Feature Request</t>
        </is>
      </c>
      <c r="E1053" t="inlineStr">
        <is>
          <t>Starter</t>
        </is>
      </c>
      <c r="F1053" t="inlineStr">
        <is>
          <t>SMB</t>
        </is>
      </c>
      <c r="G1053" t="inlineStr">
        <is>
          <t>Workflow Automation</t>
        </is>
      </c>
      <c r="H1053" t="inlineStr">
        <is>
          <t>Feature Request</t>
        </is>
      </c>
      <c r="I1053" t="inlineStr">
        <is>
          <t>We'd adopt automation faster with automation recipes we could customize. We estimate we lose roughly 49 hours a month on this.</t>
        </is>
      </c>
      <c r="J1053" t="inlineStr">
        <is>
          <t>Neutral</t>
        </is>
      </c>
      <c r="K1053" t="inlineStr">
        <is>
          <t>Low</t>
        </is>
      </c>
      <c r="L1053" t="inlineStr">
        <is>
          <t>Minor Inconvenience</t>
        </is>
      </c>
    </row>
    <row r="1054">
      <c r="A1054" t="inlineStr">
        <is>
          <t>FB-01053</t>
        </is>
      </c>
      <c r="B1054" t="inlineStr">
        <is>
          <t>CUST-0105</t>
        </is>
      </c>
      <c r="C1054" t="inlineStr">
        <is>
          <t>2026-06-29</t>
        </is>
      </c>
      <c r="D1054" t="inlineStr">
        <is>
          <t>Support Ticket</t>
        </is>
      </c>
      <c r="E1054" t="inlineStr">
        <is>
          <t>Professional</t>
        </is>
      </c>
      <c r="F1054" t="inlineStr">
        <is>
          <t>Mid-Market</t>
        </is>
      </c>
      <c r="G1054" t="inlineStr">
        <is>
          <t>Integrations</t>
        </is>
      </c>
      <c r="H1054" t="inlineStr">
        <is>
          <t>Integration Issue</t>
        </is>
      </c>
      <c r="I1054" t="inlineStr">
        <is>
          <t>Escalating on behalf of our ops lead. The email sync duplicates meetings and misses replies. It affects our quarterly planning process every cycle. Is there a workaround?</t>
        </is>
      </c>
      <c r="J1054" t="inlineStr">
        <is>
          <t>Negative</t>
        </is>
      </c>
      <c r="K1054" t="inlineStr">
        <is>
          <t>Medium</t>
        </is>
      </c>
      <c r="L1054" t="inlineStr">
        <is>
          <t>Revenue/Operations Risk</t>
        </is>
      </c>
    </row>
    <row r="1055">
      <c r="A1055" t="inlineStr">
        <is>
          <t>FB-01054</t>
        </is>
      </c>
      <c r="B1055" t="inlineStr">
        <is>
          <t>CUST-0205</t>
        </is>
      </c>
      <c r="C1055" t="inlineStr">
        <is>
          <t>2026-06-29</t>
        </is>
      </c>
      <c r="D1055" t="inlineStr">
        <is>
          <t>Feature Request</t>
        </is>
      </c>
      <c r="E1055" t="inlineStr">
        <is>
          <t>Enterprise</t>
        </is>
      </c>
      <c r="F1055" t="inlineStr">
        <is>
          <t>Enterprise</t>
        </is>
      </c>
      <c r="G1055" t="inlineStr">
        <is>
          <t>Reporting</t>
        </is>
      </c>
      <c r="H1055" t="inlineStr">
        <is>
          <t>Feature Request</t>
        </is>
      </c>
      <c r="I1055" t="inlineStr">
        <is>
          <t>Recent updates have been a nice improvement. Requesting a custom report builder so leadership gets numbers without logging in. We estimate we lose roughly 14 hours a month on this.</t>
        </is>
      </c>
      <c r="J1055" t="inlineStr">
        <is>
          <t>Positive</t>
        </is>
      </c>
      <c r="K1055" t="inlineStr">
        <is>
          <t>Medium</t>
        </is>
      </c>
      <c r="L1055" t="inlineStr">
        <is>
          <t>Workflow Slowdown</t>
        </is>
      </c>
    </row>
    <row r="1056">
      <c r="A1056" t="inlineStr">
        <is>
          <t>FB-01055</t>
        </is>
      </c>
      <c r="B1056" t="inlineStr">
        <is>
          <t>CUST-0221</t>
        </is>
      </c>
      <c r="C1056" t="inlineStr">
        <is>
          <t>2026-06-29</t>
        </is>
      </c>
      <c r="D1056" t="inlineStr">
        <is>
          <t>Feature Request</t>
        </is>
      </c>
      <c r="E1056" t="inlineStr">
        <is>
          <t>Professional</t>
        </is>
      </c>
      <c r="F1056" t="inlineStr">
        <is>
          <t>SMB</t>
        </is>
      </c>
      <c r="G1056" t="inlineStr">
        <is>
          <t>User Interface</t>
        </is>
      </c>
      <c r="H1056" t="inlineStr">
        <is>
          <t>Feature Request</t>
        </is>
      </c>
      <c r="I1056" t="inlineStr">
        <is>
          <t>Requesting mobile call logging so reps can log activity right after a meeting. It affects our month-end reporting process every cycle. Happy to join a feedback call.</t>
        </is>
      </c>
      <c r="J1056" t="inlineStr">
        <is>
          <t>Neutral</t>
        </is>
      </c>
      <c r="K1056" t="inlineStr">
        <is>
          <t>Low</t>
        </is>
      </c>
    </row>
    <row r="1057">
      <c r="A1057" t="inlineStr">
        <is>
          <t>FB-01056</t>
        </is>
      </c>
      <c r="B1057" t="inlineStr">
        <is>
          <t>CUST-0237</t>
        </is>
      </c>
      <c r="C1057" t="inlineStr">
        <is>
          <t>2026-06-29</t>
        </is>
      </c>
      <c r="D1057" t="inlineStr">
        <is>
          <t>In-App Feedback</t>
        </is>
      </c>
      <c r="E1057" t="inlineStr">
        <is>
          <t xml:space="preserve">Enterprise </t>
        </is>
      </c>
      <c r="F1057" t="inlineStr">
        <is>
          <t>Mid-Market</t>
        </is>
      </c>
      <c r="G1057" t="inlineStr">
        <is>
          <t>User Interface</t>
        </is>
      </c>
      <c r="H1057" t="inlineStr">
        <is>
          <t>Performance Issue</t>
        </is>
      </c>
      <c r="I1057" t="inlineStr">
        <is>
          <t>Our team keeps running into this. We notice slow page transitions whenever more than a few tabs are open. It affects our quarterly planning process every cycle. Support suggested logging it here.</t>
        </is>
      </c>
      <c r="J1057" t="inlineStr">
        <is>
          <t>Negative</t>
        </is>
      </c>
      <c r="K1057" t="inlineStr">
        <is>
          <t>Medium</t>
        </is>
      </c>
      <c r="L1057" t="inlineStr">
        <is>
          <t>Workflow Slowdown</t>
        </is>
      </c>
    </row>
    <row r="1058">
      <c r="A1058" t="inlineStr">
        <is>
          <t>FB-01057</t>
        </is>
      </c>
      <c r="B1058" t="inlineStr">
        <is>
          <t>CUST-0226</t>
        </is>
      </c>
      <c r="C1058" t="inlineStr">
        <is>
          <t>2026-06-29</t>
        </is>
      </c>
      <c r="D1058" t="inlineStr">
        <is>
          <t>In-App Feedback</t>
        </is>
      </c>
      <c r="E1058" t="inlineStr">
        <is>
          <t>Professional</t>
        </is>
      </c>
      <c r="F1058" t="inlineStr">
        <is>
          <t>Enterprise</t>
        </is>
      </c>
      <c r="G1058" t="inlineStr">
        <is>
          <t>Integrations</t>
        </is>
      </c>
      <c r="H1058" t="inlineStr">
        <is>
          <t>Integration Issue</t>
        </is>
      </c>
      <c r="I1058" t="inlineStr">
        <is>
          <t>The Gmail sync duplicates meetings and misses replies. We estimate we lose roughly 31 hours a month on this. Support suggested logging it here.</t>
        </is>
      </c>
      <c r="J1058" t="inlineStr">
        <is>
          <t>Negative</t>
        </is>
      </c>
      <c r="K1058" t="inlineStr">
        <is>
          <t>Medium</t>
        </is>
      </c>
      <c r="L1058" t="inlineStr">
        <is>
          <t>Minor Inconvenience</t>
        </is>
      </c>
    </row>
    <row r="1059">
      <c r="A1059" t="inlineStr">
        <is>
          <t>FB-01058</t>
        </is>
      </c>
      <c r="B1059" t="inlineStr">
        <is>
          <t>CUST-0334</t>
        </is>
      </c>
      <c r="C1059" t="inlineStr">
        <is>
          <t>2026-06-30</t>
        </is>
      </c>
      <c r="D1059" t="inlineStr">
        <is>
          <t>In-App Feedback</t>
        </is>
      </c>
      <c r="E1059" t="inlineStr">
        <is>
          <t>Enterprise</t>
        </is>
      </c>
      <c r="F1059" t="inlineStr">
        <is>
          <t>SMB</t>
        </is>
      </c>
      <c r="G1059" t="inlineStr">
        <is>
          <t>Lead Management</t>
        </is>
      </c>
      <c r="H1059" t="inlineStr">
        <is>
          <t>Performance Issue</t>
        </is>
      </c>
      <c r="I1059" t="inlineStr">
        <is>
          <t>Complaint about lead list loading: the board freezes while cards render. So far 75 people on our side have reported it. Support suggested logging it here.</t>
        </is>
      </c>
      <c r="J1059" t="inlineStr">
        <is>
          <t>Negative</t>
        </is>
      </c>
      <c r="K1059" t="inlineStr">
        <is>
          <t>Low</t>
        </is>
      </c>
      <c r="L1059" t="inlineStr">
        <is>
          <t>Workflow Slowdown</t>
        </is>
      </c>
    </row>
    <row r="1060">
      <c r="A1060" t="inlineStr">
        <is>
          <t>FB-01059</t>
        </is>
      </c>
      <c r="B1060" t="inlineStr">
        <is>
          <t>CUST-0378</t>
        </is>
      </c>
      <c r="C1060" t="inlineStr">
        <is>
          <t>2026-06-30</t>
        </is>
      </c>
      <c r="D1060" t="inlineStr">
        <is>
          <t>Feature Request</t>
        </is>
      </c>
      <c r="E1060" t="inlineStr">
        <is>
          <t>Starter</t>
        </is>
      </c>
      <c r="F1060" t="inlineStr">
        <is>
          <t>SMB</t>
        </is>
      </c>
      <c r="G1060" t="inlineStr">
        <is>
          <t>User Interface</t>
        </is>
      </c>
      <c r="H1060" t="inlineStr">
        <is>
          <t>Feature Request</t>
        </is>
      </c>
      <c r="I1060" t="inlineStr">
        <is>
          <t>Great support experience recently. Please prioritize mobile call logging; the mobile web view is hard to use. It happens about 19 times a week for our team of 17. Happy to beta test.</t>
        </is>
      </c>
      <c r="J1060" t="inlineStr">
        <is>
          <t>Positive</t>
        </is>
      </c>
      <c r="K1060" t="inlineStr">
        <is>
          <t>Low</t>
        </is>
      </c>
      <c r="L1060" t="inlineStr">
        <is>
          <t>Minor Inconvenience</t>
        </is>
      </c>
    </row>
    <row r="1061">
      <c r="A1061" t="inlineStr">
        <is>
          <t>FB-01060</t>
        </is>
      </c>
      <c r="B1061" t="inlineStr">
        <is>
          <t>CUST-0043</t>
        </is>
      </c>
      <c r="C1061" t="inlineStr">
        <is>
          <t>2026-06-30</t>
        </is>
      </c>
      <c r="D1061" t="inlineStr">
        <is>
          <t>In-App Feedback</t>
        </is>
      </c>
      <c r="E1061" t="inlineStr">
        <is>
          <t>Starter</t>
        </is>
      </c>
      <c r="F1061" t="inlineStr">
        <is>
          <t>SMB</t>
        </is>
      </c>
      <c r="G1061" t="inlineStr">
        <is>
          <t>Reporting</t>
        </is>
      </c>
      <c r="H1061" t="inlineStr">
        <is>
          <t>Bug</t>
        </is>
      </c>
      <c r="I1061" t="inlineStr">
        <is>
          <t>This has been a recurring problem for us. The Excel export times out for date ranges longer than a quarter. We need a fix before renewal.</t>
        </is>
      </c>
      <c r="J1061" t="inlineStr">
        <is>
          <t>Negative</t>
        </is>
      </c>
      <c r="K1061" t="inlineStr">
        <is>
          <t>Medium</t>
        </is>
      </c>
      <c r="L1061" t="inlineStr">
        <is>
          <t>Workflow Slowdown</t>
        </is>
      </c>
    </row>
    <row r="1062">
      <c r="A1062" t="inlineStr">
        <is>
          <t>FB-01061</t>
        </is>
      </c>
      <c r="B1062" t="inlineStr">
        <is>
          <t>CUST-0147</t>
        </is>
      </c>
      <c r="C1062" t="inlineStr">
        <is>
          <t>2026-06-30</t>
        </is>
      </c>
      <c r="D1062" t="inlineStr">
        <is>
          <t>In-App Feedback</t>
        </is>
      </c>
      <c r="E1062" t="inlineStr">
        <is>
          <t>Enterprise</t>
        </is>
      </c>
      <c r="F1062" t="inlineStr">
        <is>
          <t>Enterprise</t>
        </is>
      </c>
      <c r="G1062" t="inlineStr">
        <is>
          <t>Workflow Automation</t>
        </is>
      </c>
      <c r="H1062" t="inlineStr">
        <is>
          <t>Usability Issue</t>
        </is>
      </c>
      <c r="I1062" t="inlineStr">
        <is>
          <t>The workflow editor is hard to follow once a flow has more than a handful of steps. It happens about 30 times a week for our team of 106. Support suggested logging it here.</t>
        </is>
      </c>
      <c r="J1062" t="inlineStr">
        <is>
          <t>Negative</t>
        </is>
      </c>
      <c r="K1062" t="inlineStr">
        <is>
          <t>Medium</t>
        </is>
      </c>
      <c r="L1062" t="inlineStr">
        <is>
          <t>Workflow Slowdown</t>
        </is>
      </c>
    </row>
    <row r="1063">
      <c r="A1063" t="inlineStr">
        <is>
          <t>FB-01062</t>
        </is>
      </c>
      <c r="B1063" t="inlineStr">
        <is>
          <t>CUST-0083</t>
        </is>
      </c>
      <c r="C1063" t="inlineStr">
        <is>
          <t>2026-07-01</t>
        </is>
      </c>
      <c r="D1063" t="inlineStr">
        <is>
          <t>Customer Survey</t>
        </is>
      </c>
      <c r="E1063" t="inlineStr">
        <is>
          <t>Starter</t>
        </is>
      </c>
      <c r="F1063" t="inlineStr">
        <is>
          <t>SMB</t>
        </is>
      </c>
      <c r="G1063" t="inlineStr">
        <is>
          <t>Lead Management</t>
        </is>
      </c>
      <c r="H1063" t="inlineStr">
        <is>
          <t>Usability Issue</t>
        </is>
      </c>
      <c r="I1063" t="inlineStr">
        <is>
          <t>The lead assignment settings are confusing and new leads sometimes sit unassigned over weekends. So far 51 people on our side have reported it. Happy to join a feedback call.</t>
        </is>
      </c>
      <c r="J1063" t="inlineStr">
        <is>
          <t>Neutral</t>
        </is>
      </c>
      <c r="K1063" t="inlineStr">
        <is>
          <t>Medium</t>
        </is>
      </c>
      <c r="L1063" t="inlineStr">
        <is>
          <t>Blocks Key Task</t>
        </is>
      </c>
    </row>
    <row r="1064">
      <c r="A1064" t="inlineStr">
        <is>
          <t>FB-01063</t>
        </is>
      </c>
      <c r="B1064" t="inlineStr">
        <is>
          <t>CUST-0022</t>
        </is>
      </c>
      <c r="C1064" t="inlineStr">
        <is>
          <t>2026-07-01</t>
        </is>
      </c>
      <c r="D1064" t="inlineStr">
        <is>
          <t>Support Ticket</t>
        </is>
      </c>
      <c r="E1064" t="inlineStr">
        <is>
          <t>Starter</t>
        </is>
      </c>
      <c r="F1064" t="inlineStr">
        <is>
          <t>SMB</t>
        </is>
      </c>
      <c r="G1064" t="inlineStr">
        <is>
          <t>Workflow Automation</t>
        </is>
      </c>
      <c r="H1064" t="inlineStr">
        <is>
          <t>Usability Issue</t>
        </is>
      </c>
      <c r="I1064" t="inlineStr">
        <is>
          <t>Noting this during onboarding. I can't tell what a branch does in the workflow builder without opening every node. We estimate we lose roughly 47 hours a month on this. Let us know if you need examples.</t>
        </is>
      </c>
      <c r="J1064" t="inlineStr">
        <is>
          <t>Neutral</t>
        </is>
      </c>
      <c r="K1064" t="inlineStr">
        <is>
          <t>Low</t>
        </is>
      </c>
      <c r="L1064" t="inlineStr">
        <is>
          <t>Workflow Slowdown</t>
        </is>
      </c>
    </row>
    <row r="1065">
      <c r="A1065" t="inlineStr">
        <is>
          <t>FB-01064</t>
        </is>
      </c>
      <c r="B1065" t="inlineStr">
        <is>
          <t>CUST-0284</t>
        </is>
      </c>
      <c r="C1065" t="inlineStr">
        <is>
          <t>2026-07-02</t>
        </is>
      </c>
      <c r="D1065" t="inlineStr">
        <is>
          <t>In-App Feedback</t>
        </is>
      </c>
      <c r="E1065" t="inlineStr">
        <is>
          <t>Enterprise</t>
        </is>
      </c>
      <c r="F1065" t="inlineStr">
        <is>
          <t>Enterprise</t>
        </is>
      </c>
      <c r="G1065" t="inlineStr">
        <is>
          <t>Contact Management</t>
        </is>
      </c>
      <c r="H1065" t="inlineStr">
        <is>
          <t>Performance Issue</t>
        </is>
      </c>
      <c r="I1065" t="inlineStr">
        <is>
          <t>We avoid contact list filtering during calls because it takes too long. So far 49 people on our side have reported it. Please look into it soon.</t>
        </is>
      </c>
      <c r="J1065" t="inlineStr">
        <is>
          <t>Negative</t>
        </is>
      </c>
      <c r="K1065" t="inlineStr">
        <is>
          <t>Critical</t>
        </is>
      </c>
      <c r="L1065" t="inlineStr">
        <is>
          <t>Blocks Key Task</t>
        </is>
      </c>
    </row>
    <row r="1066">
      <c r="A1066" t="inlineStr">
        <is>
          <t>FB-01065</t>
        </is>
      </c>
      <c r="B1066" t="inlineStr">
        <is>
          <t>CUST-0369</t>
        </is>
      </c>
      <c r="C1066" t="inlineStr">
        <is>
          <t>2026-07-02</t>
        </is>
      </c>
      <c r="D1066" t="inlineStr">
        <is>
          <t>Feature Request</t>
        </is>
      </c>
      <c r="E1066" t="inlineStr">
        <is>
          <t>Professional</t>
        </is>
      </c>
      <c r="F1066" t="inlineStr">
        <is>
          <t>Mid-Market</t>
        </is>
      </c>
      <c r="G1066" t="inlineStr">
        <is>
          <t>Reporting</t>
        </is>
      </c>
      <c r="H1066" t="inlineStr">
        <is>
          <t>Feature Request</t>
        </is>
      </c>
      <c r="I1066" t="inlineStr">
        <is>
          <t>Overall we like the product. Please add sales forecasting; managers keep a separate spreadsheet. So far 40 people on our side have reported it. Happy to beta test.</t>
        </is>
      </c>
      <c r="J1066" t="inlineStr">
        <is>
          <t>Positive</t>
        </is>
      </c>
      <c r="K1066" t="inlineStr">
        <is>
          <t>LOW</t>
        </is>
      </c>
      <c r="L1066" t="inlineStr">
        <is>
          <t>Minor Inconvenience</t>
        </is>
      </c>
    </row>
    <row r="1067">
      <c r="A1067" t="inlineStr">
        <is>
          <t>FB-01066</t>
        </is>
      </c>
      <c r="B1067" t="inlineStr">
        <is>
          <t>CUST-0222</t>
        </is>
      </c>
      <c r="C1067" t="inlineStr">
        <is>
          <t>2026-07-02</t>
        </is>
      </c>
      <c r="D1067" t="inlineStr">
        <is>
          <t>Feature Request</t>
        </is>
      </c>
      <c r="E1067" t="inlineStr">
        <is>
          <t>Professional</t>
        </is>
      </c>
      <c r="F1067" t="inlineStr">
        <is>
          <t>Mid-Market</t>
        </is>
      </c>
      <c r="G1067" t="inlineStr">
        <is>
          <t>Reporting</t>
        </is>
      </c>
      <c r="H1067" t="inlineStr">
        <is>
          <t>Feature Request</t>
        </is>
      </c>
      <c r="I1067" t="inlineStr">
        <is>
          <t>Not what we expected for the price. Requesting report scheduling so leadership gets numbers without logging in. So far 89 people on our side have reported it.</t>
        </is>
      </c>
      <c r="J1067" t="inlineStr">
        <is>
          <t>Negative</t>
        </is>
      </c>
      <c r="K1067" t="inlineStr">
        <is>
          <t>High</t>
        </is>
      </c>
      <c r="L1067" t="inlineStr">
        <is>
          <t>Blocks Key Task</t>
        </is>
      </c>
    </row>
    <row r="1068">
      <c r="A1068" t="inlineStr">
        <is>
          <t>FB-01067</t>
        </is>
      </c>
      <c r="B1068" t="inlineStr">
        <is>
          <t>CUST-0249</t>
        </is>
      </c>
      <c r="C1068" t="inlineStr">
        <is>
          <t>02-Jul-2026</t>
        </is>
      </c>
      <c r="D1068" t="inlineStr">
        <is>
          <t>Feature Request</t>
        </is>
      </c>
      <c r="E1068" t="inlineStr">
        <is>
          <t>Starter</t>
        </is>
      </c>
      <c r="F1068" t="inlineStr">
        <is>
          <t>SMB</t>
        </is>
      </c>
      <c r="G1068" t="inlineStr">
        <is>
          <t>Contact Management</t>
        </is>
      </c>
      <c r="H1068" t="inlineStr">
        <is>
          <t>Performance Issue</t>
        </is>
      </c>
      <c r="I1068" t="inlineStr">
        <is>
          <t>Happy with most of the product. The contact search times out on our largest accounts. Our finance analyst flagged it while onboarding 100 new users. Keep up the good work.</t>
        </is>
      </c>
      <c r="J1068" t="inlineStr">
        <is>
          <t>Positive</t>
        </is>
      </c>
      <c r="K1068" t="inlineStr">
        <is>
          <t>Low</t>
        </is>
      </c>
      <c r="L1068" t="inlineStr">
        <is>
          <t>Minor Inconvenience</t>
        </is>
      </c>
    </row>
    <row r="1069">
      <c r="A1069" t="inlineStr">
        <is>
          <t>FB-01068</t>
        </is>
      </c>
      <c r="B1069" t="inlineStr">
        <is>
          <t>CUST-0338</t>
        </is>
      </c>
      <c r="C1069" t="inlineStr">
        <is>
          <t>2026-07-02</t>
        </is>
      </c>
      <c r="D1069" t="inlineStr">
        <is>
          <t>In-App Feedback</t>
        </is>
      </c>
      <c r="E1069" t="inlineStr">
        <is>
          <t>Professional</t>
        </is>
      </c>
      <c r="F1069" t="inlineStr">
        <is>
          <t>Mid-Market</t>
        </is>
      </c>
      <c r="G1069" t="inlineStr">
        <is>
          <t>Contact Management</t>
        </is>
      </c>
      <c r="H1069" t="inlineStr">
        <is>
          <t>Bug</t>
        </is>
      </c>
      <c r="I1069" t="inlineStr">
        <is>
          <t>Frustrated with this one. The import field mapping fails halfway through with a generic error and no row-level detail. It happens about 33 times a week for our team of 99. We need a fix before renewal.</t>
        </is>
      </c>
      <c r="J1069" t="inlineStr">
        <is>
          <t>Negative</t>
        </is>
      </c>
      <c r="K1069" t="inlineStr">
        <is>
          <t>Medium</t>
        </is>
      </c>
      <c r="L1069" t="inlineStr">
        <is>
          <t>Workflow Slowdown</t>
        </is>
      </c>
    </row>
    <row r="1070">
      <c r="A1070" t="inlineStr">
        <is>
          <t>FB-01069</t>
        </is>
      </c>
      <c r="B1070" t="inlineStr">
        <is>
          <t>CUST-0320</t>
        </is>
      </c>
      <c r="C1070" t="inlineStr">
        <is>
          <t>2026-07-02</t>
        </is>
      </c>
      <c r="D1070" t="inlineStr">
        <is>
          <t>Support Ticket</t>
        </is>
      </c>
      <c r="E1070" t="inlineStr">
        <is>
          <t>Professional</t>
        </is>
      </c>
      <c r="F1070" t="inlineStr">
        <is>
          <t>Mid-Market</t>
        </is>
      </c>
      <c r="G1070" t="inlineStr">
        <is>
          <t>Integrations</t>
        </is>
      </c>
      <c r="H1070" t="inlineStr">
        <is>
          <t>Integration Issue</t>
        </is>
      </c>
      <c r="I1070" t="inlineStr">
        <is>
          <t>Our email sync keeps disconnecting and activities are missing from the contact timeline. So far 41 people on our side have reported it.</t>
        </is>
      </c>
      <c r="J1070" t="inlineStr">
        <is>
          <t>Negative</t>
        </is>
      </c>
      <c r="K1070" t="inlineStr">
        <is>
          <t>Critical</t>
        </is>
      </c>
      <c r="L1070" t="inlineStr">
        <is>
          <t>Blocks Key Task</t>
        </is>
      </c>
    </row>
    <row r="1071">
      <c r="A1071" t="inlineStr">
        <is>
          <t>FB-01070</t>
        </is>
      </c>
      <c r="B1071" t="inlineStr">
        <is>
          <t>CUST-0262</t>
        </is>
      </c>
      <c r="C1071" t="inlineStr">
        <is>
          <t>2026-07-02</t>
        </is>
      </c>
      <c r="D1071" t="inlineStr">
        <is>
          <t>Support Ticket</t>
        </is>
      </c>
      <c r="E1071" t="inlineStr">
        <is>
          <t>Professional</t>
        </is>
      </c>
      <c r="F1071" t="inlineStr">
        <is>
          <t>Mid-Market</t>
        </is>
      </c>
      <c r="G1071" t="inlineStr">
        <is>
          <t>Lead Management</t>
        </is>
      </c>
      <c r="H1071" t="inlineStr">
        <is>
          <t>Performance Issue</t>
        </is>
      </c>
      <c r="I1071" t="inlineStr">
        <is>
          <t>The lead list loading gets very slow once we pass a few thousand open leads. Our admin flagged it while onboarding 24 new users. Happy to join a feedback call.</t>
        </is>
      </c>
      <c r="J1071" t="inlineStr">
        <is>
          <t>Neutral</t>
        </is>
      </c>
      <c r="K1071" t="inlineStr">
        <is>
          <t>Medium</t>
        </is>
      </c>
      <c r="L1071" t="inlineStr">
        <is>
          <t>Workflow Slowdown</t>
        </is>
      </c>
    </row>
    <row r="1072">
      <c r="A1072" t="inlineStr">
        <is>
          <t>FB-01071</t>
        </is>
      </c>
      <c r="B1072" t="inlineStr">
        <is>
          <t>CUST-0217</t>
        </is>
      </c>
      <c r="C1072" t="inlineStr">
        <is>
          <t>2026-07-02</t>
        </is>
      </c>
      <c r="D1072" t="inlineStr">
        <is>
          <t>Customer Survey</t>
        </is>
      </c>
      <c r="E1072" t="inlineStr">
        <is>
          <t>Starter</t>
        </is>
      </c>
      <c r="F1072" t="inlineStr">
        <is>
          <t>Mid-Market</t>
        </is>
      </c>
      <c r="G1072" t="inlineStr">
        <is>
          <t xml:space="preserve"> Workflow Automation</t>
        </is>
      </c>
      <c r="H1072" t="inlineStr">
        <is>
          <t>Feature Request</t>
        </is>
      </c>
      <c r="I1072" t="inlineStr">
        <is>
          <t>A library of prebuilt automations would cut our setup time. Our admin flagged it while onboarding 103 new users. Let us know if you need examples.</t>
        </is>
      </c>
      <c r="J1072" t="inlineStr">
        <is>
          <t>Neutral</t>
        </is>
      </c>
      <c r="K1072" t="inlineStr">
        <is>
          <t>Low</t>
        </is>
      </c>
      <c r="L1072" t="inlineStr">
        <is>
          <t>Workflow Slowdown</t>
        </is>
      </c>
    </row>
    <row r="1073">
      <c r="A1073" t="inlineStr">
        <is>
          <t>FB-01072</t>
        </is>
      </c>
      <c r="B1073" t="inlineStr">
        <is>
          <t>CUST-0229</t>
        </is>
      </c>
      <c r="C1073" t="inlineStr">
        <is>
          <t>2026-07-03</t>
        </is>
      </c>
      <c r="D1073" t="inlineStr">
        <is>
          <t>In-App Feedback</t>
        </is>
      </c>
      <c r="E1073" t="inlineStr">
        <is>
          <t>Starter</t>
        </is>
      </c>
      <c r="F1073" t="inlineStr">
        <is>
          <t>Mid-Market</t>
        </is>
      </c>
      <c r="G1073" t="inlineStr">
        <is>
          <t>Contact Management</t>
        </is>
      </c>
      <c r="H1073" t="inlineStr">
        <is>
          <t>Feature Request</t>
        </is>
      </c>
      <c r="I1073" t="inlineStr">
        <is>
          <t>Great support experience recently. We need an account hierarchy view to reflect parent companies and subsidiaries. It happens about 21 times a week for our team of 72.</t>
        </is>
      </c>
      <c r="J1073" t="inlineStr">
        <is>
          <t>Positive</t>
        </is>
      </c>
      <c r="K1073" t="inlineStr">
        <is>
          <t>Low</t>
        </is>
      </c>
      <c r="L1073" t="inlineStr">
        <is>
          <t>Minor Inconvenience</t>
        </is>
      </c>
    </row>
    <row r="1074">
      <c r="A1074" t="inlineStr">
        <is>
          <t>FB-01073</t>
        </is>
      </c>
      <c r="B1074" t="inlineStr">
        <is>
          <t>CUST-0314</t>
        </is>
      </c>
      <c r="C1074" t="inlineStr">
        <is>
          <t>2026-07-03</t>
        </is>
      </c>
      <c r="D1074" t="inlineStr">
        <is>
          <t>In-App Feedback</t>
        </is>
      </c>
      <c r="E1074" t="inlineStr">
        <is>
          <t>Enterprise</t>
        </is>
      </c>
      <c r="F1074" t="inlineStr">
        <is>
          <t xml:space="preserve">Mid-Market </t>
        </is>
      </c>
      <c r="G1074" t="inlineStr">
        <is>
          <t>Integrations</t>
        </is>
      </c>
      <c r="H1074" t="inlineStr">
        <is>
          <t>Integration Issue</t>
        </is>
      </c>
      <c r="I1074" t="inlineStr">
        <is>
          <t>Escalating on behalf of our ops lead. API rate limits is unreliable and there is no retry or log we can inspect. Our RevOps lead flagged it while onboarding 7 new users. Is there a workaround?</t>
        </is>
      </c>
      <c r="J1074" t="inlineStr">
        <is>
          <t>Negative</t>
        </is>
      </c>
      <c r="K1074" t="inlineStr">
        <is>
          <t>High</t>
        </is>
      </c>
      <c r="L1074" t="inlineStr">
        <is>
          <t>Blocks Key Task</t>
        </is>
      </c>
    </row>
    <row r="1075">
      <c r="A1075" t="inlineStr">
        <is>
          <t>FB-01074</t>
        </is>
      </c>
      <c r="B1075" t="inlineStr">
        <is>
          <t>CUST-0153</t>
        </is>
      </c>
      <c r="C1075" t="inlineStr">
        <is>
          <t>2026-07-03</t>
        </is>
      </c>
      <c r="D1075" t="inlineStr">
        <is>
          <t>In-App Feedback</t>
        </is>
      </c>
      <c r="E1075" t="inlineStr">
        <is>
          <t>Enterprise</t>
        </is>
      </c>
      <c r="F1075" t="inlineStr">
        <is>
          <t>Enterprise</t>
        </is>
      </c>
      <c r="G1075" t="inlineStr">
        <is>
          <t>User Interface</t>
        </is>
      </c>
      <c r="H1075" t="inlineStr">
        <is>
          <t>Performance Issue</t>
        </is>
      </c>
      <c r="I1075" t="inlineStr">
        <is>
          <t>The UI freezing gets worse in the afternoon. It happens about 16 times a week for our team of 118.</t>
        </is>
      </c>
      <c r="J1075" t="inlineStr">
        <is>
          <t>Negative</t>
        </is>
      </c>
      <c r="K1075" t="inlineStr">
        <is>
          <t>Medium</t>
        </is>
      </c>
      <c r="L1075" t="inlineStr">
        <is>
          <t>Minor Inconvenience</t>
        </is>
      </c>
    </row>
    <row r="1076">
      <c r="A1076" t="inlineStr">
        <is>
          <t>FB-01075</t>
        </is>
      </c>
      <c r="B1076" t="inlineStr">
        <is>
          <t>CUST-0157</t>
        </is>
      </c>
      <c r="C1076" t="inlineStr">
        <is>
          <t>04-Jul-2026</t>
        </is>
      </c>
      <c r="D1076" t="inlineStr">
        <is>
          <t>Customer Survey</t>
        </is>
      </c>
      <c r="E1076" t="inlineStr">
        <is>
          <t>Starter</t>
        </is>
      </c>
      <c r="F1076" t="inlineStr">
        <is>
          <t>SMB</t>
        </is>
      </c>
      <c r="G1076" t="inlineStr">
        <is>
          <t>User Interface</t>
        </is>
      </c>
      <c r="H1076" t="inlineStr">
        <is>
          <t>Feature Request</t>
        </is>
      </c>
      <c r="I1076" t="inlineStr">
        <is>
          <t>Sharing this from our team. We lose notes whenever reps are away from a desk without mobile call logging. Our sales manager flagged it while onboarding 75 new users.</t>
        </is>
      </c>
      <c r="J1076" t="inlineStr">
        <is>
          <t>Neutral</t>
        </is>
      </c>
      <c r="K1076" t="inlineStr">
        <is>
          <t>Medium</t>
        </is>
      </c>
      <c r="L1076" t="inlineStr">
        <is>
          <t>Workflow Slowdown</t>
        </is>
      </c>
    </row>
    <row r="1077">
      <c r="A1077" t="inlineStr">
        <is>
          <t>FB-01076</t>
        </is>
      </c>
      <c r="B1077" t="inlineStr">
        <is>
          <t>CUST-0290</t>
        </is>
      </c>
      <c r="C1077" t="inlineStr">
        <is>
          <t>2026-07-04</t>
        </is>
      </c>
      <c r="D1077" t="inlineStr">
        <is>
          <t>In-App Feedback</t>
        </is>
      </c>
      <c r="E1077" t="inlineStr">
        <is>
          <t>Starter</t>
        </is>
      </c>
      <c r="F1077" t="inlineStr">
        <is>
          <t>SMB</t>
        </is>
      </c>
      <c r="G1077" t="inlineStr">
        <is>
          <t>User Interface</t>
        </is>
      </c>
      <c r="H1077" t="inlineStr">
        <is>
          <t>Usability Issue</t>
        </is>
      </c>
      <c r="I1077" t="inlineStr">
        <is>
          <t>Overall we like the product. New hires get lost in the navigation menu; it takes weeks to learn. Our sales manager flagged it while onboarding 104 new users. Happy to beta test.</t>
        </is>
      </c>
      <c r="J1077" t="inlineStr">
        <is>
          <t>Positive</t>
        </is>
      </c>
      <c r="K1077" t="inlineStr">
        <is>
          <t>High</t>
        </is>
      </c>
      <c r="L1077" t="inlineStr">
        <is>
          <t>Blocks Key Task</t>
        </is>
      </c>
    </row>
    <row r="1078">
      <c r="A1078" t="inlineStr">
        <is>
          <t>FB-01077</t>
        </is>
      </c>
      <c r="B1078" t="inlineStr">
        <is>
          <t>CUST-0091</t>
        </is>
      </c>
      <c r="C1078" t="inlineStr">
        <is>
          <t>2026-07-04</t>
        </is>
      </c>
      <c r="D1078" t="inlineStr">
        <is>
          <t>Support Ticket</t>
        </is>
      </c>
      <c r="E1078" t="inlineStr">
        <is>
          <t>Professional</t>
        </is>
      </c>
      <c r="F1078" t="inlineStr">
        <is>
          <t>SMB</t>
        </is>
      </c>
      <c r="G1078" t="inlineStr">
        <is>
          <t>Integrations</t>
        </is>
      </c>
      <c r="H1078" t="inlineStr">
        <is>
          <t>Integration Issue</t>
        </is>
      </c>
      <c r="I1078" t="inlineStr">
        <is>
          <t>Escalating on behalf of our ops lead. The Gmail sync duplicates meetings and misses replies.</t>
        </is>
      </c>
      <c r="J1078" t="inlineStr">
        <is>
          <t>Negative</t>
        </is>
      </c>
      <c r="K1078" t="inlineStr">
        <is>
          <t>Critical</t>
        </is>
      </c>
      <c r="L1078" t="inlineStr">
        <is>
          <t>Revenue/Operations Risk</t>
        </is>
      </c>
    </row>
    <row r="1079">
      <c r="A1079" t="inlineStr">
        <is>
          <t>FB-01078</t>
        </is>
      </c>
      <c r="B1079" t="inlineStr">
        <is>
          <t>CUST-0381</t>
        </is>
      </c>
      <c r="C1079" t="inlineStr">
        <is>
          <t>2026-07-04</t>
        </is>
      </c>
      <c r="D1079" t="inlineStr">
        <is>
          <t>Customer Survey</t>
        </is>
      </c>
      <c r="E1079" t="inlineStr">
        <is>
          <t>Professional</t>
        </is>
      </c>
      <c r="F1079" t="inlineStr">
        <is>
          <t>Mid-Market</t>
        </is>
      </c>
      <c r="G1079" t="inlineStr">
        <is>
          <t>Lead Management</t>
        </is>
      </c>
      <c r="H1079" t="inlineStr">
        <is>
          <t>Feature Request</t>
        </is>
      </c>
      <c r="I1079" t="inlineStr">
        <is>
          <t>Would love to see automated lead scoring that marketing and sales can both tune.</t>
        </is>
      </c>
      <c r="J1079" t="inlineStr">
        <is>
          <t>Neutral</t>
        </is>
      </c>
      <c r="K1079" t="inlineStr">
        <is>
          <t>Medium</t>
        </is>
      </c>
      <c r="L1079" t="inlineStr">
        <is>
          <t>Workflow Slowdown</t>
        </is>
      </c>
    </row>
    <row r="1080">
      <c r="A1080" t="inlineStr">
        <is>
          <t>FB-01079</t>
        </is>
      </c>
      <c r="B1080" t="inlineStr">
        <is>
          <t>CUST-0008</t>
        </is>
      </c>
      <c r="C1080" t="inlineStr">
        <is>
          <t>2026-07-05</t>
        </is>
      </c>
      <c r="D1080" t="inlineStr">
        <is>
          <t>Customer Survey</t>
        </is>
      </c>
      <c r="E1080" t="inlineStr">
        <is>
          <t>Professional</t>
        </is>
      </c>
      <c r="F1080" t="inlineStr">
        <is>
          <t xml:space="preserve">Mid-Market </t>
        </is>
      </c>
      <c r="G1080" t="inlineStr">
        <is>
          <t>Workflow Automation</t>
        </is>
      </c>
      <c r="H1080" t="inlineStr">
        <is>
          <t>Bug</t>
        </is>
      </c>
      <c r="I1080" t="inlineStr">
        <is>
          <t>We are hitting workflow failures: emails don't send and nobody gets notified. So far 11 people on our side have reported it. Support suggested logging it here.</t>
        </is>
      </c>
      <c r="J1080" t="inlineStr">
        <is>
          <t>Negative</t>
        </is>
      </c>
      <c r="K1080" t="inlineStr">
        <is>
          <t>High</t>
        </is>
      </c>
      <c r="L1080" t="inlineStr">
        <is>
          <t>Blocks Key Task</t>
        </is>
      </c>
    </row>
    <row r="1081">
      <c r="A1081" t="inlineStr">
        <is>
          <t>FB-01080</t>
        </is>
      </c>
      <c r="B1081" t="inlineStr">
        <is>
          <t>CUST-0147</t>
        </is>
      </c>
      <c r="C1081" t="inlineStr">
        <is>
          <t>2026-07-05</t>
        </is>
      </c>
      <c r="D1081" t="inlineStr">
        <is>
          <t>Support Ticket</t>
        </is>
      </c>
      <c r="E1081" t="inlineStr">
        <is>
          <t>Enterprise</t>
        </is>
      </c>
      <c r="F1081" t="inlineStr">
        <is>
          <t>Enterprise</t>
        </is>
      </c>
      <c r="G1081" t="inlineStr">
        <is>
          <t>Lead Management</t>
        </is>
      </c>
      <c r="H1081" t="inlineStr">
        <is>
          <t>Bug</t>
        </is>
      </c>
      <c r="I1081" t="inlineStr">
        <is>
          <t>After every list import we find lead de-duplication failures that have to be cleaned up by hand.</t>
        </is>
      </c>
      <c r="J1081" t="inlineStr">
        <is>
          <t>Negative</t>
        </is>
      </c>
      <c r="K1081" t="inlineStr">
        <is>
          <t>Medium</t>
        </is>
      </c>
      <c r="L1081" t="inlineStr">
        <is>
          <t>Workflow Slowdown</t>
        </is>
      </c>
    </row>
    <row r="1082">
      <c r="A1082" t="inlineStr">
        <is>
          <t>FB-01081</t>
        </is>
      </c>
      <c r="B1082" t="inlineStr">
        <is>
          <t>CUST-0284</t>
        </is>
      </c>
      <c r="C1082" t="inlineStr">
        <is>
          <t>2026-07-05</t>
        </is>
      </c>
      <c r="D1082" t="inlineStr">
        <is>
          <t>Customer Survey</t>
        </is>
      </c>
      <c r="E1082" t="inlineStr">
        <is>
          <t>Enterprise</t>
        </is>
      </c>
      <c r="F1082" t="inlineStr">
        <is>
          <t>Enterprise</t>
        </is>
      </c>
      <c r="G1082" t="inlineStr">
        <is>
          <t>Workflow Automation</t>
        </is>
      </c>
      <c r="H1082" t="inlineStr">
        <is>
          <t>Usability Issue</t>
        </is>
      </c>
      <c r="I1082" t="inlineStr">
        <is>
          <t>Our team keeps running into this. I can't tell what a branch does in the automation canvas without opening every node. It affects our renewal process every cycle. Please look into it soon.</t>
        </is>
      </c>
      <c r="J1082" t="inlineStr">
        <is>
          <t>Negative</t>
        </is>
      </c>
      <c r="K1082" t="inlineStr">
        <is>
          <t>Medium</t>
        </is>
      </c>
      <c r="L1082" t="inlineStr">
        <is>
          <t>Minor Inconvenience</t>
        </is>
      </c>
    </row>
    <row r="1083">
      <c r="A1083" t="inlineStr">
        <is>
          <t>FB-01082</t>
        </is>
      </c>
      <c r="B1083" t="inlineStr">
        <is>
          <t>CUST-0053</t>
        </is>
      </c>
      <c r="C1083" t="inlineStr">
        <is>
          <t>2026-07-06</t>
        </is>
      </c>
      <c r="D1083" t="inlineStr">
        <is>
          <t>Feature Request</t>
        </is>
      </c>
      <c r="E1083" t="inlineStr">
        <is>
          <t>Professional</t>
        </is>
      </c>
      <c r="F1083" t="inlineStr">
        <is>
          <t>Mid-Market</t>
        </is>
      </c>
      <c r="G1083" t="inlineStr">
        <is>
          <t>Integrations</t>
        </is>
      </c>
      <c r="H1083" t="inlineStr">
        <is>
          <t>Feature Request</t>
        </is>
      </c>
      <c r="I1083" t="inlineStr">
        <is>
          <t>Happy with most of the product. Requesting a native accounting integration to remove manual re-entry. It affects our weekly pipeline review process every cycle. Keep up the good work.</t>
        </is>
      </c>
      <c r="J1083" t="inlineStr">
        <is>
          <t>Positive</t>
        </is>
      </c>
      <c r="K1083" t="inlineStr">
        <is>
          <t>Medium</t>
        </is>
      </c>
      <c r="L1083" t="inlineStr">
        <is>
          <t>Blocks Key Task</t>
        </is>
      </c>
    </row>
    <row r="1084">
      <c r="A1084" t="inlineStr">
        <is>
          <t>FB-01083</t>
        </is>
      </c>
      <c r="B1084" t="inlineStr">
        <is>
          <t>CUST-0181</t>
        </is>
      </c>
      <c r="C1084" t="inlineStr">
        <is>
          <t>2026-07-06</t>
        </is>
      </c>
      <c r="D1084" t="inlineStr">
        <is>
          <t>Feature Request</t>
        </is>
      </c>
      <c r="E1084" t="inlineStr">
        <is>
          <t>Starter</t>
        </is>
      </c>
      <c r="F1084" t="inlineStr">
        <is>
          <t>SMB</t>
        </is>
      </c>
      <c r="G1084" t="inlineStr">
        <is>
          <t>User Interface</t>
        </is>
      </c>
      <c r="H1084" t="inlineStr">
        <is>
          <t>Feature Request</t>
        </is>
      </c>
      <c r="I1084" t="inlineStr">
        <is>
          <t>Our team keeps running into this. We lose notes whenever reps are away from a desk without mobile call logging. It happens about 10 times a week for our team of 58. Support suggested logging it here.</t>
        </is>
      </c>
      <c r="J1084" t="inlineStr">
        <is>
          <t>Negative</t>
        </is>
      </c>
      <c r="K1084" t="inlineStr">
        <is>
          <t>Low</t>
        </is>
      </c>
      <c r="L1084" t="inlineStr">
        <is>
          <t>Minor Inconvenience</t>
        </is>
      </c>
    </row>
    <row r="1085">
      <c r="A1085" t="inlineStr">
        <is>
          <t>FB-01084</t>
        </is>
      </c>
      <c r="B1085" t="inlineStr">
        <is>
          <t>CUST-0030</t>
        </is>
      </c>
      <c r="C1085" t="inlineStr">
        <is>
          <t>2026-07-06</t>
        </is>
      </c>
      <c r="D1085" t="inlineStr">
        <is>
          <t>Support Ticket</t>
        </is>
      </c>
      <c r="E1085" t="inlineStr">
        <is>
          <t>Professional</t>
        </is>
      </c>
      <c r="F1085" t="inlineStr">
        <is>
          <t>Mid-Market</t>
        </is>
      </c>
      <c r="G1085" t="inlineStr">
        <is>
          <t>Integrations</t>
        </is>
      </c>
      <c r="H1085" t="inlineStr">
        <is>
          <t>Integration Issue</t>
        </is>
      </c>
      <c r="I1085" t="inlineStr">
        <is>
          <t>Escalating on behalf of our ops lead. Reps no longer trust email sync, so they log activity by hand. We need a fix before renewal.</t>
        </is>
      </c>
      <c r="J1085" t="inlineStr">
        <is>
          <t>Negative</t>
        </is>
      </c>
      <c r="K1085" t="inlineStr">
        <is>
          <t>Low</t>
        </is>
      </c>
      <c r="L1085" t="inlineStr">
        <is>
          <t>Minor Inconvenience</t>
        </is>
      </c>
    </row>
    <row r="1086">
      <c r="A1086" t="inlineStr">
        <is>
          <t>FB-01085</t>
        </is>
      </c>
      <c r="B1086" t="inlineStr">
        <is>
          <t>CUST-0222</t>
        </is>
      </c>
      <c r="C1086" t="inlineStr">
        <is>
          <t>2026-07-06</t>
        </is>
      </c>
      <c r="D1086" t="inlineStr">
        <is>
          <t>Support Ticket</t>
        </is>
      </c>
      <c r="E1086" t="inlineStr">
        <is>
          <t>Professional</t>
        </is>
      </c>
      <c r="F1086" t="inlineStr">
        <is>
          <t>Mid-Market</t>
        </is>
      </c>
      <c r="G1086" t="inlineStr">
        <is>
          <t>Integrations</t>
        </is>
      </c>
      <c r="H1086" t="inlineStr">
        <is>
          <t>Integration Issue</t>
        </is>
      </c>
      <c r="I1086" t="inlineStr">
        <is>
          <t>Quick note from our admin. Our email sync keeps disconnecting and activities are missing from the contact timeline. So far 15 people on our side have reported it. Happy to join a feedback call.</t>
        </is>
      </c>
      <c r="J1086" t="inlineStr">
        <is>
          <t>Neutral</t>
        </is>
      </c>
      <c r="K1086" t="inlineStr">
        <is>
          <t>Low</t>
        </is>
      </c>
      <c r="L1086" t="inlineStr">
        <is>
          <t>Minor Inconvenience</t>
        </is>
      </c>
    </row>
    <row r="1087">
      <c r="A1087" t="inlineStr">
        <is>
          <t>FB-01086</t>
        </is>
      </c>
      <c r="B1087" t="inlineStr">
        <is>
          <t>CUST-0384</t>
        </is>
      </c>
      <c r="C1087" t="inlineStr">
        <is>
          <t>2026-07-07</t>
        </is>
      </c>
      <c r="D1087" t="inlineStr">
        <is>
          <t>Customer Survey</t>
        </is>
      </c>
      <c r="E1087" t="inlineStr">
        <is>
          <t>Enterprise</t>
        </is>
      </c>
      <c r="F1087" t="inlineStr">
        <is>
          <t>Mid-Market</t>
        </is>
      </c>
      <c r="G1087" t="inlineStr">
        <is>
          <t>Integrations</t>
        </is>
      </c>
      <c r="H1087" t="inlineStr">
        <is>
          <t>Feature Request</t>
        </is>
      </c>
      <c r="I1087" t="inlineStr">
        <is>
          <t>Requesting a native accounting integration to remove manual re-entry. Our RevOps lead flagged it while onboarding 81 new users. Let us know if you need examples.</t>
        </is>
      </c>
      <c r="J1087" t="inlineStr">
        <is>
          <t xml:space="preserve">Neutral </t>
        </is>
      </c>
      <c r="K1087" t="inlineStr">
        <is>
          <t>Low</t>
        </is>
      </c>
      <c r="L1087" t="inlineStr">
        <is>
          <t>Minor Inconvenience</t>
        </is>
      </c>
    </row>
    <row r="1088">
      <c r="A1088" t="inlineStr">
        <is>
          <t>FB-01087</t>
        </is>
      </c>
      <c r="B1088" t="inlineStr">
        <is>
          <t>CUST-0322</t>
        </is>
      </c>
      <c r="C1088" t="inlineStr">
        <is>
          <t>2026-07-07</t>
        </is>
      </c>
      <c r="D1088" t="inlineStr">
        <is>
          <t>Support Ticket</t>
        </is>
      </c>
      <c r="E1088" t="inlineStr">
        <is>
          <t>Starter</t>
        </is>
      </c>
      <c r="F1088" t="inlineStr">
        <is>
          <t>SMB</t>
        </is>
      </c>
      <c r="G1088" t="inlineStr">
        <is>
          <t>Reporting</t>
        </is>
      </c>
      <c r="H1088" t="inlineStr">
        <is>
          <t>Bug</t>
        </is>
      </c>
      <c r="I1088" t="inlineStr">
        <is>
          <t>The CSV export of reports times out for date ranges longer than a quarter. We estimate we lose roughly 22 hours a month on this.</t>
        </is>
      </c>
      <c r="J1088" t="inlineStr">
        <is>
          <t>Negative</t>
        </is>
      </c>
      <c r="K1088" t="inlineStr">
        <is>
          <t>Low</t>
        </is>
      </c>
      <c r="L1088" t="inlineStr">
        <is>
          <t>Minor Inconvenience</t>
        </is>
      </c>
    </row>
    <row r="1089">
      <c r="A1089" t="inlineStr">
        <is>
          <t>FB-01088</t>
        </is>
      </c>
      <c r="B1089" t="inlineStr">
        <is>
          <t>CUST-0284</t>
        </is>
      </c>
      <c r="C1089" t="inlineStr">
        <is>
          <t>2026-07-07</t>
        </is>
      </c>
      <c r="D1089" t="inlineStr">
        <is>
          <t>In-App Feedback</t>
        </is>
      </c>
      <c r="E1089" t="inlineStr">
        <is>
          <t>Enterprise</t>
        </is>
      </c>
      <c r="F1089" t="inlineStr">
        <is>
          <t>Enterprise</t>
        </is>
      </c>
      <c r="G1089" t="inlineStr">
        <is>
          <t>Integrations</t>
        </is>
      </c>
      <c r="H1089" t="inlineStr">
        <is>
          <t>Integration Issue</t>
        </is>
      </c>
      <c r="I1089" t="inlineStr">
        <is>
          <t>Frustrated with this one. We keep hitting webhook delivery during nightly syncs with our data warehouse. It affects our renewal process every cycle.</t>
        </is>
      </c>
      <c r="J1089" t="inlineStr">
        <is>
          <t>Negative</t>
        </is>
      </c>
      <c r="K1089" t="inlineStr">
        <is>
          <t>High</t>
        </is>
      </c>
      <c r="L1089" t="inlineStr">
        <is>
          <t>Blocks Key Task</t>
        </is>
      </c>
    </row>
    <row r="1090">
      <c r="A1090" t="inlineStr">
        <is>
          <t>FB-01089</t>
        </is>
      </c>
      <c r="B1090" t="inlineStr">
        <is>
          <t>CUST-0021</t>
        </is>
      </c>
      <c r="C1090" t="inlineStr">
        <is>
          <t>2026-07-07</t>
        </is>
      </c>
      <c r="D1090" t="inlineStr">
        <is>
          <t>In-App Feedback</t>
        </is>
      </c>
      <c r="E1090" t="inlineStr">
        <is>
          <t>Professional</t>
        </is>
      </c>
      <c r="F1090" t="inlineStr">
        <is>
          <t>Mid-Market</t>
        </is>
      </c>
      <c r="G1090" t="inlineStr">
        <is>
          <t>Reporting</t>
        </is>
      </c>
      <c r="H1090" t="inlineStr">
        <is>
          <t>Feature Request</t>
        </is>
      </c>
      <c r="I1090" t="inlineStr">
        <is>
          <t>Sharing this from our team. Without scheduled report emails we export raw data and rebuild everything elsewhere. We estimate we lose roughly 16 hours a month on this. Let us know if you need examples.</t>
        </is>
      </c>
      <c r="J1090" t="inlineStr">
        <is>
          <t>Neutral</t>
        </is>
      </c>
      <c r="K1090" t="inlineStr">
        <is>
          <t>Low</t>
        </is>
      </c>
      <c r="L1090" t="inlineStr">
        <is>
          <t>Workflow Slowdown</t>
        </is>
      </c>
    </row>
    <row r="1091">
      <c r="A1091" t="inlineStr">
        <is>
          <t>FB-01090</t>
        </is>
      </c>
      <c r="B1091" t="inlineStr">
        <is>
          <t>CUST-0347</t>
        </is>
      </c>
      <c r="C1091" t="inlineStr">
        <is>
          <t>2026-07-07</t>
        </is>
      </c>
      <c r="D1091" t="inlineStr">
        <is>
          <t>Support Ticket</t>
        </is>
      </c>
      <c r="E1091" t="inlineStr">
        <is>
          <t>Starter</t>
        </is>
      </c>
      <c r="F1091" t="inlineStr">
        <is>
          <t>SMB</t>
        </is>
      </c>
      <c r="G1091" t="inlineStr">
        <is>
          <t>Workflow Automation</t>
        </is>
      </c>
      <c r="H1091" t="inlineStr">
        <is>
          <t>Usability Issue</t>
        </is>
      </c>
      <c r="I1091" t="inlineStr">
        <is>
          <t>Raising this again after our last business review. Our new admins struggle with the workflow builder; there is no guidance or validation. Our admin flagged it while onboarding 101 new users. Please look into it soon.</t>
        </is>
      </c>
      <c r="J1091" t="inlineStr">
        <is>
          <t>Negative</t>
        </is>
      </c>
      <c r="K1091" t="inlineStr">
        <is>
          <t>Low</t>
        </is>
      </c>
      <c r="L1091" t="inlineStr">
        <is>
          <t>Workflow Slowdown</t>
        </is>
      </c>
    </row>
    <row r="1092">
      <c r="A1092" t="inlineStr">
        <is>
          <t>FB-01091</t>
        </is>
      </c>
      <c r="B1092" t="inlineStr">
        <is>
          <t>CUST-0256</t>
        </is>
      </c>
      <c r="C1092" t="inlineStr">
        <is>
          <t>2026-07-07</t>
        </is>
      </c>
      <c r="D1092" t="inlineStr">
        <is>
          <t>Support Ticket</t>
        </is>
      </c>
      <c r="E1092" t="inlineStr">
        <is>
          <t>Starter</t>
        </is>
      </c>
      <c r="F1092" t="inlineStr">
        <is>
          <t>SMB</t>
        </is>
      </c>
      <c r="G1092" t="inlineStr">
        <is>
          <t>User Interface</t>
        </is>
      </c>
      <c r="H1092" t="inlineStr">
        <is>
          <t>Usability Issue</t>
        </is>
      </c>
      <c r="I1092" t="inlineStr">
        <is>
          <t>Raising this again after our last business review. The settings navigation is cluttered and I can never find the setting I need. Our sales manager flagged it while onboarding 98 new users. Support suggested logging it here.</t>
        </is>
      </c>
      <c r="J1092" t="inlineStr">
        <is>
          <t>Negative</t>
        </is>
      </c>
      <c r="K1092" t="inlineStr">
        <is>
          <t>Medium</t>
        </is>
      </c>
      <c r="L1092" t="inlineStr">
        <is>
          <t>Workflow Slowdown</t>
        </is>
      </c>
    </row>
    <row r="1093">
      <c r="A1093" t="inlineStr">
        <is>
          <t>FB-01092</t>
        </is>
      </c>
      <c r="B1093" t="inlineStr">
        <is>
          <t>CUST-0252</t>
        </is>
      </c>
      <c r="C1093" t="inlineStr">
        <is>
          <t>2026-07-07</t>
        </is>
      </c>
      <c r="D1093" t="inlineStr">
        <is>
          <t>Feature Request</t>
        </is>
      </c>
      <c r="E1093" t="inlineStr">
        <is>
          <t>Starter</t>
        </is>
      </c>
      <c r="F1093" t="inlineStr">
        <is>
          <t>SMB</t>
        </is>
      </c>
      <c r="G1093" t="inlineStr">
        <is>
          <t>Workflow Automation</t>
        </is>
      </c>
      <c r="H1093" t="inlineStr">
        <is>
          <t>Feature Request</t>
        </is>
      </c>
      <c r="I1093" t="inlineStr">
        <is>
          <t>Adding a discount approval flow is a blocker for our finance team. We estimate we lose roughly 56 hours a month on this.</t>
        </is>
      </c>
      <c r="J1093" t="inlineStr">
        <is>
          <t>Neutral</t>
        </is>
      </c>
      <c r="K1093" t="inlineStr">
        <is>
          <t>Low</t>
        </is>
      </c>
      <c r="L1093" t="inlineStr">
        <is>
          <t>Minor Inconvenience</t>
        </is>
      </c>
    </row>
    <row r="1094">
      <c r="A1094" t="inlineStr">
        <is>
          <t>FB-01093</t>
        </is>
      </c>
      <c r="B1094" t="inlineStr">
        <is>
          <t>CUST-0369</t>
        </is>
      </c>
      <c r="C1094" t="inlineStr">
        <is>
          <t>2026-07-07</t>
        </is>
      </c>
      <c r="D1094" t="inlineStr">
        <is>
          <t>In-App Feedback</t>
        </is>
      </c>
      <c r="E1094" t="inlineStr">
        <is>
          <t>Professional</t>
        </is>
      </c>
      <c r="F1094" t="inlineStr">
        <is>
          <t>Mid-Market</t>
        </is>
      </c>
      <c r="G1094" t="inlineStr">
        <is>
          <t>User Interface</t>
        </is>
      </c>
      <c r="H1094" t="inlineStr">
        <is>
          <t>Performance Issue</t>
        </is>
      </c>
      <c r="I1094" t="inlineStr">
        <is>
          <t>Our team keeps running into this. Since the redesign there is more slow page transitions on older laptops. It affects our weekly pipeline review process every cycle.</t>
        </is>
      </c>
      <c r="J1094" t="inlineStr">
        <is>
          <t>Negative</t>
        </is>
      </c>
      <c r="K1094" t="inlineStr">
        <is>
          <t>Medium</t>
        </is>
      </c>
      <c r="L1094" t="inlineStr">
        <is>
          <t>Workflow Slowdown</t>
        </is>
      </c>
    </row>
    <row r="1095">
      <c r="A1095" t="inlineStr">
        <is>
          <t>FB-01094</t>
        </is>
      </c>
      <c r="B1095" t="inlineStr">
        <is>
          <t>CUST-0145</t>
        </is>
      </c>
      <c r="C1095" t="inlineStr">
        <is>
          <t>2026-07-08</t>
        </is>
      </c>
      <c r="D1095" t="inlineStr">
        <is>
          <t>In-App Feedback</t>
        </is>
      </c>
      <c r="E1095" t="inlineStr">
        <is>
          <t>Professional</t>
        </is>
      </c>
      <c r="F1095" t="inlineStr">
        <is>
          <t>SMB</t>
        </is>
      </c>
      <c r="G1095" t="inlineStr">
        <is>
          <t>Contact Management</t>
        </is>
      </c>
      <c r="H1095" t="inlineStr">
        <is>
          <t>Feature Request</t>
        </is>
      </c>
      <c r="I1095" t="inlineStr">
        <is>
          <t>Quick note from our admin. Requesting custom contact fields so account managers can see who reports to whom. So far 106 people on our side have reported it.</t>
        </is>
      </c>
      <c r="J1095" t="inlineStr">
        <is>
          <t>Neutral</t>
        </is>
      </c>
      <c r="K1095" t="inlineStr">
        <is>
          <t>Low</t>
        </is>
      </c>
      <c r="L1095" t="inlineStr">
        <is>
          <t>Minor Inconvenience</t>
        </is>
      </c>
    </row>
    <row r="1096">
      <c r="A1096" t="inlineStr">
        <is>
          <t>FB-01095</t>
        </is>
      </c>
      <c r="B1096" t="inlineStr">
        <is>
          <t>CUST-0413</t>
        </is>
      </c>
      <c r="C1096" t="inlineStr">
        <is>
          <t>2026-07-08</t>
        </is>
      </c>
      <c r="D1096" t="inlineStr">
        <is>
          <t>Customer Survey</t>
        </is>
      </c>
      <c r="E1096" t="inlineStr">
        <is>
          <t>Professional</t>
        </is>
      </c>
      <c r="F1096" t="inlineStr">
        <is>
          <t>SMB</t>
        </is>
      </c>
      <c r="G1096" t="inlineStr">
        <is>
          <t>Contact Management</t>
        </is>
      </c>
      <c r="H1096" t="inlineStr">
        <is>
          <t>Bug</t>
        </is>
      </c>
      <c r="I1096" t="inlineStr">
        <is>
          <t>Quick note from our admin. The spreadsheet import rejects files with accented characters in names. Happy to join a feedback call.</t>
        </is>
      </c>
      <c r="J1096" t="inlineStr">
        <is>
          <t>Neutral</t>
        </is>
      </c>
      <c r="K1096" t="inlineStr">
        <is>
          <t>Medium</t>
        </is>
      </c>
      <c r="L1096" t="inlineStr">
        <is>
          <t>Minor Inconvenience</t>
        </is>
      </c>
    </row>
    <row r="1097">
      <c r="A1097" t="inlineStr">
        <is>
          <t>FB-01096</t>
        </is>
      </c>
      <c r="B1097" t="inlineStr">
        <is>
          <t>CUST-0284</t>
        </is>
      </c>
      <c r="C1097" t="inlineStr">
        <is>
          <t>2026-07-08</t>
        </is>
      </c>
      <c r="D1097" t="inlineStr">
        <is>
          <t>Feature Request</t>
        </is>
      </c>
      <c r="E1097" t="inlineStr">
        <is>
          <t>Enterprise</t>
        </is>
      </c>
      <c r="F1097" t="inlineStr">
        <is>
          <t>Enterprise</t>
        </is>
      </c>
      <c r="G1097" t="inlineStr">
        <is>
          <t>Contact Management</t>
        </is>
      </c>
      <c r="H1097" t="inlineStr">
        <is>
          <t>Feature Request</t>
        </is>
      </c>
      <c r="I1097" t="inlineStr">
        <is>
          <t>Sharing this from our team. Contact de-duplication tooling that keeps activity history would save our ops team hours. So far 85 people on our side have reported it. Let us know if you need examples.</t>
        </is>
      </c>
      <c r="J1097" t="inlineStr">
        <is>
          <t>Neutral</t>
        </is>
      </c>
      <c r="K1097" t="inlineStr">
        <is>
          <t>High</t>
        </is>
      </c>
      <c r="L1097" t="inlineStr">
        <is>
          <t>Blocks Key Task</t>
        </is>
      </c>
    </row>
    <row r="1098">
      <c r="A1098" t="inlineStr">
        <is>
          <t>FB-01097</t>
        </is>
      </c>
      <c r="B1098" t="inlineStr">
        <is>
          <t>CUST-0307</t>
        </is>
      </c>
      <c r="C1098" t="inlineStr">
        <is>
          <t>2026-07-08</t>
        </is>
      </c>
      <c r="D1098" t="inlineStr">
        <is>
          <t>In-App Feedback</t>
        </is>
      </c>
      <c r="E1098" t="inlineStr">
        <is>
          <t>Starter</t>
        </is>
      </c>
      <c r="F1098" t="inlineStr">
        <is>
          <t>SMB</t>
        </is>
      </c>
      <c r="G1098" t="inlineStr">
        <is>
          <t>Lead Management</t>
        </is>
      </c>
      <c r="H1098" t="inlineStr">
        <is>
          <t>Bug</t>
        </is>
      </c>
      <c r="I1098" t="inlineStr">
        <is>
          <t>Web form submissions keep creating lead de-duplication failures, and reps end up calling the same prospect twice. Is there a workaround?</t>
        </is>
      </c>
      <c r="J1098" t="inlineStr">
        <is>
          <t>Negative</t>
        </is>
      </c>
      <c r="K1098" t="inlineStr">
        <is>
          <t>Medium</t>
        </is>
      </c>
      <c r="L1098" t="inlineStr">
        <is>
          <t>Workflow Slowdown</t>
        </is>
      </c>
    </row>
    <row r="1099">
      <c r="A1099" t="inlineStr">
        <is>
          <t>FB-01098</t>
        </is>
      </c>
      <c r="B1099" t="inlineStr">
        <is>
          <t>CUST-0054</t>
        </is>
      </c>
      <c r="C1099" t="inlineStr">
        <is>
          <t>2026-07-09</t>
        </is>
      </c>
      <c r="D1099" t="inlineStr">
        <is>
          <t>Support Ticket</t>
        </is>
      </c>
      <c r="E1099" t="inlineStr">
        <is>
          <t>Enterprise</t>
        </is>
      </c>
      <c r="F1099" t="inlineStr">
        <is>
          <t>Enterprise</t>
        </is>
      </c>
      <c r="G1099" t="inlineStr">
        <is>
          <t>Contact Management</t>
        </is>
      </c>
      <c r="H1099" t="inlineStr">
        <is>
          <t>Bug</t>
        </is>
      </c>
      <c r="I1099" t="inlineStr">
        <is>
          <t>Frustrated with this one. The import field mapping rejects files with accented characters in names. Our finance analyst flagged it while onboarding 104 new users. Support suggested logging it here.</t>
        </is>
      </c>
      <c r="J1099" t="inlineStr">
        <is>
          <t>Negative</t>
        </is>
      </c>
      <c r="K1099" t="inlineStr">
        <is>
          <t>Critical</t>
        </is>
      </c>
      <c r="L1099" t="inlineStr">
        <is>
          <t>Blocks Key Task</t>
        </is>
      </c>
    </row>
    <row r="1100">
      <c r="A1100" t="inlineStr">
        <is>
          <t>FB-01099</t>
        </is>
      </c>
      <c r="B1100" t="inlineStr">
        <is>
          <t>CUST-0226</t>
        </is>
      </c>
      <c r="C1100" t="inlineStr">
        <is>
          <t>2026-07-09</t>
        </is>
      </c>
      <c r="D1100" t="inlineStr">
        <is>
          <t>Support Ticket</t>
        </is>
      </c>
      <c r="E1100" t="inlineStr">
        <is>
          <t>Professional</t>
        </is>
      </c>
      <c r="F1100" t="inlineStr">
        <is>
          <t>Enterprise</t>
        </is>
      </c>
      <c r="G1100" t="inlineStr">
        <is>
          <t>Integrations</t>
        </is>
      </c>
      <c r="H1100" t="inlineStr">
        <is>
          <t>Integration Issue</t>
        </is>
      </c>
      <c r="I1100" t="inlineStr">
        <is>
          <t>We keep hitting API rate limits during nightly syncs with our data warehouse. We need a fix before renewal.</t>
        </is>
      </c>
      <c r="J1100" t="inlineStr">
        <is>
          <t>Negative</t>
        </is>
      </c>
      <c r="K1100" t="inlineStr">
        <is>
          <t>Low</t>
        </is>
      </c>
      <c r="L1100" t="inlineStr">
        <is>
          <t>Minor Inconvenience</t>
        </is>
      </c>
    </row>
    <row r="1101">
      <c r="A1101" t="inlineStr">
        <is>
          <t>FB-01100</t>
        </is>
      </c>
      <c r="B1101" t="inlineStr">
        <is>
          <t>CUST-0409</t>
        </is>
      </c>
      <c r="C1101" t="inlineStr">
        <is>
          <t>2026-07-10</t>
        </is>
      </c>
      <c r="D1101" t="inlineStr">
        <is>
          <t>Support Ticket</t>
        </is>
      </c>
      <c r="E1101" t="inlineStr">
        <is>
          <t>Starter</t>
        </is>
      </c>
      <c r="F1101" t="inlineStr">
        <is>
          <t>SMB</t>
        </is>
      </c>
      <c r="G1101" t="inlineStr">
        <is>
          <t>Reporting</t>
        </is>
      </c>
      <c r="H1101" t="inlineStr">
        <is>
          <t>Bug</t>
        </is>
      </c>
      <c r="I1101" t="inlineStr">
        <is>
          <t>Finance can't rely on the CSV export of reports; totals don't match the screen. Let us know if you need examples.</t>
        </is>
      </c>
      <c r="J1101" t="inlineStr">
        <is>
          <t>Neutral</t>
        </is>
      </c>
      <c r="K1101" t="inlineStr">
        <is>
          <t>Low</t>
        </is>
      </c>
      <c r="L1101" t="inlineStr">
        <is>
          <t>Workflow Slowdown</t>
        </is>
      </c>
    </row>
    <row r="1102">
      <c r="A1102" t="inlineStr">
        <is>
          <t>FB-01101</t>
        </is>
      </c>
      <c r="B1102" t="inlineStr">
        <is>
          <t>CUST-0104</t>
        </is>
      </c>
      <c r="C1102" t="inlineStr">
        <is>
          <t>2026-07-10</t>
        </is>
      </c>
      <c r="D1102" t="inlineStr">
        <is>
          <t>In-App Feedback</t>
        </is>
      </c>
      <c r="E1102" t="inlineStr">
        <is>
          <t>Professional</t>
        </is>
      </c>
      <c r="F1102" t="inlineStr">
        <is>
          <t>Mid-Market</t>
        </is>
      </c>
      <c r="G1102" t="inlineStr">
        <is>
          <t>Reporting</t>
        </is>
      </c>
      <c r="H1102" t="inlineStr">
        <is>
          <t>Performance Issue</t>
        </is>
      </c>
      <c r="I1102" t="inlineStr">
        <is>
          <t>The dashboard loading is painfully slow with a full year of data.</t>
        </is>
      </c>
      <c r="J1102" t="inlineStr">
        <is>
          <t>Negative</t>
        </is>
      </c>
      <c r="K1102" t="inlineStr">
        <is>
          <t>Medium</t>
        </is>
      </c>
      <c r="L1102" t="inlineStr">
        <is>
          <t>Workflow Slowdown</t>
        </is>
      </c>
    </row>
    <row r="1103">
      <c r="A1103" t="inlineStr">
        <is>
          <t>FB-01102</t>
        </is>
      </c>
      <c r="B1103" t="inlineStr">
        <is>
          <t>CUST-0054</t>
        </is>
      </c>
      <c r="C1103" t="inlineStr">
        <is>
          <t>2026-07-10</t>
        </is>
      </c>
      <c r="D1103" t="inlineStr">
        <is>
          <t>Support Ticket</t>
        </is>
      </c>
      <c r="E1103" t="inlineStr">
        <is>
          <t>Enterprise</t>
        </is>
      </c>
      <c r="F1103" t="inlineStr">
        <is>
          <t>Enterprise</t>
        </is>
      </c>
      <c r="G1103" t="inlineStr">
        <is>
          <t>Integrations</t>
        </is>
      </c>
      <c r="H1103" t="inlineStr">
        <is>
          <t>Integration Issue</t>
        </is>
      </c>
      <c r="I1103" t="inlineStr">
        <is>
          <t>Escalating on behalf of our ops lead. The Outlook calendar sync duplicates meetings and misses replies. It affects our lead handoff process every cycle. We need a fix before renewal.</t>
        </is>
      </c>
      <c r="J1103" t="inlineStr">
        <is>
          <t>Negative</t>
        </is>
      </c>
      <c r="K1103" t="inlineStr">
        <is>
          <t>Medium</t>
        </is>
      </c>
      <c r="L1103" t="inlineStr">
        <is>
          <t>Workflow Slowdown</t>
        </is>
      </c>
    </row>
    <row r="1104">
      <c r="A1104" t="inlineStr">
        <is>
          <t>FB-01103</t>
        </is>
      </c>
      <c r="B1104" t="inlineStr">
        <is>
          <t>CUST-0220</t>
        </is>
      </c>
      <c r="C1104" t="inlineStr">
        <is>
          <t>2026-07-10</t>
        </is>
      </c>
      <c r="D1104" t="inlineStr">
        <is>
          <t>Feature Request</t>
        </is>
      </c>
      <c r="E1104" t="inlineStr">
        <is>
          <t>Professional</t>
        </is>
      </c>
      <c r="F1104" t="inlineStr">
        <is>
          <t>Mid-Market</t>
        </is>
      </c>
      <c r="G1104" t="inlineStr">
        <is>
          <t>User Interface</t>
        </is>
      </c>
      <c r="H1104" t="inlineStr">
        <is>
          <t>Feature Request</t>
        </is>
      </c>
      <c r="I1104" t="inlineStr">
        <is>
          <t>FYI for the product team. Please prioritize offline mobile access; the mobile web view is hard to use. Let us know if you need examples.</t>
        </is>
      </c>
      <c r="J1104" t="inlineStr">
        <is>
          <t>Neutral</t>
        </is>
      </c>
      <c r="K1104" t="inlineStr">
        <is>
          <t>Low</t>
        </is>
      </c>
      <c r="L1104" t="inlineStr">
        <is>
          <t>Minor Inconvenience</t>
        </is>
      </c>
    </row>
    <row r="1105">
      <c r="A1105" t="inlineStr">
        <is>
          <t>FB-01104</t>
        </is>
      </c>
      <c r="B1105" t="inlineStr">
        <is>
          <t>CUST-0322</t>
        </is>
      </c>
      <c r="C1105" t="inlineStr">
        <is>
          <t>2026-07-11</t>
        </is>
      </c>
      <c r="D1105" t="inlineStr">
        <is>
          <t>Support Ticket</t>
        </is>
      </c>
      <c r="E1105" t="inlineStr">
        <is>
          <t>Starter</t>
        </is>
      </c>
      <c r="F1105" t="inlineStr">
        <is>
          <t>SMB</t>
        </is>
      </c>
      <c r="G1105" t="inlineStr">
        <is>
          <t>Contact Management</t>
        </is>
      </c>
      <c r="H1105" t="inlineStr">
        <is>
          <t>Bug</t>
        </is>
      </c>
      <c r="I1105" t="inlineStr">
        <is>
          <t>Noting this during onboarding. Our contact CSV import scrambles phone and email columns even after we map them correctly. Our customer success lead flagged it while onboarding 91 new users.</t>
        </is>
      </c>
      <c r="J1105" t="inlineStr">
        <is>
          <t>Neutral</t>
        </is>
      </c>
      <c r="K1105" t="inlineStr">
        <is>
          <t>Low</t>
        </is>
      </c>
      <c r="L1105" t="inlineStr">
        <is>
          <t>Minor Inconvenience</t>
        </is>
      </c>
    </row>
    <row r="1106">
      <c r="A1106" t="inlineStr">
        <is>
          <t>FB-01105</t>
        </is>
      </c>
      <c r="B1106" t="inlineStr">
        <is>
          <t>CUST-0164</t>
        </is>
      </c>
      <c r="C1106" t="inlineStr">
        <is>
          <t>2026-07-11</t>
        </is>
      </c>
      <c r="D1106" t="inlineStr">
        <is>
          <t>Customer Survey</t>
        </is>
      </c>
      <c r="E1106" t="inlineStr">
        <is>
          <t>Starter</t>
        </is>
      </c>
      <c r="F1106" t="inlineStr">
        <is>
          <t>SMB</t>
        </is>
      </c>
      <c r="G1106" t="inlineStr">
        <is>
          <t>User Interface</t>
        </is>
      </c>
      <c r="H1106" t="inlineStr">
        <is>
          <t>Usability Issue</t>
        </is>
      </c>
      <c r="I1106" t="inlineStr">
        <is>
          <t>Sharing this from our team. Too many clicks to reach common screens because of the page layout. So far 7 people on our side have reported it. Let us know if you need examples.</t>
        </is>
      </c>
      <c r="J1106" t="inlineStr">
        <is>
          <t>Neutral</t>
        </is>
      </c>
      <c r="K1106" t="inlineStr">
        <is>
          <t>High</t>
        </is>
      </c>
      <c r="L1106" t="inlineStr">
        <is>
          <t>Blocks Key Task</t>
        </is>
      </c>
    </row>
    <row r="1107">
      <c r="A1107" t="inlineStr">
        <is>
          <t>FB-01106</t>
        </is>
      </c>
      <c r="B1107" t="inlineStr">
        <is>
          <t>CUST-0378</t>
        </is>
      </c>
      <c r="C1107" t="inlineStr">
        <is>
          <t>2026-07-11</t>
        </is>
      </c>
      <c r="D1107" t="inlineStr">
        <is>
          <t>Customer Survey</t>
        </is>
      </c>
      <c r="E1107" t="inlineStr">
        <is>
          <t>Starter</t>
        </is>
      </c>
      <c r="F1107" t="inlineStr">
        <is>
          <t>SMB</t>
        </is>
      </c>
      <c r="G1107" t="inlineStr">
        <is>
          <t>User Interface</t>
        </is>
      </c>
      <c r="H1107" t="inlineStr">
        <is>
          <t>Usability Issue</t>
        </is>
      </c>
      <c r="I1107" t="inlineStr">
        <is>
          <t>Frustrated with this one. New hires get lost in the settings navigation; it takes weeks to learn. Is there a workaround?</t>
        </is>
      </c>
      <c r="J1107" t="inlineStr">
        <is>
          <t>Negative</t>
        </is>
      </c>
      <c r="K1107" t="inlineStr">
        <is>
          <t>High</t>
        </is>
      </c>
      <c r="L1107" t="inlineStr">
        <is>
          <t>Blocks Key Task</t>
        </is>
      </c>
    </row>
    <row r="1108">
      <c r="A1108" t="inlineStr">
        <is>
          <t>FB-01107</t>
        </is>
      </c>
      <c r="B1108" t="inlineStr">
        <is>
          <t>CUST-0035</t>
        </is>
      </c>
      <c r="C1108" t="inlineStr">
        <is>
          <t>2026-07-11</t>
        </is>
      </c>
      <c r="D1108" t="inlineStr">
        <is>
          <t>Customer Survey</t>
        </is>
      </c>
      <c r="E1108" t="inlineStr">
        <is>
          <t>Professional</t>
        </is>
      </c>
      <c r="F1108" t="inlineStr">
        <is>
          <t>Enterprise</t>
        </is>
      </c>
      <c r="G1108" t="inlineStr">
        <is>
          <t>Lead Management</t>
        </is>
      </c>
      <c r="H1108" t="inlineStr">
        <is>
          <t>Feature Request</t>
        </is>
      </c>
      <c r="I1108" t="inlineStr">
        <is>
          <t>Happy with most of the product. We need lead scoring rules so reps can focus on the prospects most likely to close. We estimate we lose roughly 14 hours a month on this. Happy to beta test.</t>
        </is>
      </c>
      <c r="J1108" t="inlineStr">
        <is>
          <t>Positive</t>
        </is>
      </c>
      <c r="K1108" t="inlineStr">
        <is>
          <t>Low</t>
        </is>
      </c>
      <c r="L1108" t="inlineStr">
        <is>
          <t>Minor Inconvenience</t>
        </is>
      </c>
    </row>
    <row r="1109">
      <c r="A1109" t="inlineStr">
        <is>
          <t>FB-01108</t>
        </is>
      </c>
      <c r="B1109" t="inlineStr">
        <is>
          <t>CUST-0186</t>
        </is>
      </c>
      <c r="C1109" t="inlineStr">
        <is>
          <t>2026-07-12</t>
        </is>
      </c>
      <c r="D1109" t="inlineStr">
        <is>
          <t>Support Ticket</t>
        </is>
      </c>
      <c r="E1109" t="inlineStr">
        <is>
          <t>Professional</t>
        </is>
      </c>
      <c r="F1109" t="inlineStr">
        <is>
          <t>SMB</t>
        </is>
      </c>
      <c r="G1109" t="inlineStr">
        <is>
          <t>Integrations</t>
        </is>
      </c>
      <c r="H1109" t="inlineStr">
        <is>
          <t>Integration Issue</t>
        </is>
      </c>
      <c r="I1109" t="inlineStr">
        <is>
          <t>Frustrated with this one. Reps no longer trust Outlook calendar sync, so they log activity by hand. Our finance analyst flagged it while onboarding 115 new users. Support suggested logging it here.</t>
        </is>
      </c>
      <c r="J1109" t="inlineStr">
        <is>
          <t>Negative</t>
        </is>
      </c>
      <c r="K1109" t="inlineStr">
        <is>
          <t>High</t>
        </is>
      </c>
      <c r="L1109" t="inlineStr">
        <is>
          <t>Workflow Slowdown</t>
        </is>
      </c>
    </row>
    <row r="1110">
      <c r="A1110" t="inlineStr">
        <is>
          <t>FB-01109</t>
        </is>
      </c>
      <c r="B1110" t="inlineStr">
        <is>
          <t>CUST-0066</t>
        </is>
      </c>
      <c r="C1110" t="inlineStr">
        <is>
          <t>2026-07-12</t>
        </is>
      </c>
      <c r="D1110" t="inlineStr">
        <is>
          <t>Feature Request</t>
        </is>
      </c>
      <c r="E1110" t="inlineStr">
        <is>
          <t>Starter</t>
        </is>
      </c>
      <c r="F1110" t="inlineStr">
        <is>
          <t>SMB</t>
        </is>
      </c>
      <c r="G1110" t="inlineStr">
        <is>
          <t>Contact Management</t>
        </is>
      </c>
      <c r="H1110" t="inlineStr">
        <is>
          <t>Feature Request</t>
        </is>
      </c>
      <c r="I1110" t="inlineStr">
        <is>
          <t>Sharing this from our team. Lacking a contact relationship hierarchy forces us to keep a parallel spreadsheet. So far 29 people on our side have reported it. Let us know if you need examples.</t>
        </is>
      </c>
      <c r="J1110" t="inlineStr">
        <is>
          <t>Neutral</t>
        </is>
      </c>
      <c r="K1110" t="inlineStr">
        <is>
          <t>Medium</t>
        </is>
      </c>
      <c r="L1110" t="inlineStr">
        <is>
          <t>Minor Inconvenience</t>
        </is>
      </c>
    </row>
    <row r="1111">
      <c r="A1111" t="inlineStr">
        <is>
          <t>FB-01110</t>
        </is>
      </c>
      <c r="B1111" t="inlineStr">
        <is>
          <t>CUST-0325</t>
        </is>
      </c>
      <c r="C1111" t="inlineStr">
        <is>
          <t>2026-07-12</t>
        </is>
      </c>
      <c r="D1111" t="inlineStr">
        <is>
          <t>Support Ticket</t>
        </is>
      </c>
      <c r="E1111" t="inlineStr">
        <is>
          <t>Starter</t>
        </is>
      </c>
      <c r="F1111" t="inlineStr">
        <is>
          <t>SMB</t>
        </is>
      </c>
      <c r="G1111" t="inlineStr">
        <is>
          <t>Reporting</t>
        </is>
      </c>
      <c r="H1111" t="inlineStr">
        <is>
          <t>Bug</t>
        </is>
      </c>
      <c r="I1111" t="inlineStr">
        <is>
          <t>Escalating on behalf of our ops lead. Finance can't rely on the report export; totals don't match the screen. Our RevOps lead flagged it while onboarding 110 new users.</t>
        </is>
      </c>
      <c r="J1111" t="inlineStr">
        <is>
          <t>Negative</t>
        </is>
      </c>
      <c r="K1111" t="inlineStr">
        <is>
          <t>High</t>
        </is>
      </c>
      <c r="L1111" t="inlineStr">
        <is>
          <t>Blocks Key Task</t>
        </is>
      </c>
    </row>
    <row r="1112">
      <c r="A1112" t="inlineStr">
        <is>
          <t>FB-01111</t>
        </is>
      </c>
      <c r="B1112" t="inlineStr">
        <is>
          <t>CUST-0117</t>
        </is>
      </c>
      <c r="C1112" t="inlineStr">
        <is>
          <t>2026-07-12</t>
        </is>
      </c>
      <c r="D1112" t="inlineStr">
        <is>
          <t>Support Ticket</t>
        </is>
      </c>
      <c r="E1112" t="inlineStr">
        <is>
          <t>Professional</t>
        </is>
      </c>
      <c r="F1112" t="inlineStr">
        <is>
          <t>Mid-Market</t>
        </is>
      </c>
      <c r="G1112" t="inlineStr">
        <is>
          <t>Lead Management</t>
        </is>
      </c>
      <c r="H1112" t="inlineStr">
        <is>
          <t>Usability Issue</t>
        </is>
      </c>
      <c r="I1112" t="inlineStr">
        <is>
          <t>Noting this during onboarding. We can't combine region and deal size in the round-robin lead assignment. Our finance analyst flagged it while onboarding 91 new users. Happy to join a feedback call.</t>
        </is>
      </c>
      <c r="J1112" t="inlineStr">
        <is>
          <t>Neutral</t>
        </is>
      </c>
      <c r="K1112" t="inlineStr">
        <is>
          <t>Low</t>
        </is>
      </c>
      <c r="L1112" t="inlineStr">
        <is>
          <t>Minor Inconvenience</t>
        </is>
      </c>
    </row>
    <row r="1113">
      <c r="A1113" t="inlineStr">
        <is>
          <t>FB-01112</t>
        </is>
      </c>
      <c r="B1113" t="inlineStr">
        <is>
          <t>CUST-0368</t>
        </is>
      </c>
      <c r="C1113" t="inlineStr">
        <is>
          <t>2026-07-13</t>
        </is>
      </c>
      <c r="D1113" t="inlineStr">
        <is>
          <t xml:space="preserve">Customer Survey </t>
        </is>
      </c>
      <c r="E1113" t="inlineStr">
        <is>
          <t>Starter</t>
        </is>
      </c>
      <c r="F1113" t="inlineStr">
        <is>
          <t>SMB</t>
        </is>
      </c>
      <c r="G1113" t="inlineStr">
        <is>
          <t>User Interface</t>
        </is>
      </c>
      <c r="H1113" t="inlineStr">
        <is>
          <t>Usability Issue</t>
        </is>
      </c>
      <c r="I1113" t="inlineStr">
        <is>
          <t>Escalating on behalf of our ops lead. The navigation menu changed and nobody told us where things moved. Our RevOps lead flagged it while onboarding 42 new users.</t>
        </is>
      </c>
      <c r="J1113" t="inlineStr">
        <is>
          <t>Negative</t>
        </is>
      </c>
      <c r="K1113" t="inlineStr">
        <is>
          <t>Low</t>
        </is>
      </c>
      <c r="L1113" t="inlineStr">
        <is>
          <t>Workflow Slowdown</t>
        </is>
      </c>
    </row>
    <row r="1114">
      <c r="A1114" t="inlineStr">
        <is>
          <t>FB-01113</t>
        </is>
      </c>
      <c r="B1114" t="inlineStr">
        <is>
          <t>CUST-0206</t>
        </is>
      </c>
      <c r="C1114" t="inlineStr">
        <is>
          <t>2026-07-13</t>
        </is>
      </c>
      <c r="D1114" t="inlineStr">
        <is>
          <t>In-App Feedback</t>
        </is>
      </c>
      <c r="E1114" t="inlineStr">
        <is>
          <t>Professional</t>
        </is>
      </c>
      <c r="F1114" t="inlineStr">
        <is>
          <t>Mid-Market</t>
        </is>
      </c>
      <c r="G1114" t="inlineStr">
        <is>
          <t>Reporting</t>
        </is>
      </c>
      <c r="H1114" t="inlineStr">
        <is>
          <t>Feature Request</t>
        </is>
      </c>
      <c r="I1114" t="inlineStr">
        <is>
          <t>Please add forecast rollups; managers keep a separate spreadsheet.</t>
        </is>
      </c>
      <c r="J1114" t="inlineStr">
        <is>
          <t>Neutral</t>
        </is>
      </c>
      <c r="K1114" t="inlineStr">
        <is>
          <t>High</t>
        </is>
      </c>
      <c r="L1114" t="inlineStr">
        <is>
          <t>Workflow Slowdown</t>
        </is>
      </c>
    </row>
    <row r="1115">
      <c r="A1115" t="inlineStr">
        <is>
          <t>FB-01114</t>
        </is>
      </c>
      <c r="B1115" t="inlineStr">
        <is>
          <t>CUST-0071</t>
        </is>
      </c>
      <c r="C1115" t="inlineStr">
        <is>
          <t>2026-07-13</t>
        </is>
      </c>
      <c r="D1115" t="inlineStr">
        <is>
          <t>Feature Request</t>
        </is>
      </c>
      <c r="E1115" t="inlineStr">
        <is>
          <t>Professional</t>
        </is>
      </c>
      <c r="F1115" t="inlineStr">
        <is>
          <t>Mid-Market</t>
        </is>
      </c>
      <c r="G1115" t="inlineStr">
        <is>
          <t>Contact Management</t>
        </is>
      </c>
      <c r="H1115" t="inlineStr">
        <is>
          <t>Feature Request</t>
        </is>
      </c>
      <c r="I1115" t="inlineStr">
        <is>
          <t>Overall we like the product. We need a bulk contact merge because our database has years of overlapping records.</t>
        </is>
      </c>
      <c r="J1115" t="inlineStr">
        <is>
          <t>Positive</t>
        </is>
      </c>
      <c r="K1115" t="inlineStr">
        <is>
          <t>Medium</t>
        </is>
      </c>
      <c r="L1115" t="inlineStr">
        <is>
          <t>Workflow Slowdown</t>
        </is>
      </c>
    </row>
    <row r="1116">
      <c r="A1116" t="inlineStr">
        <is>
          <t>FB-01115</t>
        </is>
      </c>
      <c r="B1116" t="inlineStr">
        <is>
          <t>CUST-0162</t>
        </is>
      </c>
      <c r="C1116" t="inlineStr">
        <is>
          <t>2026-07-13</t>
        </is>
      </c>
      <c r="D1116" t="inlineStr">
        <is>
          <t>Customer Survey</t>
        </is>
      </c>
      <c r="E1116" t="inlineStr">
        <is>
          <t>Professional</t>
        </is>
      </c>
      <c r="F1116" t="inlineStr">
        <is>
          <t>Mid-Market</t>
        </is>
      </c>
      <c r="G1116" t="inlineStr">
        <is>
          <t>Reporting</t>
        </is>
      </c>
      <c r="H1116" t="inlineStr">
        <is>
          <t>Performance Issue</t>
        </is>
      </c>
      <c r="I1116" t="inlineStr">
        <is>
          <t>Execs gave up on the dashboard loading and ask for screenshots instead. It affects our onboarding process every cycle. Happy to join a feedback call.</t>
        </is>
      </c>
      <c r="J1116" t="inlineStr">
        <is>
          <t>Neutral</t>
        </is>
      </c>
      <c r="K1116" t="inlineStr">
        <is>
          <t>High</t>
        </is>
      </c>
      <c r="L1116" t="inlineStr">
        <is>
          <t>Workflow Slowdown</t>
        </is>
      </c>
    </row>
    <row r="1117">
      <c r="A1117" t="inlineStr">
        <is>
          <t>FB-01116</t>
        </is>
      </c>
      <c r="B1117" t="inlineStr">
        <is>
          <t>CUST-0320</t>
        </is>
      </c>
      <c r="C1117" t="inlineStr">
        <is>
          <t>2026-07-13</t>
        </is>
      </c>
      <c r="D1117" t="inlineStr">
        <is>
          <t>Support Ticket</t>
        </is>
      </c>
      <c r="E1117" t="inlineStr">
        <is>
          <t>Professional</t>
        </is>
      </c>
      <c r="F1117" t="inlineStr">
        <is>
          <t>Mid-Market</t>
        </is>
      </c>
      <c r="G1117" t="inlineStr">
        <is>
          <t>Reporting</t>
        </is>
      </c>
      <c r="H1117" t="inlineStr">
        <is>
          <t>Performance Issue</t>
        </is>
      </c>
      <c r="I1117" t="inlineStr">
        <is>
          <t>Not what we expected for the price. The dashboard loading is painfully slow with a full year of data. So far 18 people on our side have reported it. Support suggested logging it here.</t>
        </is>
      </c>
      <c r="J1117" t="inlineStr">
        <is>
          <t>NEGATIVE</t>
        </is>
      </c>
      <c r="K1117" t="inlineStr">
        <is>
          <t>High</t>
        </is>
      </c>
      <c r="L1117" t="inlineStr">
        <is>
          <t>Workflow Slowdown</t>
        </is>
      </c>
    </row>
    <row r="1118">
      <c r="A1118" t="inlineStr">
        <is>
          <t>FB-01117</t>
        </is>
      </c>
      <c r="B1118" t="inlineStr">
        <is>
          <t>CUST-0381</t>
        </is>
      </c>
      <c r="C1118" t="inlineStr">
        <is>
          <t>2026-07-13</t>
        </is>
      </c>
      <c r="D1118" t="inlineStr">
        <is>
          <t>Support Ticket</t>
        </is>
      </c>
      <c r="E1118" t="inlineStr">
        <is>
          <t>Professional</t>
        </is>
      </c>
      <c r="F1118" t="inlineStr">
        <is>
          <t>Mid-Market</t>
        </is>
      </c>
      <c r="G1118" t="inlineStr">
        <is>
          <t>Contact Management</t>
        </is>
      </c>
      <c r="H1118" t="inlineStr">
        <is>
          <t>Bug</t>
        </is>
      </c>
      <c r="I1118" t="inlineStr">
        <is>
          <t>Raising this again after our last business review. The contact CSV import rejects files with accented characters in names. It happens about 14 times a week for our team of 19. We need a fix before renewal.</t>
        </is>
      </c>
      <c r="J1118" t="inlineStr">
        <is>
          <t>Negative</t>
        </is>
      </c>
      <c r="K1118" t="inlineStr">
        <is>
          <t>Medium</t>
        </is>
      </c>
      <c r="L1118" t="inlineStr">
        <is>
          <t>Blocks Key Task</t>
        </is>
      </c>
    </row>
    <row r="1119">
      <c r="A1119" t="inlineStr">
        <is>
          <t>FB-01118</t>
        </is>
      </c>
      <c r="B1119" t="inlineStr">
        <is>
          <t>CUST-0269</t>
        </is>
      </c>
      <c r="C1119" t="inlineStr">
        <is>
          <t>2026-07-14</t>
        </is>
      </c>
      <c r="D1119" t="inlineStr">
        <is>
          <t>In-App Feedback</t>
        </is>
      </c>
      <c r="E1119" t="inlineStr">
        <is>
          <t>Professional</t>
        </is>
      </c>
      <c r="F1119" t="inlineStr">
        <is>
          <t>SMB</t>
        </is>
      </c>
      <c r="G1119" t="inlineStr">
        <is>
          <t>Lead Management</t>
        </is>
      </c>
      <c r="H1119" t="inlineStr">
        <is>
          <t>BUG</t>
        </is>
      </c>
      <c r="I1119" t="inlineStr">
        <is>
          <t>There are duplicate lead records across our pipeline views and nobody knows which record is the source of truth. It affects our quarterly planning process every cycle. Keep up the good work.</t>
        </is>
      </c>
      <c r="J1119" t="inlineStr">
        <is>
          <t>Positive</t>
        </is>
      </c>
      <c r="K1119" t="inlineStr">
        <is>
          <t>High</t>
        </is>
      </c>
      <c r="L1119" t="inlineStr">
        <is>
          <t>Blocks Key Task</t>
        </is>
      </c>
    </row>
    <row r="1120">
      <c r="A1120" t="inlineStr">
        <is>
          <t>FB-01119</t>
        </is>
      </c>
      <c r="B1120" t="inlineStr">
        <is>
          <t>CUST-0171</t>
        </is>
      </c>
      <c r="C1120" t="inlineStr">
        <is>
          <t>2026-07-14</t>
        </is>
      </c>
      <c r="D1120" t="inlineStr">
        <is>
          <t>Customer Survey</t>
        </is>
      </c>
      <c r="E1120" t="inlineStr">
        <is>
          <t>Professional</t>
        </is>
      </c>
      <c r="F1120" t="inlineStr">
        <is>
          <t>Mid-Market</t>
        </is>
      </c>
      <c r="G1120" t="inlineStr">
        <is>
          <t>Reporting</t>
        </is>
      </c>
      <c r="H1120" t="inlineStr">
        <is>
          <t>Feature Request</t>
        </is>
      </c>
      <c r="I1120" t="inlineStr">
        <is>
          <t>Sharing this from our team. We need a custom report builder so non-technical managers can create their own views.</t>
        </is>
      </c>
      <c r="J1120" t="inlineStr">
        <is>
          <t>Neutral</t>
        </is>
      </c>
      <c r="K1120" t="inlineStr">
        <is>
          <t>Medium</t>
        </is>
      </c>
      <c r="L1120" t="inlineStr">
        <is>
          <t>Minor Inconvenience</t>
        </is>
      </c>
    </row>
    <row r="1121">
      <c r="A1121" t="inlineStr">
        <is>
          <t>FB-01120</t>
        </is>
      </c>
      <c r="B1121" t="inlineStr">
        <is>
          <t>CUST-0293</t>
        </is>
      </c>
      <c r="C1121" t="inlineStr">
        <is>
          <t>2026-07-14</t>
        </is>
      </c>
      <c r="D1121" t="inlineStr">
        <is>
          <t>Feature Request</t>
        </is>
      </c>
      <c r="E1121" t="inlineStr">
        <is>
          <t>Enterprise</t>
        </is>
      </c>
      <c r="F1121" t="inlineStr">
        <is>
          <t>Enterprise</t>
        </is>
      </c>
      <c r="G1121" t="inlineStr">
        <is>
          <t>INTEGRATIONS</t>
        </is>
      </c>
      <c r="H1121" t="inlineStr">
        <is>
          <t>Integration Issue</t>
        </is>
      </c>
      <c r="I1121" t="inlineStr">
        <is>
          <t>Our Gmail sync keeps disconnecting and activities are missing from the contact timeline. So far 111 people on our side have reported it. Support suggested logging it here.</t>
        </is>
      </c>
      <c r="J1121" t="inlineStr">
        <is>
          <t>Negative</t>
        </is>
      </c>
      <c r="K1121" t="inlineStr">
        <is>
          <t>Critical</t>
        </is>
      </c>
      <c r="L1121" t="inlineStr">
        <is>
          <t>Revenue/Operations Risk</t>
        </is>
      </c>
    </row>
    <row r="1122">
      <c r="A1122" t="inlineStr">
        <is>
          <t>FB-01121</t>
        </is>
      </c>
      <c r="B1122" t="inlineStr">
        <is>
          <t>CUST-0187</t>
        </is>
      </c>
      <c r="C1122" t="inlineStr">
        <is>
          <t>2026-07-14</t>
        </is>
      </c>
      <c r="D1122" t="inlineStr">
        <is>
          <t>Customer Survey</t>
        </is>
      </c>
      <c r="E1122" t="inlineStr">
        <is>
          <t>Enterprise</t>
        </is>
      </c>
      <c r="F1122" t="inlineStr">
        <is>
          <t>Mid-Market</t>
        </is>
      </c>
      <c r="G1122" t="inlineStr">
        <is>
          <t>User Interface</t>
        </is>
      </c>
      <c r="H1122" t="inlineStr">
        <is>
          <t>Feature Request</t>
        </is>
      </c>
      <c r="I1122" t="inlineStr">
        <is>
          <t>FYI for the product team. Requesting mobile call logging so reps can log activity right after a meeting.</t>
        </is>
      </c>
      <c r="J1122" t="inlineStr">
        <is>
          <t>Neutral</t>
        </is>
      </c>
      <c r="K1122" t="inlineStr">
        <is>
          <t>Medium</t>
        </is>
      </c>
      <c r="L1122" t="inlineStr">
        <is>
          <t>Minor Inconvenience</t>
        </is>
      </c>
    </row>
    <row r="1123">
      <c r="A1123" t="inlineStr">
        <is>
          <t>FB-01122</t>
        </is>
      </c>
      <c r="B1123" t="inlineStr">
        <is>
          <t>CUST-0147</t>
        </is>
      </c>
      <c r="C1123" t="inlineStr">
        <is>
          <t>2026-07-14</t>
        </is>
      </c>
      <c r="D1123" t="inlineStr">
        <is>
          <t>Customer Survey</t>
        </is>
      </c>
      <c r="E1123" t="inlineStr">
        <is>
          <t>Enterprise</t>
        </is>
      </c>
      <c r="F1123" t="inlineStr">
        <is>
          <t>Enterprise</t>
        </is>
      </c>
      <c r="G1123" t="inlineStr">
        <is>
          <t>Workflow Automation</t>
        </is>
      </c>
      <c r="H1123" t="inlineStr">
        <is>
          <t>Feature Request</t>
        </is>
      </c>
      <c r="I1123" t="inlineStr">
        <is>
          <t>Sharing this from our team. Adding multi-level approvals is a blocker for our finance team. Let us know if you need examples.</t>
        </is>
      </c>
      <c r="J1123" t="inlineStr">
        <is>
          <t>Neutral</t>
        </is>
      </c>
      <c r="K1123" t="inlineStr">
        <is>
          <t>Low</t>
        </is>
      </c>
      <c r="L1123" t="inlineStr">
        <is>
          <t>Minor Inconvenience</t>
        </is>
      </c>
    </row>
    <row r="1124">
      <c r="A1124" t="inlineStr">
        <is>
          <t>FB-01123</t>
        </is>
      </c>
      <c r="B1124" t="inlineStr">
        <is>
          <t>CUST-0103</t>
        </is>
      </c>
      <c r="C1124" t="inlineStr">
        <is>
          <t>2026-07-14</t>
        </is>
      </c>
      <c r="D1124" t="inlineStr">
        <is>
          <t>Support Ticket</t>
        </is>
      </c>
      <c r="E1124" t="inlineStr">
        <is>
          <t>Professional</t>
        </is>
      </c>
      <c r="F1124" t="inlineStr">
        <is>
          <t>Mid-Market</t>
        </is>
      </c>
      <c r="G1124" t="inlineStr">
        <is>
          <t>Workflow Automation</t>
        </is>
      </c>
      <c r="H1124" t="inlineStr">
        <is>
          <t>Feature Request</t>
        </is>
      </c>
      <c r="I1124" t="inlineStr">
        <is>
          <t>FYI for the product team. We need multi-level approvals in workflows so managers can sign off on discounts. It affects our quarterly planning process every cycle. Happy to join a feedback call.</t>
        </is>
      </c>
      <c r="J1124" t="inlineStr">
        <is>
          <t>Neutral</t>
        </is>
      </c>
      <c r="K1124" t="inlineStr">
        <is>
          <t>Low</t>
        </is>
      </c>
      <c r="L1124" t="inlineStr">
        <is>
          <t>Workflow Slowdown</t>
        </is>
      </c>
    </row>
    <row r="1125">
      <c r="A1125" t="inlineStr">
        <is>
          <t>FB-01124</t>
        </is>
      </c>
      <c r="B1125" t="inlineStr">
        <is>
          <t>CUST-0034</t>
        </is>
      </c>
      <c r="C1125" t="inlineStr">
        <is>
          <t>2026-07-14</t>
        </is>
      </c>
      <c r="D1125" t="inlineStr">
        <is>
          <t>Customer Survey</t>
        </is>
      </c>
      <c r="E1125" t="inlineStr">
        <is>
          <t>Professional</t>
        </is>
      </c>
      <c r="F1125" t="inlineStr">
        <is>
          <t>Mid-Market</t>
        </is>
      </c>
      <c r="G1125" t="inlineStr">
        <is>
          <t>Workflow Automation</t>
        </is>
      </c>
      <c r="H1125" t="inlineStr">
        <is>
          <t>Usability Issue</t>
        </is>
      </c>
      <c r="I1125" t="inlineStr">
        <is>
          <t>Not what we expected for the price. Our new admins struggle with the workflow builder; there is no guidance or validation. So far 10 people on our side have reported it. Support suggested logging it here.</t>
        </is>
      </c>
      <c r="J1125" t="inlineStr">
        <is>
          <t>Negative</t>
        </is>
      </c>
      <c r="K1125" t="inlineStr">
        <is>
          <t>Medium</t>
        </is>
      </c>
      <c r="L1125" t="inlineStr">
        <is>
          <t>Workflow Slowdown</t>
        </is>
      </c>
    </row>
    <row r="1126">
      <c r="A1126" t="inlineStr">
        <is>
          <t>FB-01125</t>
        </is>
      </c>
      <c r="B1126" t="inlineStr">
        <is>
          <t>CUST-0215</t>
        </is>
      </c>
      <c r="C1126" t="inlineStr">
        <is>
          <t>2026-07-15</t>
        </is>
      </c>
      <c r="D1126" t="inlineStr">
        <is>
          <t>Support Ticket</t>
        </is>
      </c>
      <c r="E1126" t="inlineStr">
        <is>
          <t>Starter</t>
        </is>
      </c>
      <c r="F1126" t="inlineStr">
        <is>
          <t>SMB</t>
        </is>
      </c>
      <c r="G1126" t="inlineStr">
        <is>
          <t>User Interface</t>
        </is>
      </c>
      <c r="H1126" t="inlineStr">
        <is>
          <t>Feature Request</t>
        </is>
      </c>
      <c r="I1126" t="inlineStr">
        <is>
          <t>Feedback from our monthly review. We need multi-select actions to update owners and stages for many records at once. So far 63 people on our side have reported it.</t>
        </is>
      </c>
      <c r="J1126" t="inlineStr">
        <is>
          <t>Neutral</t>
        </is>
      </c>
      <c r="K1126" t="inlineStr">
        <is>
          <t>Medium</t>
        </is>
      </c>
      <c r="L1126" t="inlineStr">
        <is>
          <t>Workflow Slowdown</t>
        </is>
      </c>
    </row>
    <row r="1127">
      <c r="A1127" t="inlineStr">
        <is>
          <t>FB-01126</t>
        </is>
      </c>
      <c r="B1127" t="inlineStr">
        <is>
          <t>CUST-0299</t>
        </is>
      </c>
      <c r="C1127" t="inlineStr">
        <is>
          <t>2026-07-15</t>
        </is>
      </c>
      <c r="D1127" t="inlineStr">
        <is>
          <t>In-App Feedback</t>
        </is>
      </c>
      <c r="E1127" t="inlineStr">
        <is>
          <t>Professional</t>
        </is>
      </c>
      <c r="F1127" t="inlineStr">
        <is>
          <t>Mid-Market</t>
        </is>
      </c>
      <c r="G1127" t="inlineStr">
        <is>
          <t>Workflow Automation</t>
        </is>
      </c>
      <c r="H1127" t="inlineStr">
        <is>
          <t>Bug</t>
        </is>
      </c>
      <c r="I1127" t="inlineStr">
        <is>
          <t>We found workflow failures only because a customer complained. Our RevOps lead flagged it while onboarding 6 new users. Is there a workaround?</t>
        </is>
      </c>
      <c r="J1127" t="inlineStr">
        <is>
          <t>Negative</t>
        </is>
      </c>
      <c r="K1127" t="inlineStr">
        <is>
          <t>High</t>
        </is>
      </c>
      <c r="L1127" t="inlineStr">
        <is>
          <t>Blocks Key Task</t>
        </is>
      </c>
    </row>
    <row r="1128">
      <c r="A1128" t="inlineStr">
        <is>
          <t>FB-01127</t>
        </is>
      </c>
      <c r="B1128" t="inlineStr">
        <is>
          <t>CUST-0102</t>
        </is>
      </c>
      <c r="C1128" t="inlineStr">
        <is>
          <t>2026-07-15</t>
        </is>
      </c>
      <c r="D1128" t="inlineStr">
        <is>
          <t>Customer Survey</t>
        </is>
      </c>
      <c r="E1128" t="inlineStr">
        <is>
          <t>Professional</t>
        </is>
      </c>
      <c r="F1128" t="inlineStr">
        <is>
          <t>Mid-Market</t>
        </is>
      </c>
      <c r="G1128" t="inlineStr">
        <is>
          <t>Workflow Automation</t>
        </is>
      </c>
      <c r="H1128" t="inlineStr">
        <is>
          <t>Usability Issue</t>
        </is>
      </c>
      <c r="I1128" t="inlineStr">
        <is>
          <t>Our team keeps running into this. I can't tell what a branch does in the workflow builder without opening every node. Our sales manager flagged it while onboarding 73 new users.</t>
        </is>
      </c>
      <c r="J1128" t="inlineStr">
        <is>
          <t>Negative</t>
        </is>
      </c>
      <c r="K1128" t="inlineStr">
        <is>
          <t>High</t>
        </is>
      </c>
      <c r="L1128" t="inlineStr">
        <is>
          <t>Blocks Key Task</t>
        </is>
      </c>
    </row>
    <row r="1129">
      <c r="A1129" t="inlineStr">
        <is>
          <t>FB-01128</t>
        </is>
      </c>
      <c r="B1129" t="inlineStr">
        <is>
          <t>CUST-0092</t>
        </is>
      </c>
      <c r="C1129" t="inlineStr">
        <is>
          <t>2026-07-15</t>
        </is>
      </c>
      <c r="D1129" t="inlineStr">
        <is>
          <t>Support Ticket</t>
        </is>
      </c>
      <c r="E1129" t="inlineStr">
        <is>
          <t>Professional</t>
        </is>
      </c>
      <c r="F1129" t="inlineStr">
        <is>
          <t>Mid-Market</t>
        </is>
      </c>
      <c r="G1129" t="inlineStr">
        <is>
          <t>Integrations</t>
        </is>
      </c>
      <c r="H1129" t="inlineStr">
        <is>
          <t>Integration Issue</t>
        </is>
      </c>
      <c r="I1129" t="inlineStr">
        <is>
          <t>The Outlook calendar sync duplicates meetings and misses replies. Please look into it soon.</t>
        </is>
      </c>
      <c r="J1129" t="inlineStr">
        <is>
          <t>Negative</t>
        </is>
      </c>
      <c r="K1129" t="inlineStr">
        <is>
          <t>Medium</t>
        </is>
      </c>
      <c r="L1129" t="inlineStr">
        <is>
          <t>Workflow Slowdown</t>
        </is>
      </c>
    </row>
    <row r="1130">
      <c r="A1130" t="inlineStr">
        <is>
          <t>FB-01129</t>
        </is>
      </c>
      <c r="B1130" t="inlineStr">
        <is>
          <t>CUST-0229</t>
        </is>
      </c>
      <c r="C1130" t="inlineStr">
        <is>
          <t>2026-07-16</t>
        </is>
      </c>
      <c r="D1130" t="inlineStr">
        <is>
          <t>Feature Request</t>
        </is>
      </c>
      <c r="E1130" t="inlineStr">
        <is>
          <t>Starter</t>
        </is>
      </c>
      <c r="F1130" t="inlineStr">
        <is>
          <t>Mid-Market</t>
        </is>
      </c>
      <c r="G1130" t="inlineStr">
        <is>
          <t>User Interface</t>
        </is>
      </c>
      <c r="H1130" t="inlineStr">
        <is>
          <t>Feature Request</t>
        </is>
      </c>
      <c r="I1130" t="inlineStr">
        <is>
          <t>Requesting offline mobile access so reps can log activity right after a meeting. So far 19 people on our side have reported it. Support suggested logging it here.</t>
        </is>
      </c>
      <c r="J1130" t="inlineStr">
        <is>
          <t>Negative</t>
        </is>
      </c>
      <c r="K1130" t="inlineStr">
        <is>
          <t>Low</t>
        </is>
      </c>
      <c r="L1130" t="inlineStr">
        <is>
          <t>Minor Inconvenience</t>
        </is>
      </c>
    </row>
    <row r="1131">
      <c r="A1131" t="inlineStr">
        <is>
          <t>FB-01130</t>
        </is>
      </c>
      <c r="B1131" t="inlineStr">
        <is>
          <t>CUST-0374</t>
        </is>
      </c>
      <c r="C1131" t="inlineStr">
        <is>
          <t>2026-07-16</t>
        </is>
      </c>
      <c r="D1131" t="inlineStr">
        <is>
          <t>in-app feedback</t>
        </is>
      </c>
      <c r="E1131" t="inlineStr">
        <is>
          <t xml:space="preserve"> Starter</t>
        </is>
      </c>
      <c r="F1131" t="inlineStr">
        <is>
          <t>SMB</t>
        </is>
      </c>
      <c r="G1131" t="inlineStr">
        <is>
          <t>Contact Management</t>
        </is>
      </c>
      <c r="H1131" t="inlineStr">
        <is>
          <t>Performance Issue</t>
        </is>
      </c>
      <c r="I1131" t="inlineStr">
        <is>
          <t>Recent updates have been a nice improvement. We avoid saved contact filters during calls because it takes too long. We estimate we lose roughly 43 hours a month on this.</t>
        </is>
      </c>
      <c r="J1131" t="inlineStr">
        <is>
          <t>Positive</t>
        </is>
      </c>
      <c r="K1131" t="inlineStr">
        <is>
          <t>Low</t>
        </is>
      </c>
      <c r="L1131" t="inlineStr">
        <is>
          <t>Workflow Slowdown</t>
        </is>
      </c>
    </row>
    <row r="1132">
      <c r="A1132" t="inlineStr">
        <is>
          <t>FB-01131</t>
        </is>
      </c>
      <c r="B1132" t="inlineStr">
        <is>
          <t>CUST-0203</t>
        </is>
      </c>
      <c r="C1132" t="inlineStr">
        <is>
          <t>2026-07-16</t>
        </is>
      </c>
      <c r="D1132" t="inlineStr">
        <is>
          <t>Feature Request</t>
        </is>
      </c>
      <c r="E1132" t="inlineStr">
        <is>
          <t>Professional</t>
        </is>
      </c>
      <c r="F1132" t="inlineStr">
        <is>
          <t xml:space="preserve"> Mid-Market</t>
        </is>
      </c>
      <c r="G1132" t="inlineStr">
        <is>
          <t>Workflow Automation</t>
        </is>
      </c>
      <c r="H1132" t="inlineStr">
        <is>
          <t>Feature Request</t>
        </is>
      </c>
      <c r="I1132" t="inlineStr">
        <is>
          <t>Please provide automation recipes for common processes like onboarding and renewals. Happy to beta test.</t>
        </is>
      </c>
      <c r="J1132" t="inlineStr">
        <is>
          <t>Positive</t>
        </is>
      </c>
      <c r="K1132" t="inlineStr">
        <is>
          <t>High</t>
        </is>
      </c>
      <c r="L1132" t="inlineStr">
        <is>
          <t>Workflow Slowdown</t>
        </is>
      </c>
    </row>
    <row r="1133">
      <c r="A1133" t="inlineStr">
        <is>
          <t>FB-01132</t>
        </is>
      </c>
      <c r="B1133" t="inlineStr">
        <is>
          <t>CUST-0128</t>
        </is>
      </c>
      <c r="C1133" t="inlineStr">
        <is>
          <t>2026-07-16</t>
        </is>
      </c>
      <c r="D1133" t="inlineStr">
        <is>
          <t>Feature Request</t>
        </is>
      </c>
      <c r="E1133" t="inlineStr">
        <is>
          <t>Professional</t>
        </is>
      </c>
      <c r="F1133" t="inlineStr">
        <is>
          <t>SMB</t>
        </is>
      </c>
      <c r="G1133" t="inlineStr">
        <is>
          <t>Reporting</t>
        </is>
      </c>
      <c r="H1133" t="inlineStr">
        <is>
          <t>Feature Request</t>
        </is>
      </c>
      <c r="I1133" t="inlineStr">
        <is>
          <t>Feedback from our monthly review. We need scheduled report emails so non-technical managers can create their own views. It affects our lead handoff process every cycle.</t>
        </is>
      </c>
      <c r="J1133" t="inlineStr">
        <is>
          <t>Neutral</t>
        </is>
      </c>
      <c r="K1133" t="inlineStr">
        <is>
          <t>LOW</t>
        </is>
      </c>
      <c r="L1133" t="inlineStr">
        <is>
          <t>Minor Inconvenience</t>
        </is>
      </c>
    </row>
    <row r="1134">
      <c r="A1134" t="inlineStr">
        <is>
          <t>FB-01133</t>
        </is>
      </c>
      <c r="B1134" t="inlineStr">
        <is>
          <t>CUST-0060</t>
        </is>
      </c>
      <c r="C1134" t="inlineStr">
        <is>
          <t>2026-07-16</t>
        </is>
      </c>
      <c r="D1134" t="inlineStr">
        <is>
          <t>Support Ticket</t>
        </is>
      </c>
      <c r="E1134" t="inlineStr">
        <is>
          <t>Starter</t>
        </is>
      </c>
      <c r="F1134" t="inlineStr">
        <is>
          <t>SMB</t>
        </is>
      </c>
      <c r="G1134" t="inlineStr">
        <is>
          <t>Lead Management</t>
        </is>
      </c>
      <c r="H1134" t="inlineStr">
        <is>
          <t>Usability Issue</t>
        </is>
      </c>
      <c r="I1134" t="inlineStr">
        <is>
          <t>Feedback from our monthly review. The lead assignment settings are confusing and new leads sometimes sit unassigned over weekends. Let us know if you need examples.</t>
        </is>
      </c>
      <c r="J1134" t="inlineStr">
        <is>
          <t>Neutral</t>
        </is>
      </c>
      <c r="K1134" t="inlineStr">
        <is>
          <t>High</t>
        </is>
      </c>
      <c r="L1134" t="inlineStr">
        <is>
          <t>Blocks Key Task</t>
        </is>
      </c>
    </row>
    <row r="1135">
      <c r="A1135" t="inlineStr">
        <is>
          <t>FB-01134</t>
        </is>
      </c>
      <c r="B1135" t="inlineStr">
        <is>
          <t>CUST-0143</t>
        </is>
      </c>
      <c r="C1135" t="inlineStr">
        <is>
          <t>2026-07-17</t>
        </is>
      </c>
      <c r="D1135" t="inlineStr">
        <is>
          <t>Customer Survey</t>
        </is>
      </c>
      <c r="E1135" t="inlineStr">
        <is>
          <t>Starter</t>
        </is>
      </c>
      <c r="F1135" t="inlineStr">
        <is>
          <t>SMB</t>
        </is>
      </c>
      <c r="G1135" t="inlineStr">
        <is>
          <t>Workflow Automation</t>
        </is>
      </c>
      <c r="H1135" t="inlineStr">
        <is>
          <t>Bug</t>
        </is>
      </c>
      <c r="I1135" t="inlineStr">
        <is>
          <t>Frustrated with this one. We found workflow failures only because a customer complained. We need a fix before renewal.</t>
        </is>
      </c>
      <c r="J1135" t="inlineStr">
        <is>
          <t>Negative</t>
        </is>
      </c>
      <c r="K1135" t="inlineStr">
        <is>
          <t>Medium</t>
        </is>
      </c>
      <c r="L1135" t="inlineStr">
        <is>
          <t>Workflow Slowdown</t>
        </is>
      </c>
    </row>
    <row r="1136">
      <c r="A1136" t="inlineStr">
        <is>
          <t>FB-01135</t>
        </is>
      </c>
      <c r="B1136" t="inlineStr">
        <is>
          <t>CUST-0175</t>
        </is>
      </c>
      <c r="C1136" t="inlineStr">
        <is>
          <t>2026-07-17</t>
        </is>
      </c>
      <c r="D1136" t="inlineStr">
        <is>
          <t xml:space="preserve">Support Ticket </t>
        </is>
      </c>
      <c r="E1136" t="inlineStr">
        <is>
          <t>Professional</t>
        </is>
      </c>
      <c r="F1136" t="inlineStr">
        <is>
          <t>Mid-Market</t>
        </is>
      </c>
      <c r="G1136" t="inlineStr">
        <is>
          <t>User Interface</t>
        </is>
      </c>
      <c r="H1136" t="inlineStr">
        <is>
          <t>Performance Issue</t>
        </is>
      </c>
      <c r="I1136" t="inlineStr">
        <is>
          <t>FYI for the product team. Since the redesign there is more UI freezing on older laptops. We estimate we lose roughly 4 hours a month on this.</t>
        </is>
      </c>
      <c r="J1136" t="inlineStr">
        <is>
          <t>Neutral</t>
        </is>
      </c>
      <c r="K1136" t="inlineStr">
        <is>
          <t xml:space="preserve"> Low</t>
        </is>
      </c>
      <c r="L1136" t="inlineStr">
        <is>
          <t>Minor Inconvenience</t>
        </is>
      </c>
    </row>
    <row r="1137">
      <c r="A1137" t="inlineStr">
        <is>
          <t>FB-01136</t>
        </is>
      </c>
      <c r="B1137" t="inlineStr">
        <is>
          <t>CUST-0061</t>
        </is>
      </c>
      <c r="C1137" t="inlineStr">
        <is>
          <t>2026-07-17</t>
        </is>
      </c>
      <c r="D1137" t="inlineStr">
        <is>
          <t>Customer Survey</t>
        </is>
      </c>
      <c r="E1137" t="inlineStr">
        <is>
          <t>Professional</t>
        </is>
      </c>
      <c r="F1137" t="inlineStr">
        <is>
          <t>Mid-Market</t>
        </is>
      </c>
      <c r="G1137" t="inlineStr">
        <is>
          <t>Contact Management</t>
        </is>
      </c>
      <c r="H1137" t="inlineStr">
        <is>
          <t>Feature Request</t>
        </is>
      </c>
      <c r="I1137" t="inlineStr">
        <is>
          <t>Recent updates have been a nice improvement. A bulk contact merge that keeps activity history would save our ops team hours. So far 11 people on our side have reported it. Happy to beta test.</t>
        </is>
      </c>
      <c r="J1137" t="inlineStr">
        <is>
          <t>Positive</t>
        </is>
      </c>
      <c r="K1137" t="inlineStr">
        <is>
          <t>Low</t>
        </is>
      </c>
      <c r="L1137" t="inlineStr">
        <is>
          <t>Minor Inconvenience</t>
        </is>
      </c>
    </row>
    <row r="1138">
      <c r="A1138" t="inlineStr">
        <is>
          <t>FB-01137</t>
        </is>
      </c>
      <c r="B1138" t="inlineStr">
        <is>
          <t>CUST-0306</t>
        </is>
      </c>
      <c r="C1138" t="inlineStr">
        <is>
          <t>2026-07-17</t>
        </is>
      </c>
      <c r="D1138" t="inlineStr">
        <is>
          <t>Support Ticket</t>
        </is>
      </c>
      <c r="E1138" t="inlineStr">
        <is>
          <t>Professional</t>
        </is>
      </c>
      <c r="F1138" t="inlineStr">
        <is>
          <t>SMB</t>
        </is>
      </c>
      <c r="G1138" t="inlineStr">
        <is>
          <t>Lead Management</t>
        </is>
      </c>
      <c r="H1138" t="inlineStr">
        <is>
          <t>Bug</t>
        </is>
      </c>
      <c r="I1138" t="inlineStr">
        <is>
          <t>Raising this again after our last business review. We are seeing duplicate lead records when a lead arrives from both the website and a trade-show list. We estimate we lose roughly 29 hours a month on this.</t>
        </is>
      </c>
      <c r="J1138" t="inlineStr">
        <is>
          <t>Negative</t>
        </is>
      </c>
      <c r="K1138" t="inlineStr">
        <is>
          <t>High</t>
        </is>
      </c>
      <c r="L1138" t="inlineStr">
        <is>
          <t>Revenue/Operations Risk</t>
        </is>
      </c>
    </row>
    <row r="1139">
      <c r="A1139" t="inlineStr">
        <is>
          <t>FB-01138</t>
        </is>
      </c>
      <c r="B1139" t="inlineStr">
        <is>
          <t>CUST-0111</t>
        </is>
      </c>
      <c r="C1139" t="inlineStr">
        <is>
          <t>2026-07-18</t>
        </is>
      </c>
      <c r="D1139" t="inlineStr">
        <is>
          <t>In-App Feedback</t>
        </is>
      </c>
      <c r="E1139" t="inlineStr">
        <is>
          <t>Professional</t>
        </is>
      </c>
      <c r="F1139" t="inlineStr">
        <is>
          <t>Enterprise</t>
        </is>
      </c>
      <c r="G1139" t="inlineStr">
        <is>
          <t>Workflow Automation</t>
        </is>
      </c>
      <c r="H1139" t="inlineStr">
        <is>
          <t>Feature Request</t>
        </is>
      </c>
      <c r="I1139" t="inlineStr">
        <is>
          <t>Sharing this from our team. A library of prebuilt automations would cut our setup time. Our finance analyst flagged it while onboarding 95 new users.</t>
        </is>
      </c>
      <c r="J1139" t="inlineStr">
        <is>
          <t>Neutral</t>
        </is>
      </c>
      <c r="K1139" t="inlineStr">
        <is>
          <t>Low</t>
        </is>
      </c>
      <c r="L1139" t="inlineStr">
        <is>
          <t>Minor Inconvenience</t>
        </is>
      </c>
    </row>
    <row r="1140">
      <c r="A1140" t="inlineStr">
        <is>
          <t>FB-01139</t>
        </is>
      </c>
      <c r="B1140" t="inlineStr">
        <is>
          <t>CUST-0375</t>
        </is>
      </c>
      <c r="C1140" t="inlineStr">
        <is>
          <t>2026-07-18</t>
        </is>
      </c>
      <c r="D1140" t="inlineStr">
        <is>
          <t>Support Ticket</t>
        </is>
      </c>
      <c r="E1140" t="inlineStr">
        <is>
          <t>Professional</t>
        </is>
      </c>
      <c r="F1140" t="inlineStr">
        <is>
          <t>Mid-Market</t>
        </is>
      </c>
      <c r="G1140" t="inlineStr">
        <is>
          <t>Integrations</t>
        </is>
      </c>
      <c r="H1140" t="inlineStr">
        <is>
          <t>Integration Issue</t>
        </is>
      </c>
      <c r="I1140" t="inlineStr">
        <is>
          <t>Reps no longer trust Gmail sync, so they log activity by hand. It affects our onboarding process every cycle. Let us know if you need examples.</t>
        </is>
      </c>
      <c r="J1140" t="inlineStr">
        <is>
          <t>Neutral</t>
        </is>
      </c>
      <c r="K1140" t="inlineStr">
        <is>
          <t>High</t>
        </is>
      </c>
      <c r="L1140" t="inlineStr">
        <is>
          <t>Revenue/Operations Risk</t>
        </is>
      </c>
    </row>
    <row r="1141">
      <c r="A1141" t="inlineStr">
        <is>
          <t>FB-01140</t>
        </is>
      </c>
      <c r="B1141" t="inlineStr">
        <is>
          <t>CUST-0354</t>
        </is>
      </c>
      <c r="C1141" t="inlineStr">
        <is>
          <t>2026-07-18</t>
        </is>
      </c>
      <c r="D1141" t="inlineStr">
        <is>
          <t>Support Ticket</t>
        </is>
      </c>
      <c r="E1141" t="inlineStr">
        <is>
          <t>Enterprise</t>
        </is>
      </c>
      <c r="F1141" t="inlineStr">
        <is>
          <t>Mid-Market</t>
        </is>
      </c>
      <c r="G1141" t="inlineStr">
        <is>
          <t>Workflow Automation</t>
        </is>
      </c>
      <c r="H1141" t="inlineStr">
        <is>
          <t>Bug</t>
        </is>
      </c>
      <c r="I1141" t="inlineStr">
        <is>
          <t>Escalating on behalf of our ops lead. Since the last release we've had automation misfires and tasks are being created twice. Our admin flagged it while onboarding 101 new users. Is there a workaround?</t>
        </is>
      </c>
      <c r="J1141" t="inlineStr">
        <is>
          <t>Negative</t>
        </is>
      </c>
      <c r="K1141" t="inlineStr">
        <is>
          <t>Medium</t>
        </is>
      </c>
      <c r="L1141" t="inlineStr">
        <is>
          <t>Workflow Slowdown</t>
        </is>
      </c>
    </row>
    <row r="1142">
      <c r="A1142" t="inlineStr">
        <is>
          <t>FB-01141</t>
        </is>
      </c>
      <c r="B1142" t="inlineStr">
        <is>
          <t>CUST-0229</t>
        </is>
      </c>
      <c r="C1142" t="inlineStr">
        <is>
          <t>2026-07-18</t>
        </is>
      </c>
      <c r="D1142" t="inlineStr">
        <is>
          <t>Support Ticket</t>
        </is>
      </c>
      <c r="E1142" t="inlineStr">
        <is>
          <t>Starter</t>
        </is>
      </c>
      <c r="F1142" t="inlineStr">
        <is>
          <t>Mid-Market</t>
        </is>
      </c>
      <c r="G1142" t="inlineStr">
        <is>
          <t>Lead Management</t>
        </is>
      </c>
      <c r="H1142" t="inlineStr">
        <is>
          <t>Performance Issue</t>
        </is>
      </c>
      <c r="I1142" t="inlineStr">
        <is>
          <t>Reps have stopped using the board because of pipeline board loading. Our marketing ops owner flagged it while onboarding 76 new users.</t>
        </is>
      </c>
      <c r="J1142" t="inlineStr">
        <is>
          <t>Negative</t>
        </is>
      </c>
      <c r="K1142" t="inlineStr">
        <is>
          <t>Low</t>
        </is>
      </c>
      <c r="L1142" t="inlineStr">
        <is>
          <t>Minor Inconvenience</t>
        </is>
      </c>
    </row>
    <row r="1143">
      <c r="A1143" t="inlineStr">
        <is>
          <t>FB-01142</t>
        </is>
      </c>
      <c r="B1143" t="inlineStr">
        <is>
          <t>CUST-0174</t>
        </is>
      </c>
      <c r="C1143" t="inlineStr">
        <is>
          <t>19-Jul-2026</t>
        </is>
      </c>
      <c r="D1143" t="inlineStr">
        <is>
          <t>In-App Feedback</t>
        </is>
      </c>
      <c r="E1143" t="inlineStr">
        <is>
          <t>Professional</t>
        </is>
      </c>
      <c r="F1143" t="inlineStr">
        <is>
          <t>Mid-Market</t>
        </is>
      </c>
      <c r="G1143" t="inlineStr">
        <is>
          <t>Reporting</t>
        </is>
      </c>
      <c r="H1143" t="inlineStr">
        <is>
          <t>Bug</t>
        </is>
      </c>
      <c r="I1143" t="inlineStr">
        <is>
          <t>The CSV export of reports cuts off rows after a few thousand records. We estimate we lose roughly 5 hours a month on this.</t>
        </is>
      </c>
      <c r="J1143" t="inlineStr">
        <is>
          <t>Positive</t>
        </is>
      </c>
      <c r="K1143" t="inlineStr">
        <is>
          <t>Low</t>
        </is>
      </c>
      <c r="L1143" t="inlineStr">
        <is>
          <t>Minor Inconvenience</t>
        </is>
      </c>
    </row>
    <row r="1144">
      <c r="A1144" t="inlineStr">
        <is>
          <t>FB-01143</t>
        </is>
      </c>
      <c r="B1144" t="inlineStr">
        <is>
          <t>CUST-0003</t>
        </is>
      </c>
      <c r="C1144" t="inlineStr">
        <is>
          <t>2026-07-19</t>
        </is>
      </c>
      <c r="D1144" t="inlineStr">
        <is>
          <t>Customer Survey</t>
        </is>
      </c>
      <c r="E1144" t="inlineStr">
        <is>
          <t>Starter</t>
        </is>
      </c>
      <c r="F1144" t="inlineStr">
        <is>
          <t>Mid-Market</t>
        </is>
      </c>
      <c r="G1144" t="inlineStr">
        <is>
          <t>Reporting</t>
        </is>
      </c>
      <c r="H1144" t="inlineStr">
        <is>
          <t>Bug</t>
        </is>
      </c>
      <c r="I1144" t="inlineStr">
        <is>
          <t>Finance can't rely on the CSV export of reports; totals don't match the screen.</t>
        </is>
      </c>
      <c r="J1144" t="inlineStr">
        <is>
          <t>Positive</t>
        </is>
      </c>
      <c r="K1144" t="inlineStr">
        <is>
          <t>High</t>
        </is>
      </c>
      <c r="L1144" t="inlineStr">
        <is>
          <t>Blocks Key Task</t>
        </is>
      </c>
    </row>
    <row r="1145">
      <c r="A1145" t="inlineStr">
        <is>
          <t>FB-01144</t>
        </is>
      </c>
      <c r="B1145" t="inlineStr">
        <is>
          <t>CUST-0073</t>
        </is>
      </c>
      <c r="C1145" t="inlineStr">
        <is>
          <t>2026-07-19</t>
        </is>
      </c>
      <c r="D1145" t="inlineStr">
        <is>
          <t>Support Ticket</t>
        </is>
      </c>
      <c r="E1145" t="inlineStr">
        <is>
          <t>Starter</t>
        </is>
      </c>
      <c r="F1145" t="inlineStr">
        <is>
          <t>SMB</t>
        </is>
      </c>
      <c r="G1145" t="inlineStr">
        <is>
          <t>User Interface</t>
        </is>
      </c>
      <c r="H1145" t="inlineStr">
        <is>
          <t>Usability Issue</t>
        </is>
      </c>
      <c r="I1145" t="inlineStr">
        <is>
          <t>The navigation menu is cluttered and I can never find the setting I need. So far 8 people on our side have reported it. Let us know if you need examples.</t>
        </is>
      </c>
      <c r="J1145" t="inlineStr">
        <is>
          <t>Neutral</t>
        </is>
      </c>
      <c r="K1145" t="inlineStr">
        <is>
          <t>Low</t>
        </is>
      </c>
      <c r="L1145" t="inlineStr">
        <is>
          <t>Workflow Slowdown</t>
        </is>
      </c>
    </row>
    <row r="1146">
      <c r="A1146" t="inlineStr">
        <is>
          <t>FB-01145</t>
        </is>
      </c>
      <c r="B1146" t="inlineStr">
        <is>
          <t>CUST-0210</t>
        </is>
      </c>
      <c r="C1146" t="inlineStr">
        <is>
          <t>2026-07-20</t>
        </is>
      </c>
      <c r="D1146" t="inlineStr">
        <is>
          <t>Feature Request</t>
        </is>
      </c>
      <c r="E1146" t="inlineStr">
        <is>
          <t>Professional</t>
        </is>
      </c>
      <c r="F1146" t="inlineStr">
        <is>
          <t>Mid-Market</t>
        </is>
      </c>
      <c r="G1146" t="inlineStr">
        <is>
          <t>Reporting</t>
        </is>
      </c>
      <c r="H1146" t="inlineStr">
        <is>
          <t>Feature Request</t>
        </is>
      </c>
      <c r="I1146" t="inlineStr">
        <is>
          <t>Quick note from our admin. Requesting scheduled report emails so leadership gets numbers without logging in. Our admin flagged it while onboarding 88 new users. Let us know if you need examples.</t>
        </is>
      </c>
      <c r="J1146" t="inlineStr">
        <is>
          <t>Neutral</t>
        </is>
      </c>
      <c r="K1146" t="inlineStr">
        <is>
          <t>Low</t>
        </is>
      </c>
      <c r="L1146" t="inlineStr">
        <is>
          <t>Workflow Slowdown</t>
        </is>
      </c>
    </row>
    <row r="1147">
      <c r="A1147" t="inlineStr">
        <is>
          <t>FB-01146</t>
        </is>
      </c>
      <c r="B1147" t="inlineStr">
        <is>
          <t>CUST-0162</t>
        </is>
      </c>
      <c r="C1147" t="inlineStr">
        <is>
          <t>2026-07-20</t>
        </is>
      </c>
      <c r="D1147" t="inlineStr">
        <is>
          <t>Support Ticket</t>
        </is>
      </c>
      <c r="E1147" t="inlineStr">
        <is>
          <t>Professional</t>
        </is>
      </c>
      <c r="F1147" t="inlineStr">
        <is>
          <t>Mid-Market</t>
        </is>
      </c>
      <c r="G1147" t="inlineStr">
        <is>
          <t>Reporting</t>
        </is>
      </c>
      <c r="H1147" t="inlineStr">
        <is>
          <t>Bug</t>
        </is>
      </c>
      <c r="I1147" t="inlineStr">
        <is>
          <t>The CSV export of reports cuts off rows after a few thousand records. Is there a workaround?</t>
        </is>
      </c>
      <c r="J1147" t="inlineStr">
        <is>
          <t>Negative</t>
        </is>
      </c>
      <c r="K1147" t="inlineStr">
        <is>
          <t>low</t>
        </is>
      </c>
      <c r="L1147" t="inlineStr">
        <is>
          <t>Workflow Slowdown</t>
        </is>
      </c>
    </row>
    <row r="1148">
      <c r="A1148" t="inlineStr">
        <is>
          <t>FB-01147</t>
        </is>
      </c>
      <c r="B1148" t="inlineStr">
        <is>
          <t>CUST-0186</t>
        </is>
      </c>
      <c r="C1148" t="inlineStr">
        <is>
          <t>2026-07-20</t>
        </is>
      </c>
      <c r="D1148" t="inlineStr">
        <is>
          <t>Feature Request</t>
        </is>
      </c>
      <c r="E1148" t="inlineStr">
        <is>
          <t>Professional</t>
        </is>
      </c>
      <c r="F1148" t="inlineStr">
        <is>
          <t>SMB</t>
        </is>
      </c>
      <c r="G1148" t="inlineStr">
        <is>
          <t>Lead Management</t>
        </is>
      </c>
      <c r="H1148" t="inlineStr">
        <is>
          <t>Feature Request</t>
        </is>
      </c>
      <c r="I1148" t="inlineStr">
        <is>
          <t>Happy with most of the product. Please add lead scoring rules based on engagement, company size and recent activity. So far 25 people on our side have reported it. Thanks to the team.</t>
        </is>
      </c>
      <c r="J1148" t="inlineStr">
        <is>
          <t>Positive</t>
        </is>
      </c>
      <c r="K1148" t="inlineStr">
        <is>
          <t>Low</t>
        </is>
      </c>
      <c r="L1148" t="inlineStr">
        <is>
          <t>Workflow Slowdown</t>
        </is>
      </c>
    </row>
    <row r="1149">
      <c r="A1149" t="inlineStr">
        <is>
          <t>FB-01148</t>
        </is>
      </c>
      <c r="B1149" t="inlineStr">
        <is>
          <t>CUST-0404</t>
        </is>
      </c>
      <c r="C1149" t="inlineStr">
        <is>
          <t>2026-07-20</t>
        </is>
      </c>
      <c r="D1149" t="inlineStr">
        <is>
          <t>In-App Feedback</t>
        </is>
      </c>
      <c r="E1149" t="inlineStr">
        <is>
          <t>Starter</t>
        </is>
      </c>
      <c r="F1149" t="inlineStr">
        <is>
          <t>SMB</t>
        </is>
      </c>
      <c r="G1149" t="inlineStr">
        <is>
          <t>Contact Management</t>
        </is>
      </c>
      <c r="H1149" t="inlineStr">
        <is>
          <t>Performance Issue</t>
        </is>
      </c>
      <c r="I1149" t="inlineStr">
        <is>
          <t>Combining several conditions in saved contact filters makes the page hang. Happy to join a feedback call.</t>
        </is>
      </c>
      <c r="J1149" t="inlineStr">
        <is>
          <t>Neutral</t>
        </is>
      </c>
      <c r="K1149" t="inlineStr">
        <is>
          <t>Critical</t>
        </is>
      </c>
      <c r="L1149" t="inlineStr">
        <is>
          <t>Revenue/Operations Risk</t>
        </is>
      </c>
    </row>
    <row r="1150">
      <c r="A1150" t="inlineStr">
        <is>
          <t>FB-01149</t>
        </is>
      </c>
      <c r="B1150" t="inlineStr">
        <is>
          <t>CUST-0279</t>
        </is>
      </c>
      <c r="C1150" t="inlineStr">
        <is>
          <t>2026-07-21</t>
        </is>
      </c>
      <c r="D1150" t="inlineStr">
        <is>
          <t>Feature Request</t>
        </is>
      </c>
      <c r="E1150" t="inlineStr">
        <is>
          <t>Starter</t>
        </is>
      </c>
      <c r="F1150" t="inlineStr">
        <is>
          <t>SMB</t>
        </is>
      </c>
      <c r="G1150" t="inlineStr">
        <is>
          <t>Lead Management</t>
        </is>
      </c>
      <c r="H1150" t="inlineStr">
        <is>
          <t>Feature Request</t>
        </is>
      </c>
      <c r="I1150" t="inlineStr">
        <is>
          <t>Feedback from our monthly review. Would love to see lead scoring rules that marketing and sales can both tune. Our marketing ops owner flagged it while onboarding 79 new users.</t>
        </is>
      </c>
      <c r="J1150" t="inlineStr">
        <is>
          <t>Neutral</t>
        </is>
      </c>
      <c r="K1150" t="inlineStr">
        <is>
          <t>Medium</t>
        </is>
      </c>
      <c r="L1150" t="inlineStr">
        <is>
          <t>Blocks Key Task</t>
        </is>
      </c>
    </row>
    <row r="1151">
      <c r="A1151" t="inlineStr">
        <is>
          <t>FB-01150</t>
        </is>
      </c>
      <c r="B1151" t="inlineStr">
        <is>
          <t>CUST-0381</t>
        </is>
      </c>
      <c r="C1151" t="inlineStr">
        <is>
          <t>2026-07-21</t>
        </is>
      </c>
      <c r="D1151" t="inlineStr">
        <is>
          <t>Support Ticket</t>
        </is>
      </c>
      <c r="E1151" t="inlineStr">
        <is>
          <t>Professional</t>
        </is>
      </c>
      <c r="F1151" t="inlineStr">
        <is>
          <t>Mid-Market</t>
        </is>
      </c>
      <c r="G1151" t="inlineStr">
        <is>
          <t>Contact Management</t>
        </is>
      </c>
      <c r="H1151" t="inlineStr">
        <is>
          <t>Feature Request</t>
        </is>
      </c>
      <c r="I1151" t="inlineStr">
        <is>
          <t>A tool to merge duplicate contacts that keeps activity history would save our ops team hours.</t>
        </is>
      </c>
      <c r="J1151" t="inlineStr">
        <is>
          <t>Neutral</t>
        </is>
      </c>
      <c r="K1151" t="inlineStr">
        <is>
          <t>Low</t>
        </is>
      </c>
      <c r="L1151" t="inlineStr">
        <is>
          <t>Workflow Slowdown</t>
        </is>
      </c>
    </row>
    <row r="1152">
      <c r="A1152" t="inlineStr">
        <is>
          <t>FB-01151</t>
        </is>
      </c>
      <c r="B1152" t="inlineStr">
        <is>
          <t>CUST-0030</t>
        </is>
      </c>
      <c r="C1152" t="inlineStr">
        <is>
          <t>2026-07-21</t>
        </is>
      </c>
      <c r="D1152" t="inlineStr">
        <is>
          <t xml:space="preserve">Support Ticket </t>
        </is>
      </c>
      <c r="E1152" t="inlineStr">
        <is>
          <t>Professional</t>
        </is>
      </c>
      <c r="F1152" t="inlineStr">
        <is>
          <t>Mid-Market</t>
        </is>
      </c>
      <c r="G1152" t="inlineStr">
        <is>
          <t>Reporting</t>
        </is>
      </c>
      <c r="H1152" t="inlineStr">
        <is>
          <t>Bug</t>
        </is>
      </c>
      <c r="I1152" t="inlineStr">
        <is>
          <t>Raising this again after our last business review. The report export times out for date ranges longer than a quarter.</t>
        </is>
      </c>
      <c r="J1152" t="inlineStr">
        <is>
          <t>Negative</t>
        </is>
      </c>
      <c r="K1152" t="inlineStr">
        <is>
          <t>High</t>
        </is>
      </c>
      <c r="L1152" t="inlineStr">
        <is>
          <t>Workflow Slowdown</t>
        </is>
      </c>
    </row>
    <row r="1153">
      <c r="A1153" t="inlineStr">
        <is>
          <t>FB-01152</t>
        </is>
      </c>
      <c r="B1153" t="inlineStr">
        <is>
          <t>CUST-0096</t>
        </is>
      </c>
      <c r="C1153" t="inlineStr">
        <is>
          <t>2026-07-21</t>
        </is>
      </c>
      <c r="D1153" t="inlineStr">
        <is>
          <t>Customer Survey</t>
        </is>
      </c>
      <c r="E1153" t="inlineStr">
        <is>
          <t>Enterprise</t>
        </is>
      </c>
      <c r="F1153" t="inlineStr">
        <is>
          <t>Enterprise</t>
        </is>
      </c>
      <c r="G1153" t="inlineStr">
        <is>
          <t>Workflow Automation</t>
        </is>
      </c>
      <c r="H1153" t="inlineStr">
        <is>
          <t>Usability Issue</t>
        </is>
      </c>
      <c r="I1153" t="inlineStr">
        <is>
          <t>FYI for the product team. The workflow editor is hard to follow once a flow has more than a handful of steps. So far 72 people on our side have reported it. Let us know if you need examples.</t>
        </is>
      </c>
      <c r="J1153" t="inlineStr">
        <is>
          <t>NEUTRAL</t>
        </is>
      </c>
      <c r="K1153" t="inlineStr">
        <is>
          <t>Medium</t>
        </is>
      </c>
      <c r="L1153" t="inlineStr">
        <is>
          <t>Workflow Slowdown</t>
        </is>
      </c>
    </row>
    <row r="1154">
      <c r="A1154" t="inlineStr">
        <is>
          <t>FB-01153</t>
        </is>
      </c>
      <c r="B1154" t="inlineStr">
        <is>
          <t>CUST-0077</t>
        </is>
      </c>
      <c r="C1154" t="inlineStr">
        <is>
          <t>2026-07-21</t>
        </is>
      </c>
      <c r="D1154" t="inlineStr">
        <is>
          <t>Support Ticket</t>
        </is>
      </c>
      <c r="E1154" t="inlineStr">
        <is>
          <t>Enterprise</t>
        </is>
      </c>
      <c r="F1154" t="inlineStr">
        <is>
          <t>Mid-Market</t>
        </is>
      </c>
      <c r="G1154" t="inlineStr">
        <is>
          <t>Integrations</t>
        </is>
      </c>
      <c r="H1154" t="inlineStr">
        <is>
          <t>Integration Issue</t>
        </is>
      </c>
      <c r="I1154" t="inlineStr">
        <is>
          <t>Recent updates have been a nice improvement. Our Outlook calendar sync keeps disconnecting and activities are missing from the contact timeline. It happens about 37 times a week for our team of 17.</t>
        </is>
      </c>
      <c r="J1154" t="inlineStr">
        <is>
          <t>Positive</t>
        </is>
      </c>
      <c r="K1154" t="inlineStr">
        <is>
          <t>Low</t>
        </is>
      </c>
      <c r="L1154" t="inlineStr">
        <is>
          <t>Workflow Slowdown</t>
        </is>
      </c>
    </row>
    <row r="1155">
      <c r="A1155" t="inlineStr">
        <is>
          <t>FB-01154</t>
        </is>
      </c>
      <c r="B1155" t="inlineStr">
        <is>
          <t>CUST-0299</t>
        </is>
      </c>
      <c r="C1155" t="inlineStr">
        <is>
          <t>2026-07-21</t>
        </is>
      </c>
      <c r="D1155" t="inlineStr">
        <is>
          <t>Feature Request</t>
        </is>
      </c>
      <c r="E1155" t="inlineStr">
        <is>
          <t>Professional</t>
        </is>
      </c>
      <c r="F1155" t="inlineStr">
        <is>
          <t>Mid-Market</t>
        </is>
      </c>
      <c r="G1155" t="inlineStr">
        <is>
          <t>Integrations</t>
        </is>
      </c>
      <c r="H1155" t="inlineStr">
        <is>
          <t>Feature Request</t>
        </is>
      </c>
      <c r="I1155" t="inlineStr">
        <is>
          <t>Overall we like the product. Lack of a native Slack integration is a gap versus other CRMs we evaluated. We estimate we lose roughly 42 hours a month on this. Happy to beta test.</t>
        </is>
      </c>
      <c r="J1155" t="inlineStr">
        <is>
          <t>Positive</t>
        </is>
      </c>
      <c r="K1155" t="inlineStr">
        <is>
          <t>Low</t>
        </is>
      </c>
      <c r="L1155" t="inlineStr">
        <is>
          <t>Minor Inconvenience</t>
        </is>
      </c>
    </row>
    <row r="1156">
      <c r="A1156" t="inlineStr">
        <is>
          <t>FB-01155</t>
        </is>
      </c>
      <c r="B1156" t="inlineStr">
        <is>
          <t>CUST-0002</t>
        </is>
      </c>
      <c r="C1156" t="inlineStr">
        <is>
          <t>2026-07-21</t>
        </is>
      </c>
      <c r="D1156" t="inlineStr">
        <is>
          <t>In-App Feedback</t>
        </is>
      </c>
      <c r="E1156" t="inlineStr">
        <is>
          <t>Starter</t>
        </is>
      </c>
      <c r="F1156" t="inlineStr">
        <is>
          <t>SMB</t>
        </is>
      </c>
      <c r="G1156" t="inlineStr">
        <is>
          <t>Integrations</t>
        </is>
      </c>
      <c r="H1156" t="inlineStr">
        <is>
          <t>Feature Request</t>
        </is>
      </c>
      <c r="I1156" t="inlineStr">
        <is>
          <t>Feedback from our monthly review. We would pay for a marketing automation connector instead of maintaining Zapier chains.</t>
        </is>
      </c>
      <c r="J1156" t="inlineStr">
        <is>
          <t>Neutral</t>
        </is>
      </c>
      <c r="K1156" t="inlineStr">
        <is>
          <t>Medium</t>
        </is>
      </c>
      <c r="L1156" t="inlineStr">
        <is>
          <t>Workflow Slowdown</t>
        </is>
      </c>
    </row>
    <row r="1157">
      <c r="A1157" t="inlineStr">
        <is>
          <t>FB-01156</t>
        </is>
      </c>
      <c r="B1157" t="inlineStr">
        <is>
          <t>CUST-0210</t>
        </is>
      </c>
      <c r="C1157" t="inlineStr">
        <is>
          <t>2026-07-22</t>
        </is>
      </c>
      <c r="D1157" t="inlineStr">
        <is>
          <t>Support Ticket</t>
        </is>
      </c>
      <c r="E1157" t="inlineStr">
        <is>
          <t>Professional</t>
        </is>
      </c>
      <c r="F1157" t="inlineStr">
        <is>
          <t>Mid-Market</t>
        </is>
      </c>
      <c r="G1157" t="inlineStr">
        <is>
          <t>Workflow Automation</t>
        </is>
      </c>
      <c r="H1157" t="inlineStr">
        <is>
          <t>Bug</t>
        </is>
      </c>
      <c r="I1157" t="inlineStr">
        <is>
          <t>We are hitting workflow runs failing silently: emails don't send and nobody gets notified. It affects our weekly pipeline review process every cycle. Happy to join a feedback call.</t>
        </is>
      </c>
      <c r="J1157" t="inlineStr">
        <is>
          <t>Neutral</t>
        </is>
      </c>
      <c r="K1157" t="inlineStr">
        <is>
          <t>High</t>
        </is>
      </c>
      <c r="L1157" t="inlineStr">
        <is>
          <t>Revenue/Operations Risk</t>
        </is>
      </c>
    </row>
    <row r="1158">
      <c r="A1158" t="inlineStr">
        <is>
          <t>FB-01157</t>
        </is>
      </c>
      <c r="B1158" t="inlineStr">
        <is>
          <t>CUST-0264</t>
        </is>
      </c>
      <c r="C1158" t="inlineStr">
        <is>
          <t>2026-07-22</t>
        </is>
      </c>
      <c r="D1158" t="inlineStr">
        <is>
          <t>In-App Feedback</t>
        </is>
      </c>
      <c r="E1158" t="inlineStr">
        <is>
          <t>Professional</t>
        </is>
      </c>
      <c r="F1158" t="inlineStr">
        <is>
          <t>Mid-Market</t>
        </is>
      </c>
      <c r="G1158" t="inlineStr">
        <is>
          <t>Reporting</t>
        </is>
      </c>
      <c r="H1158" t="inlineStr">
        <is>
          <t>Bug</t>
        </is>
      </c>
      <c r="I1158" t="inlineStr">
        <is>
          <t>Our Excel export drops formatting and shows dates as numbers. So far 46 people on our side have reported it. Let us know if you need examples.</t>
        </is>
      </c>
      <c r="J1158" t="inlineStr">
        <is>
          <t>Neutral</t>
        </is>
      </c>
      <c r="K1158" t="inlineStr">
        <is>
          <t>Medium</t>
        </is>
      </c>
      <c r="L1158" t="inlineStr">
        <is>
          <t>Workflow Slowdown</t>
        </is>
      </c>
    </row>
    <row r="1159">
      <c r="A1159" t="inlineStr">
        <is>
          <t>FB-01158</t>
        </is>
      </c>
      <c r="B1159" t="inlineStr">
        <is>
          <t>CUST-0381</t>
        </is>
      </c>
      <c r="C1159" t="inlineStr">
        <is>
          <t>2026-07-22</t>
        </is>
      </c>
      <c r="D1159" t="inlineStr">
        <is>
          <t>In-App Feedback</t>
        </is>
      </c>
      <c r="E1159" t="inlineStr">
        <is>
          <t>Professional</t>
        </is>
      </c>
      <c r="F1159" t="inlineStr">
        <is>
          <t>Mid-Market</t>
        </is>
      </c>
      <c r="G1159" t="inlineStr">
        <is>
          <t>Integrations</t>
        </is>
      </c>
      <c r="H1159" t="inlineStr">
        <is>
          <t>Integration Issue</t>
        </is>
      </c>
      <c r="I1159" t="inlineStr">
        <is>
          <t>Hard to debug: webhook delivery fail with vague error codes.</t>
        </is>
      </c>
      <c r="J1159" t="inlineStr">
        <is>
          <t>NEUTRAL</t>
        </is>
      </c>
      <c r="K1159" t="inlineStr">
        <is>
          <t>Low</t>
        </is>
      </c>
      <c r="L1159" t="inlineStr">
        <is>
          <t>Workflow Slowdown</t>
        </is>
      </c>
    </row>
    <row r="1160">
      <c r="A1160" t="inlineStr">
        <is>
          <t>FB-01159</t>
        </is>
      </c>
      <c r="B1160" t="inlineStr">
        <is>
          <t>CUST-0145</t>
        </is>
      </c>
      <c r="C1160" t="inlineStr">
        <is>
          <t>2026-07-22</t>
        </is>
      </c>
      <c r="D1160" t="inlineStr">
        <is>
          <t>In-App Feedback</t>
        </is>
      </c>
      <c r="E1160" t="inlineStr">
        <is>
          <t>Professional</t>
        </is>
      </c>
      <c r="F1160" t="inlineStr">
        <is>
          <t>SMB</t>
        </is>
      </c>
      <c r="G1160" t="inlineStr">
        <is>
          <t>Workflow Automation</t>
        </is>
      </c>
      <c r="H1160" t="inlineStr">
        <is>
          <t>Usability Issue</t>
        </is>
      </c>
      <c r="I1160" t="inlineStr">
        <is>
          <t>Raising this again after our last business review. The workflow editor doesn't let us copy steps between flows. It affects our quarterly planning process every cycle. Please look into it soon.</t>
        </is>
      </c>
      <c r="J1160" t="inlineStr">
        <is>
          <t>Negative</t>
        </is>
      </c>
      <c r="K1160" t="inlineStr">
        <is>
          <t>Medium</t>
        </is>
      </c>
      <c r="L1160" t="inlineStr">
        <is>
          <t>Minor Inconvenience</t>
        </is>
      </c>
    </row>
    <row r="1161">
      <c r="A1161" t="inlineStr">
        <is>
          <t>FB-01160</t>
        </is>
      </c>
      <c r="B1161" t="inlineStr">
        <is>
          <t>CUST-0185</t>
        </is>
      </c>
      <c r="C1161" t="inlineStr">
        <is>
          <t>2026-07-22</t>
        </is>
      </c>
      <c r="D1161" t="inlineStr">
        <is>
          <t>Support Ticket</t>
        </is>
      </c>
      <c r="E1161" t="inlineStr">
        <is>
          <t>Professional</t>
        </is>
      </c>
      <c r="F1161" t="inlineStr">
        <is>
          <t>Mid-Market</t>
        </is>
      </c>
      <c r="G1161" t="inlineStr">
        <is>
          <t>Reporting</t>
        </is>
      </c>
      <c r="H1161" t="inlineStr">
        <is>
          <t>Performance Issue</t>
        </is>
      </c>
      <c r="I1161" t="inlineStr">
        <is>
          <t>Frustrated with this one. Our dashboard refresh spins for a minute before showing any chart. Please look into it soon.</t>
        </is>
      </c>
      <c r="J1161" t="inlineStr">
        <is>
          <t>Negative</t>
        </is>
      </c>
      <c r="K1161" t="inlineStr">
        <is>
          <t xml:space="preserve"> Medium</t>
        </is>
      </c>
      <c r="L1161" t="inlineStr">
        <is>
          <t>Minor Inconvenience</t>
        </is>
      </c>
    </row>
    <row r="1162">
      <c r="A1162" t="inlineStr">
        <is>
          <t>FB-01161</t>
        </is>
      </c>
      <c r="B1162" t="inlineStr">
        <is>
          <t>CUST-0061</t>
        </is>
      </c>
      <c r="C1162" t="inlineStr">
        <is>
          <t>2026-07-23</t>
        </is>
      </c>
      <c r="D1162" t="inlineStr">
        <is>
          <t>In-App Feedback</t>
        </is>
      </c>
      <c r="E1162" t="inlineStr">
        <is>
          <t>Professional</t>
        </is>
      </c>
      <c r="F1162" t="inlineStr">
        <is>
          <t>Mid-Market</t>
        </is>
      </c>
      <c r="G1162" t="inlineStr">
        <is>
          <t>Integrations</t>
        </is>
      </c>
      <c r="H1162" t="inlineStr">
        <is>
          <t>Integration Issue</t>
        </is>
      </c>
      <c r="I1162" t="inlineStr">
        <is>
          <t>Overall we like the product. Reps no longer trust email sync, so they log activity by hand. We estimate we lose roughly 57 hours a month on this. Keep up the good work.</t>
        </is>
      </c>
      <c r="J1162" t="inlineStr">
        <is>
          <t>Positive</t>
        </is>
      </c>
      <c r="K1162" t="inlineStr">
        <is>
          <t>Medium</t>
        </is>
      </c>
      <c r="L1162" t="inlineStr">
        <is>
          <t>Workflow Slowdown</t>
        </is>
      </c>
    </row>
    <row r="1163">
      <c r="A1163" t="inlineStr">
        <is>
          <t>FB-01162</t>
        </is>
      </c>
      <c r="B1163" t="inlineStr">
        <is>
          <t>CUST-0204</t>
        </is>
      </c>
      <c r="C1163" t="inlineStr">
        <is>
          <t>2026-07-23</t>
        </is>
      </c>
      <c r="D1163" t="inlineStr">
        <is>
          <t>Support Ticket</t>
        </is>
      </c>
      <c r="E1163" t="inlineStr">
        <is>
          <t>Enterprise</t>
        </is>
      </c>
      <c r="F1163" t="inlineStr">
        <is>
          <t>Enterprise</t>
        </is>
      </c>
      <c r="G1163" t="inlineStr">
        <is>
          <t>Workflow Automation</t>
        </is>
      </c>
      <c r="H1163" t="inlineStr">
        <is>
          <t>Usability Issue</t>
        </is>
      </c>
      <c r="I1163" t="inlineStr">
        <is>
          <t>This has been a recurring problem for us. I can't tell what a branch does in the automation canvas without opening every node. It affects our quarterly planning process every cycle. Please look into it soon.</t>
        </is>
      </c>
      <c r="J1163" t="inlineStr">
        <is>
          <t>Negative</t>
        </is>
      </c>
      <c r="K1163" t="inlineStr">
        <is>
          <t>High</t>
        </is>
      </c>
      <c r="L1163" t="inlineStr">
        <is>
          <t>Blocks Key Task</t>
        </is>
      </c>
    </row>
    <row r="1164">
      <c r="A1164" t="inlineStr">
        <is>
          <t>FB-01163</t>
        </is>
      </c>
      <c r="B1164" t="inlineStr">
        <is>
          <t>CUST-0050</t>
        </is>
      </c>
      <c r="C1164" t="inlineStr">
        <is>
          <t>2026-07-24</t>
        </is>
      </c>
      <c r="D1164" t="inlineStr">
        <is>
          <t>In-App Feedback</t>
        </is>
      </c>
      <c r="E1164" t="inlineStr">
        <is>
          <t>Starter</t>
        </is>
      </c>
      <c r="F1164" t="inlineStr">
        <is>
          <t>Mid-Market</t>
        </is>
      </c>
      <c r="G1164" t="inlineStr">
        <is>
          <t>Workflow Automation</t>
        </is>
      </c>
      <c r="H1164" t="inlineStr">
        <is>
          <t>Feature Request</t>
        </is>
      </c>
      <c r="I1164" t="inlineStr">
        <is>
          <t>Feedback from our monthly review. We'd adopt automation faster with automation recipes we could customize. It affects our month-end reporting process every cycle.</t>
        </is>
      </c>
      <c r="J1164" t="inlineStr">
        <is>
          <t>Neutral</t>
        </is>
      </c>
      <c r="K1164" t="inlineStr">
        <is>
          <t>Medium</t>
        </is>
      </c>
      <c r="L1164" t="inlineStr">
        <is>
          <t>Workflow Slowdown</t>
        </is>
      </c>
    </row>
    <row r="1165">
      <c r="A1165" t="inlineStr">
        <is>
          <t>FB-01164</t>
        </is>
      </c>
      <c r="B1165" t="inlineStr">
        <is>
          <t>CUST-0030</t>
        </is>
      </c>
      <c r="C1165" t="inlineStr">
        <is>
          <t>2026-07-24</t>
        </is>
      </c>
      <c r="D1165" t="inlineStr">
        <is>
          <t>Customer Survey</t>
        </is>
      </c>
      <c r="E1165" t="inlineStr">
        <is>
          <t>Professional</t>
        </is>
      </c>
      <c r="F1165" t="inlineStr">
        <is>
          <t>Mid-Market</t>
        </is>
      </c>
      <c r="G1165" t="inlineStr">
        <is>
          <t>Lead Management</t>
        </is>
      </c>
      <c r="H1165" t="inlineStr">
        <is>
          <t>Usability Issue</t>
        </is>
      </c>
      <c r="I1165" t="inlineStr">
        <is>
          <t>Recent updates have been a nice improvement. We can't combine region and deal size in the round-robin lead assignment. It affects our lead handoff process every cycle. Happy to beta test.</t>
        </is>
      </c>
      <c r="J1165" t="inlineStr">
        <is>
          <t>Positive</t>
        </is>
      </c>
      <c r="K1165" t="inlineStr">
        <is>
          <t>Low</t>
        </is>
      </c>
      <c r="L1165" t="inlineStr">
        <is>
          <t>Minor Inconvenience</t>
        </is>
      </c>
    </row>
    <row r="1166">
      <c r="A1166" t="inlineStr">
        <is>
          <t>FB-01165</t>
        </is>
      </c>
      <c r="B1166" t="inlineStr">
        <is>
          <t>CUST-0072</t>
        </is>
      </c>
      <c r="C1166" t="inlineStr">
        <is>
          <t>2026-07-24</t>
        </is>
      </c>
      <c r="D1166" t="inlineStr">
        <is>
          <t>In-App Feedback</t>
        </is>
      </c>
      <c r="E1166" t="inlineStr">
        <is>
          <t>Starter</t>
        </is>
      </c>
      <c r="F1166" t="inlineStr">
        <is>
          <t>SMB</t>
        </is>
      </c>
      <c r="G1166" t="inlineStr">
        <is>
          <t>Contact Management</t>
        </is>
      </c>
      <c r="H1166" t="inlineStr">
        <is>
          <t>Bug</t>
        </is>
      </c>
      <c r="I1166" t="inlineStr">
        <is>
          <t>Overall we like the product. The import field mapping fails halfway through with a generic error and no row-level detail. Happy to beta test.</t>
        </is>
      </c>
      <c r="J1166" t="inlineStr">
        <is>
          <t>Positive</t>
        </is>
      </c>
      <c r="K1166" t="inlineStr">
        <is>
          <t>Low</t>
        </is>
      </c>
      <c r="L1166" t="inlineStr">
        <is>
          <t>Minor Inconvenience</t>
        </is>
      </c>
    </row>
    <row r="1167">
      <c r="A1167" t="inlineStr">
        <is>
          <t>FB-01166</t>
        </is>
      </c>
      <c r="B1167" t="inlineStr">
        <is>
          <t>CUST-0290</t>
        </is>
      </c>
      <c r="C1167" t="inlineStr">
        <is>
          <t>2026-07-24</t>
        </is>
      </c>
      <c r="D1167" t="inlineStr">
        <is>
          <t>Customer Survey</t>
        </is>
      </c>
      <c r="E1167" t="inlineStr">
        <is>
          <t>Starter</t>
        </is>
      </c>
      <c r="F1167" t="inlineStr">
        <is>
          <t xml:space="preserve"> SMB</t>
        </is>
      </c>
      <c r="G1167" t="inlineStr">
        <is>
          <t>User Interface</t>
        </is>
      </c>
      <c r="H1167" t="inlineStr">
        <is>
          <t>Feature Request</t>
        </is>
      </c>
      <c r="I1167" t="inlineStr">
        <is>
          <t>Happy with most of the product. Requesting mobile call logging so reps can log activity right after a meeting. It happens about 23 times a week for our team of 31. Keep up the good work.</t>
        </is>
      </c>
      <c r="J1167" t="inlineStr">
        <is>
          <t>Positive</t>
        </is>
      </c>
      <c r="K1167" t="inlineStr">
        <is>
          <t>Low</t>
        </is>
      </c>
      <c r="L1167" t="inlineStr">
        <is>
          <t>Workflow Slowdown</t>
        </is>
      </c>
    </row>
    <row r="1168">
      <c r="A1168" t="inlineStr">
        <is>
          <t>FB-01167</t>
        </is>
      </c>
      <c r="B1168" t="inlineStr">
        <is>
          <t>CUST-0145</t>
        </is>
      </c>
      <c r="C1168" t="inlineStr">
        <is>
          <t>2026-07-25</t>
        </is>
      </c>
      <c r="D1168" t="inlineStr">
        <is>
          <t>Feature Request</t>
        </is>
      </c>
      <c r="E1168" t="inlineStr">
        <is>
          <t>Professional</t>
        </is>
      </c>
      <c r="F1168" t="inlineStr">
        <is>
          <t>SMB</t>
        </is>
      </c>
      <c r="G1168" t="inlineStr">
        <is>
          <t>Reporting</t>
        </is>
      </c>
      <c r="H1168" t="inlineStr">
        <is>
          <t>Feature Request</t>
        </is>
      </c>
      <c r="I1168" t="inlineStr">
        <is>
          <t>Overall we like the product. Requesting quota tracking that updates as deal stages change. It affects our renewal process every cycle.</t>
        </is>
      </c>
      <c r="J1168" t="inlineStr">
        <is>
          <t>Positive</t>
        </is>
      </c>
      <c r="K1168" t="inlineStr">
        <is>
          <t>Low</t>
        </is>
      </c>
      <c r="L1168" t="inlineStr">
        <is>
          <t>Minor Inconvenience</t>
        </is>
      </c>
    </row>
    <row r="1169">
      <c r="A1169" t="inlineStr">
        <is>
          <t>FB-01168</t>
        </is>
      </c>
      <c r="B1169" t="inlineStr">
        <is>
          <t>CUST-0202</t>
        </is>
      </c>
      <c r="C1169" t="inlineStr">
        <is>
          <t>2026-07-25</t>
        </is>
      </c>
      <c r="D1169" t="inlineStr">
        <is>
          <t>Support Ticket</t>
        </is>
      </c>
      <c r="E1169" t="inlineStr">
        <is>
          <t>Enterprise</t>
        </is>
      </c>
      <c r="F1169" t="inlineStr">
        <is>
          <t>Enterprise</t>
        </is>
      </c>
      <c r="G1169" t="inlineStr">
        <is>
          <t>Workflow Automation</t>
        </is>
      </c>
      <c r="H1169" t="inlineStr">
        <is>
          <t>Feature Request</t>
        </is>
      </c>
      <c r="I1169" t="inlineStr">
        <is>
          <t>Great support experience recently. A library of workflow templates would cut our setup time. Keep up the good work.</t>
        </is>
      </c>
      <c r="J1169" t="inlineStr">
        <is>
          <t>Positive</t>
        </is>
      </c>
      <c r="K1169" t="inlineStr">
        <is>
          <t>High</t>
        </is>
      </c>
      <c r="L1169" t="inlineStr">
        <is>
          <t>Blocks Key Task</t>
        </is>
      </c>
    </row>
    <row r="1170">
      <c r="A1170" t="inlineStr">
        <is>
          <t>FB-01169</t>
        </is>
      </c>
      <c r="B1170" t="inlineStr">
        <is>
          <t>CUST-0314</t>
        </is>
      </c>
      <c r="C1170" t="inlineStr">
        <is>
          <t>2026-07-25</t>
        </is>
      </c>
      <c r="D1170" t="inlineStr">
        <is>
          <t>Customer Survey</t>
        </is>
      </c>
      <c r="E1170" t="inlineStr">
        <is>
          <t>Enterprise</t>
        </is>
      </c>
      <c r="F1170" t="inlineStr">
        <is>
          <t>Mid-Market</t>
        </is>
      </c>
      <c r="G1170" t="inlineStr">
        <is>
          <t>Workflow Automation</t>
        </is>
      </c>
      <c r="H1170" t="inlineStr">
        <is>
          <t>Usability Issue</t>
        </is>
      </c>
      <c r="I1170" t="inlineStr">
        <is>
          <t>Great support experience recently. The automation canvas doesn't let us copy steps between flows. It affects our onboarding process every cycle. Happy to beta test.</t>
        </is>
      </c>
      <c r="J1170" t="inlineStr">
        <is>
          <t>Positive</t>
        </is>
      </c>
      <c r="K1170" t="inlineStr">
        <is>
          <t>Medium</t>
        </is>
      </c>
      <c r="L1170" t="inlineStr">
        <is>
          <t>Blocks Key Task</t>
        </is>
      </c>
    </row>
    <row r="1171">
      <c r="A1171" t="inlineStr">
        <is>
          <t>FB-01170</t>
        </is>
      </c>
      <c r="B1171" t="inlineStr">
        <is>
          <t>CUST-0034</t>
        </is>
      </c>
      <c r="C1171" t="inlineStr">
        <is>
          <t>2026-07-26</t>
        </is>
      </c>
      <c r="D1171" t="inlineStr">
        <is>
          <t>Feature Request</t>
        </is>
      </c>
      <c r="E1171" t="inlineStr">
        <is>
          <t>Professional</t>
        </is>
      </c>
      <c r="F1171" t="inlineStr">
        <is>
          <t>Mid-Market</t>
        </is>
      </c>
      <c r="G1171" t="inlineStr">
        <is>
          <t>Lead Management</t>
        </is>
      </c>
      <c r="H1171" t="inlineStr">
        <is>
          <t>Feature Request</t>
        </is>
      </c>
      <c r="I1171" t="inlineStr">
        <is>
          <t>Sharing this from our team. Would love to see automated lead scoring that marketing and sales can both tune. We estimate we lose roughly 28 hours a month on this.</t>
        </is>
      </c>
      <c r="J1171" t="inlineStr">
        <is>
          <t>Neutral</t>
        </is>
      </c>
      <c r="K1171" t="inlineStr">
        <is>
          <t>Low</t>
        </is>
      </c>
      <c r="L1171" t="inlineStr">
        <is>
          <t>Minor Inconvenience</t>
        </is>
      </c>
    </row>
    <row r="1172">
      <c r="A1172" t="inlineStr">
        <is>
          <t>FB-01171</t>
        </is>
      </c>
      <c r="B1172" t="inlineStr">
        <is>
          <t>CUST-0051</t>
        </is>
      </c>
      <c r="C1172" t="inlineStr">
        <is>
          <t>2026-07-26</t>
        </is>
      </c>
      <c r="D1172" t="inlineStr">
        <is>
          <t>Support Ticket</t>
        </is>
      </c>
      <c r="E1172" t="inlineStr">
        <is>
          <t>Enterprise</t>
        </is>
      </c>
      <c r="F1172" t="inlineStr">
        <is>
          <t>Enterprise</t>
        </is>
      </c>
      <c r="G1172" t="inlineStr">
        <is>
          <t>Integrations</t>
        </is>
      </c>
      <c r="H1172" t="inlineStr">
        <is>
          <t>Integration Issue</t>
        </is>
      </c>
      <c r="I1172" t="inlineStr">
        <is>
          <t>We keep hitting API timeouts during nightly syncs with our data warehouse. So far 94 people on our side have reported it. Happy to join a feedback call.</t>
        </is>
      </c>
      <c r="J1172" t="inlineStr">
        <is>
          <t>Neutral</t>
        </is>
      </c>
      <c r="K1172" t="inlineStr">
        <is>
          <t>Medium</t>
        </is>
      </c>
      <c r="L1172" t="inlineStr">
        <is>
          <t>Blocks Key Task</t>
        </is>
      </c>
    </row>
    <row r="1173">
      <c r="A1173" t="inlineStr">
        <is>
          <t>FB-01172</t>
        </is>
      </c>
      <c r="B1173" t="inlineStr">
        <is>
          <t>CUST-0239</t>
        </is>
      </c>
      <c r="C1173" t="inlineStr">
        <is>
          <t>2026-07-26</t>
        </is>
      </c>
      <c r="D1173" t="inlineStr">
        <is>
          <t>Support Ticket</t>
        </is>
      </c>
      <c r="E1173" t="inlineStr">
        <is>
          <t>Professional</t>
        </is>
      </c>
      <c r="F1173" t="inlineStr">
        <is>
          <t>Mid-Market</t>
        </is>
      </c>
      <c r="G1173" t="inlineStr">
        <is>
          <t>Reporting</t>
        </is>
      </c>
      <c r="H1173" t="inlineStr">
        <is>
          <t>Bug</t>
        </is>
      </c>
      <c r="I1173" t="inlineStr">
        <is>
          <t>The report export cuts off rows after a few thousand records. We estimate we lose roughly 4 hours a month on this.</t>
        </is>
      </c>
      <c r="J1173" t="inlineStr">
        <is>
          <t>Negative</t>
        </is>
      </c>
      <c r="K1173" t="inlineStr">
        <is>
          <t>High</t>
        </is>
      </c>
      <c r="L1173" t="inlineStr">
        <is>
          <t>Blocks Key Task</t>
        </is>
      </c>
    </row>
    <row r="1174">
      <c r="A1174" t="inlineStr">
        <is>
          <t>FB-01173</t>
        </is>
      </c>
      <c r="B1174" t="inlineStr">
        <is>
          <t>CUST-0371</t>
        </is>
      </c>
      <c r="C1174" t="inlineStr">
        <is>
          <t>2026-07-27</t>
        </is>
      </c>
      <c r="D1174" t="inlineStr">
        <is>
          <t>Customer Survey</t>
        </is>
      </c>
      <c r="E1174" t="inlineStr">
        <is>
          <t>Enterprise</t>
        </is>
      </c>
      <c r="F1174" t="inlineStr">
        <is>
          <t>Enterprise</t>
        </is>
      </c>
      <c r="G1174" t="inlineStr">
        <is>
          <t>Lead Management</t>
        </is>
      </c>
      <c r="H1174" t="inlineStr">
        <is>
          <t>Usability Issue</t>
        </is>
      </c>
      <c r="I1174" t="inlineStr">
        <is>
          <t>This has been a recurring problem for us. The lead assignment settings are confusing and new leads sometimes sit unassigned over weekends. It affects our lead handoff process every cycle.</t>
        </is>
      </c>
      <c r="J1174" t="inlineStr">
        <is>
          <t>Negative</t>
        </is>
      </c>
      <c r="K1174" t="inlineStr">
        <is>
          <t>Low</t>
        </is>
      </c>
      <c r="L1174" t="inlineStr">
        <is>
          <t>Workflow Slowdown</t>
        </is>
      </c>
    </row>
    <row r="1175">
      <c r="A1175" t="inlineStr">
        <is>
          <t>FB-01174</t>
        </is>
      </c>
      <c r="B1175" t="inlineStr">
        <is>
          <t>CUST-0243</t>
        </is>
      </c>
      <c r="C1175" t="inlineStr">
        <is>
          <t>2026-07-27</t>
        </is>
      </c>
      <c r="D1175" t="inlineStr">
        <is>
          <t>In-App Feedback</t>
        </is>
      </c>
      <c r="E1175" t="inlineStr">
        <is>
          <t>Professional</t>
        </is>
      </c>
      <c r="F1175" t="inlineStr">
        <is>
          <t>SMB</t>
        </is>
      </c>
      <c r="G1175" t="inlineStr">
        <is>
          <t>Lead Management</t>
        </is>
      </c>
      <c r="H1175" t="inlineStr">
        <is>
          <t>Bug</t>
        </is>
      </c>
      <c r="I1175" t="inlineStr">
        <is>
          <t>We are seeing lead de-duplication failures when a lead arrives from both the website and a trade-show list.</t>
        </is>
      </c>
      <c r="J1175" t="inlineStr">
        <is>
          <t>Negative</t>
        </is>
      </c>
      <c r="K1175" t="inlineStr">
        <is>
          <t>Critical</t>
        </is>
      </c>
      <c r="L1175" t="inlineStr">
        <is>
          <t>Blocks Key Task</t>
        </is>
      </c>
    </row>
    <row r="1176">
      <c r="A1176" t="inlineStr">
        <is>
          <t>FB-01175</t>
        </is>
      </c>
      <c r="B1176" t="inlineStr">
        <is>
          <t>CUST-0413</t>
        </is>
      </c>
      <c r="C1176" t="inlineStr">
        <is>
          <t>28-Jul-2026</t>
        </is>
      </c>
      <c r="D1176" t="inlineStr">
        <is>
          <t>Support Ticket</t>
        </is>
      </c>
      <c r="E1176" t="inlineStr">
        <is>
          <t>Professional</t>
        </is>
      </c>
      <c r="F1176" t="inlineStr">
        <is>
          <t>SMB</t>
        </is>
      </c>
      <c r="G1176" t="inlineStr">
        <is>
          <t>Workflow Automation</t>
        </is>
      </c>
      <c r="H1176" t="inlineStr">
        <is>
          <t>Usability Issue</t>
        </is>
      </c>
      <c r="I1176" t="inlineStr">
        <is>
          <t>The workflow builder doesn't let us copy steps between flows. Our finance analyst flagged it while onboarding 74 new users. Happy to beta test.</t>
        </is>
      </c>
      <c r="J1176" t="inlineStr">
        <is>
          <t>Positive</t>
        </is>
      </c>
      <c r="K1176" t="inlineStr">
        <is>
          <t>High</t>
        </is>
      </c>
      <c r="L1176" t="inlineStr">
        <is>
          <t>Revenue/Operations Risk</t>
        </is>
      </c>
    </row>
    <row r="1177">
      <c r="A1177" t="inlineStr">
        <is>
          <t>FB-01176</t>
        </is>
      </c>
      <c r="B1177" t="inlineStr">
        <is>
          <t>CUST-0216</t>
        </is>
      </c>
      <c r="C1177" t="inlineStr">
        <is>
          <t>2026-07-28</t>
        </is>
      </c>
      <c r="D1177" t="inlineStr">
        <is>
          <t>Customer Survey</t>
        </is>
      </c>
      <c r="E1177" t="inlineStr">
        <is>
          <t>Starter</t>
        </is>
      </c>
      <c r="F1177" t="inlineStr">
        <is>
          <t>Mid-Market</t>
        </is>
      </c>
      <c r="G1177" t="inlineStr">
        <is>
          <t>Integrations</t>
        </is>
      </c>
      <c r="H1177" t="inlineStr">
        <is>
          <t>Integration Issue</t>
        </is>
      </c>
      <c r="I1177" t="inlineStr">
        <is>
          <t>The email sync duplicates meetings and misses replies. Happy to beta test.</t>
        </is>
      </c>
      <c r="J1177" t="inlineStr">
        <is>
          <t>Positive</t>
        </is>
      </c>
      <c r="K1177" t="inlineStr">
        <is>
          <t>Low</t>
        </is>
      </c>
      <c r="L1177" t="inlineStr">
        <is>
          <t>Minor Inconvenience</t>
        </is>
      </c>
    </row>
    <row r="1178">
      <c r="A1178" t="inlineStr">
        <is>
          <t>FB-01177</t>
        </is>
      </c>
      <c r="B1178" t="inlineStr">
        <is>
          <t>CUST-0288</t>
        </is>
      </c>
      <c r="C1178" t="inlineStr">
        <is>
          <t>2026-07-28</t>
        </is>
      </c>
      <c r="D1178" t="inlineStr">
        <is>
          <t>Customer Survey</t>
        </is>
      </c>
      <c r="E1178" t="inlineStr">
        <is>
          <t>Professional</t>
        </is>
      </c>
      <c r="F1178" t="inlineStr">
        <is>
          <t>Mid-Market</t>
        </is>
      </c>
      <c r="G1178" t="inlineStr">
        <is>
          <t>Contact Management</t>
        </is>
      </c>
      <c r="H1178" t="inlineStr">
        <is>
          <t>Feature Request</t>
        </is>
      </c>
      <c r="I1178" t="inlineStr">
        <is>
          <t>FYI for the product team. Please build a bulk contact merge with a preview of what will be combined.</t>
        </is>
      </c>
      <c r="J1178" t="inlineStr">
        <is>
          <t>Neutral</t>
        </is>
      </c>
      <c r="K1178" t="inlineStr">
        <is>
          <t>Low</t>
        </is>
      </c>
      <c r="L1178" t="inlineStr">
        <is>
          <t>Minor Inconvenience</t>
        </is>
      </c>
    </row>
    <row r="1179">
      <c r="A1179" t="inlineStr">
        <is>
          <t>FB-01178</t>
        </is>
      </c>
      <c r="B1179" t="inlineStr">
        <is>
          <t>CUST-0210</t>
        </is>
      </c>
      <c r="C1179" t="inlineStr">
        <is>
          <t>2026-07-28</t>
        </is>
      </c>
      <c r="D1179" t="inlineStr">
        <is>
          <t>Support Ticket</t>
        </is>
      </c>
      <c r="E1179" t="inlineStr">
        <is>
          <t>Professional</t>
        </is>
      </c>
      <c r="F1179" t="inlineStr">
        <is>
          <t>Mid-Market</t>
        </is>
      </c>
      <c r="G1179" t="inlineStr">
        <is>
          <t>Integrations</t>
        </is>
      </c>
      <c r="H1179" t="inlineStr">
        <is>
          <t>Integration Issue</t>
        </is>
      </c>
      <c r="I1179" t="inlineStr">
        <is>
          <t>Escalating on behalf of our ops lead. After the token expires, Outlook calendar sync stops with no warning. We need a fix before renewal.</t>
        </is>
      </c>
      <c r="J1179" t="inlineStr">
        <is>
          <t>Negative</t>
        </is>
      </c>
      <c r="K1179" t="inlineStr">
        <is>
          <t>High</t>
        </is>
      </c>
      <c r="L1179" t="inlineStr">
        <is>
          <t>Blocks Key Task</t>
        </is>
      </c>
    </row>
    <row r="1180">
      <c r="A1180" t="inlineStr">
        <is>
          <t>FB-01179</t>
        </is>
      </c>
      <c r="B1180" t="inlineStr">
        <is>
          <t>CUST-0012</t>
        </is>
      </c>
      <c r="C1180" t="inlineStr">
        <is>
          <t>2026-07-29</t>
        </is>
      </c>
      <c r="D1180" t="inlineStr">
        <is>
          <t>Feature Request</t>
        </is>
      </c>
      <c r="E1180" t="inlineStr">
        <is>
          <t>Enterprise</t>
        </is>
      </c>
      <c r="F1180" t="inlineStr">
        <is>
          <t>Enterprise</t>
        </is>
      </c>
      <c r="G1180" t="inlineStr">
        <is>
          <t>Lead Management</t>
        </is>
      </c>
      <c r="H1180" t="inlineStr">
        <is>
          <t>Feature Request</t>
        </is>
      </c>
      <c r="I1180" t="inlineStr">
        <is>
          <t>Quick note from our admin. Right now reps rank leads by gut feel; automated lead scoring would fix that. Our sales manager flagged it while onboarding 16 new users. Let us know if you need examples.</t>
        </is>
      </c>
      <c r="J1180" t="inlineStr">
        <is>
          <t>Neutral</t>
        </is>
      </c>
      <c r="K1180" t="inlineStr">
        <is>
          <t>High</t>
        </is>
      </c>
      <c r="L1180" t="inlineStr">
        <is>
          <t>Blocks Key Task</t>
        </is>
      </c>
    </row>
    <row r="1181">
      <c r="A1181" t="inlineStr">
        <is>
          <t>FB-01180</t>
        </is>
      </c>
      <c r="B1181" t="inlineStr">
        <is>
          <t>CUST-0087</t>
        </is>
      </c>
      <c r="C1181" t="inlineStr">
        <is>
          <t>2026-07-29</t>
        </is>
      </c>
      <c r="D1181" t="inlineStr">
        <is>
          <t>Feature Request</t>
        </is>
      </c>
      <c r="E1181" t="inlineStr">
        <is>
          <t>Professional</t>
        </is>
      </c>
      <c r="F1181" t="inlineStr">
        <is>
          <t>SMB</t>
        </is>
      </c>
      <c r="G1181" t="inlineStr">
        <is>
          <t>Contact Management</t>
        </is>
      </c>
      <c r="H1181" t="inlineStr">
        <is>
          <t>Feature Request</t>
        </is>
      </c>
      <c r="I1181" t="inlineStr">
        <is>
          <t>Please extend custom contact fields; the current limit is too small for our use case. So far 48 people on our side have reported it.</t>
        </is>
      </c>
      <c r="J1181" t="inlineStr">
        <is>
          <t>Negative</t>
        </is>
      </c>
      <c r="K1181" t="inlineStr">
        <is>
          <t>Medium</t>
        </is>
      </c>
      <c r="L1181" t="inlineStr">
        <is>
          <t>Workflow Slowdown</t>
        </is>
      </c>
    </row>
    <row r="1182">
      <c r="A1182" t="inlineStr">
        <is>
          <t>FB-01181</t>
        </is>
      </c>
      <c r="B1182" t="inlineStr">
        <is>
          <t>CUST-0051</t>
        </is>
      </c>
      <c r="C1182" t="inlineStr">
        <is>
          <t>2026-07-29</t>
        </is>
      </c>
      <c r="D1182" t="inlineStr">
        <is>
          <t>Support Ticket</t>
        </is>
      </c>
      <c r="E1182" t="inlineStr">
        <is>
          <t>Enterprise</t>
        </is>
      </c>
      <c r="F1182" t="inlineStr">
        <is>
          <t>Enterprise</t>
        </is>
      </c>
      <c r="G1182" t="inlineStr">
        <is>
          <t>Integrations</t>
        </is>
      </c>
      <c r="H1182" t="inlineStr">
        <is>
          <t>Integration Issue</t>
        </is>
      </c>
      <c r="I1182" t="inlineStr">
        <is>
          <t>Not what we expected for the price. Our Outlook calendar sync keeps disconnecting and activities are missing from the contact timeline. Our admin flagged it while onboarding 52 new users. Please look into it soon.</t>
        </is>
      </c>
      <c r="J1182" t="inlineStr">
        <is>
          <t>negative</t>
        </is>
      </c>
      <c r="K1182" t="inlineStr">
        <is>
          <t>Medium</t>
        </is>
      </c>
      <c r="L1182" t="inlineStr">
        <is>
          <t>Blocks Key Task</t>
        </is>
      </c>
    </row>
    <row r="1183">
      <c r="A1183" t="inlineStr">
        <is>
          <t>FB-01182</t>
        </is>
      </c>
      <c r="B1183" t="inlineStr">
        <is>
          <t>CUST-0148</t>
        </is>
      </c>
      <c r="C1183" t="inlineStr">
        <is>
          <t>2026-07-30</t>
        </is>
      </c>
      <c r="D1183" t="inlineStr">
        <is>
          <t>Customer Survey</t>
        </is>
      </c>
      <c r="E1183" t="inlineStr">
        <is>
          <t>Professional</t>
        </is>
      </c>
      <c r="F1183" t="inlineStr">
        <is>
          <t>Mid-Market</t>
        </is>
      </c>
      <c r="G1183" t="inlineStr">
        <is>
          <t>Contact Management</t>
        </is>
      </c>
      <c r="H1183" t="inlineStr">
        <is>
          <t>Feature Request</t>
        </is>
      </c>
      <c r="I1183" t="inlineStr">
        <is>
          <t>Quick note from our admin. Please extend a contact relationship hierarchy; the current limit is too small for our use case. We estimate we lose roughly 47 hours a month on this. Happy to join a feedback call.</t>
        </is>
      </c>
      <c r="J1183" t="inlineStr">
        <is>
          <t>Neutral</t>
        </is>
      </c>
      <c r="K1183" t="inlineStr">
        <is>
          <t>Low</t>
        </is>
      </c>
      <c r="L1183" t="inlineStr">
        <is>
          <t>Workflow Slowdown</t>
        </is>
      </c>
    </row>
    <row r="1184">
      <c r="A1184" t="inlineStr">
        <is>
          <t>FB-01183</t>
        </is>
      </c>
      <c r="B1184" t="inlineStr">
        <is>
          <t>CUST-0117</t>
        </is>
      </c>
      <c r="C1184" t="inlineStr">
        <is>
          <t>2026-07-30</t>
        </is>
      </c>
      <c r="D1184" t="inlineStr">
        <is>
          <t>In-App Feedback</t>
        </is>
      </c>
      <c r="E1184" t="inlineStr">
        <is>
          <t>Professional</t>
        </is>
      </c>
      <c r="F1184" t="inlineStr">
        <is>
          <t>Mid-Market</t>
        </is>
      </c>
      <c r="G1184" t="inlineStr">
        <is>
          <t>Reporting</t>
        </is>
      </c>
      <c r="H1184" t="inlineStr">
        <is>
          <t>Performance Issue</t>
        </is>
      </c>
      <c r="I1184" t="inlineStr">
        <is>
          <t>This has been a recurring problem for us. Execs gave up on the dashboard loading and ask for screenshots instead. Please look into it soon.</t>
        </is>
      </c>
      <c r="J1184" t="inlineStr">
        <is>
          <t xml:space="preserve">Negative </t>
        </is>
      </c>
      <c r="K1184" t="inlineStr">
        <is>
          <t>High</t>
        </is>
      </c>
      <c r="L1184" t="inlineStr">
        <is>
          <t>Workflow Slowdown</t>
        </is>
      </c>
    </row>
    <row r="1185">
      <c r="A1185" t="inlineStr">
        <is>
          <t>FB-01184</t>
        </is>
      </c>
      <c r="B1185" t="inlineStr">
        <is>
          <t>CUST-0376</t>
        </is>
      </c>
      <c r="C1185" t="inlineStr">
        <is>
          <t>2026-07-30</t>
        </is>
      </c>
      <c r="D1185" t="inlineStr">
        <is>
          <t>In-App Feedback</t>
        </is>
      </c>
      <c r="E1185" t="inlineStr">
        <is>
          <t>Professional</t>
        </is>
      </c>
      <c r="F1185" t="inlineStr">
        <is>
          <t>Enterprise</t>
        </is>
      </c>
      <c r="G1185" t="inlineStr">
        <is>
          <t>Contact Management</t>
        </is>
      </c>
      <c r="H1185" t="inlineStr">
        <is>
          <t>Bug</t>
        </is>
      </c>
      <c r="I1185" t="inlineStr">
        <is>
          <t>The contact CSV import rejects files with accented characters in names. So far 31 people on our side have reported it.</t>
        </is>
      </c>
      <c r="J1185" t="inlineStr">
        <is>
          <t>Neutral</t>
        </is>
      </c>
      <c r="K1185" t="inlineStr">
        <is>
          <t>Medium</t>
        </is>
      </c>
      <c r="L1185" t="inlineStr">
        <is>
          <t>Minor Inconvenience</t>
        </is>
      </c>
    </row>
    <row r="1186">
      <c r="A1186" t="inlineStr">
        <is>
          <t>FB-01185</t>
        </is>
      </c>
      <c r="B1186" t="inlineStr">
        <is>
          <t>CUST-0069</t>
        </is>
      </c>
      <c r="C1186" t="inlineStr">
        <is>
          <t>2026-07-30</t>
        </is>
      </c>
      <c r="D1186" t="inlineStr">
        <is>
          <t>Support Ticket</t>
        </is>
      </c>
      <c r="E1186" t="inlineStr">
        <is>
          <t>Starter</t>
        </is>
      </c>
      <c r="F1186" t="inlineStr">
        <is>
          <t>Mid-Market</t>
        </is>
      </c>
      <c r="G1186" t="inlineStr">
        <is>
          <t>Integrations</t>
        </is>
      </c>
      <c r="H1186" t="inlineStr">
        <is>
          <t>Integration Issue</t>
        </is>
      </c>
      <c r="I1186" t="inlineStr">
        <is>
          <t>Frustrated with this one. The Gmail sync duplicates meetings and misses replies. It affects our renewal process every cycle. We need a fix before renewal.</t>
        </is>
      </c>
      <c r="J1186" t="inlineStr">
        <is>
          <t>Negative</t>
        </is>
      </c>
      <c r="K1186" t="inlineStr">
        <is>
          <t>Low</t>
        </is>
      </c>
      <c r="L1186" t="inlineStr">
        <is>
          <t>Minor Inconvenience</t>
        </is>
      </c>
    </row>
    <row r="1187">
      <c r="A1187" t="inlineStr">
        <is>
          <t>FB-01186</t>
        </is>
      </c>
      <c r="B1187" t="inlineStr">
        <is>
          <t>CUST-0046</t>
        </is>
      </c>
      <c r="C1187" t="inlineStr">
        <is>
          <t>2026-07-30</t>
        </is>
      </c>
      <c r="D1187" t="inlineStr">
        <is>
          <t>Support Ticket</t>
        </is>
      </c>
      <c r="E1187" t="inlineStr">
        <is>
          <t>Professional</t>
        </is>
      </c>
      <c r="F1187" t="inlineStr">
        <is>
          <t>Mid-Market</t>
        </is>
      </c>
      <c r="G1187" t="inlineStr">
        <is>
          <t>Lead Management</t>
        </is>
      </c>
      <c r="H1187" t="inlineStr">
        <is>
          <t>Performance Issue</t>
        </is>
      </c>
      <c r="I1187" t="inlineStr">
        <is>
          <t>Complaint about lead list loading: the board freezes while cards render. It affects our renewal process every cycle.</t>
        </is>
      </c>
      <c r="J1187" t="inlineStr">
        <is>
          <t>Neutral</t>
        </is>
      </c>
      <c r="K1187" t="inlineStr">
        <is>
          <t>Medium</t>
        </is>
      </c>
      <c r="L1187" t="inlineStr">
        <is>
          <t>Workflow Slowdown</t>
        </is>
      </c>
    </row>
    <row r="1188">
      <c r="A1188" t="inlineStr">
        <is>
          <t>FB-01187</t>
        </is>
      </c>
      <c r="B1188" t="inlineStr">
        <is>
          <t>CUST-0295</t>
        </is>
      </c>
      <c r="C1188" t="inlineStr">
        <is>
          <t>2026-07-30</t>
        </is>
      </c>
      <c r="D1188" t="inlineStr">
        <is>
          <t>Feature Request</t>
        </is>
      </c>
      <c r="E1188" t="inlineStr">
        <is>
          <t>Starter</t>
        </is>
      </c>
      <c r="F1188" t="inlineStr">
        <is>
          <t>SMB</t>
        </is>
      </c>
      <c r="G1188" t="inlineStr">
        <is>
          <t>Workflow Automation</t>
        </is>
      </c>
      <c r="H1188" t="inlineStr">
        <is>
          <t>Feature Request</t>
        </is>
      </c>
      <c r="I1188" t="inlineStr">
        <is>
          <t>FYI for the product team. We'd adopt automation faster with workflow templates we could customize. It affects our lead handoff process every cycle. Happy to join a feedback call.</t>
        </is>
      </c>
      <c r="J1188" t="inlineStr">
        <is>
          <t>Neutral</t>
        </is>
      </c>
      <c r="K1188" t="inlineStr">
        <is>
          <t>Low</t>
        </is>
      </c>
      <c r="L1188" t="inlineStr">
        <is>
          <t>Minor Inconvenience</t>
        </is>
      </c>
    </row>
    <row r="1189">
      <c r="A1189" t="inlineStr">
        <is>
          <t>FB-01188</t>
        </is>
      </c>
      <c r="B1189" t="inlineStr">
        <is>
          <t>CUST-0151</t>
        </is>
      </c>
      <c r="C1189" t="inlineStr">
        <is>
          <t>2026-07-30</t>
        </is>
      </c>
      <c r="D1189" t="inlineStr">
        <is>
          <t>In-App Feedback</t>
        </is>
      </c>
      <c r="E1189" t="inlineStr">
        <is>
          <t>Starter</t>
        </is>
      </c>
      <c r="F1189" t="inlineStr">
        <is>
          <t>SMB</t>
        </is>
      </c>
      <c r="G1189" t="inlineStr">
        <is>
          <t xml:space="preserve">Lead Management </t>
        </is>
      </c>
      <c r="H1189" t="inlineStr">
        <is>
          <t>performance issue</t>
        </is>
      </c>
      <c r="I1189" t="inlineStr">
        <is>
          <t>Our lead view load times regularly exceeds ten seconds on Monday mornings. We estimate we lose roughly 10 hours a month on this. Support suggested logging it here.</t>
        </is>
      </c>
      <c r="J1189" t="inlineStr">
        <is>
          <t>Negative</t>
        </is>
      </c>
      <c r="K1189" t="inlineStr">
        <is>
          <t>Medium</t>
        </is>
      </c>
      <c r="L1189" t="inlineStr">
        <is>
          <t>Blocks Key Task</t>
        </is>
      </c>
    </row>
    <row r="1190">
      <c r="A1190" t="inlineStr">
        <is>
          <t>FB-01189</t>
        </is>
      </c>
      <c r="B1190" t="inlineStr">
        <is>
          <t>CUST-0284</t>
        </is>
      </c>
      <c r="C1190" t="inlineStr">
        <is>
          <t>2026-07-30</t>
        </is>
      </c>
      <c r="D1190" t="inlineStr">
        <is>
          <t>Feature Request</t>
        </is>
      </c>
      <c r="E1190" t="inlineStr">
        <is>
          <t>Enterprise</t>
        </is>
      </c>
      <c r="F1190" t="inlineStr">
        <is>
          <t>Enterprise</t>
        </is>
      </c>
      <c r="G1190" t="inlineStr">
        <is>
          <t>Lead Management</t>
        </is>
      </c>
      <c r="H1190" t="inlineStr">
        <is>
          <t>Feature Request</t>
        </is>
      </c>
      <c r="I1190" t="inlineStr">
        <is>
          <t>Would love to see automated lead scoring that marketing and sales can both tune. It affects our quarterly planning process every cycle. Happy to join a feedback call.</t>
        </is>
      </c>
      <c r="J1190" t="inlineStr">
        <is>
          <t>Neutral</t>
        </is>
      </c>
      <c r="K1190" t="inlineStr">
        <is>
          <t>Medium</t>
        </is>
      </c>
      <c r="L1190" t="inlineStr">
        <is>
          <t>Workflow Slowdown</t>
        </is>
      </c>
    </row>
    <row r="1191">
      <c r="A1191" t="inlineStr">
        <is>
          <t>FB-01190</t>
        </is>
      </c>
      <c r="B1191" t="inlineStr">
        <is>
          <t>CUST-0147</t>
        </is>
      </c>
      <c r="C1191" t="inlineStr">
        <is>
          <t>2026-07-30</t>
        </is>
      </c>
      <c r="D1191" t="inlineStr">
        <is>
          <t>Customer Survey</t>
        </is>
      </c>
      <c r="E1191" t="inlineStr">
        <is>
          <t>Enterprise</t>
        </is>
      </c>
      <c r="F1191" t="inlineStr">
        <is>
          <t>Enterprise</t>
        </is>
      </c>
      <c r="G1191" t="inlineStr">
        <is>
          <t>Workflow Automation</t>
        </is>
      </c>
      <c r="H1191" t="inlineStr">
        <is>
          <t>Usability Issue</t>
        </is>
      </c>
      <c r="I1191" t="inlineStr">
        <is>
          <t>Escalating on behalf of our ops lead. The automation canvas is hard to follow once a flow has more than a handful of steps. Our RevOps lead flagged it while onboarding 6 new users. Is there a workaround?</t>
        </is>
      </c>
      <c r="J1191" t="inlineStr">
        <is>
          <t>Negative</t>
        </is>
      </c>
      <c r="K1191" t="inlineStr">
        <is>
          <t>Low</t>
        </is>
      </c>
      <c r="L1191" t="inlineStr">
        <is>
          <t>Minor Inconvenience</t>
        </is>
      </c>
    </row>
    <row r="1192">
      <c r="A1192" t="inlineStr">
        <is>
          <t>FB-01191</t>
        </is>
      </c>
      <c r="B1192" t="inlineStr">
        <is>
          <t>CUST-0293</t>
        </is>
      </c>
      <c r="C1192" t="inlineStr">
        <is>
          <t>2026-07-31</t>
        </is>
      </c>
      <c r="D1192" t="inlineStr">
        <is>
          <t>Feature Request</t>
        </is>
      </c>
      <c r="E1192" t="inlineStr">
        <is>
          <t>Enterprise</t>
        </is>
      </c>
      <c r="F1192" t="inlineStr">
        <is>
          <t>Enterprise</t>
        </is>
      </c>
      <c r="G1192" t="inlineStr">
        <is>
          <t>Contact Management</t>
        </is>
      </c>
      <c r="H1192" t="inlineStr">
        <is>
          <t>Feature Request</t>
        </is>
      </c>
      <c r="I1192" t="inlineStr">
        <is>
          <t>Great support experience recently. Is there any plan for contact de-duplication tooling? Merging one record at a time is not realistic. We estimate we lose roughly 31 hours a month on this. Thanks to the team.</t>
        </is>
      </c>
      <c r="J1192" t="inlineStr">
        <is>
          <t>Positive</t>
        </is>
      </c>
      <c r="K1192" t="inlineStr">
        <is>
          <t>Low</t>
        </is>
      </c>
      <c r="L1192" t="inlineStr">
        <is>
          <t>Workflow Slowdown</t>
        </is>
      </c>
    </row>
    <row r="1193">
      <c r="A1193" t="inlineStr">
        <is>
          <t>FB-01192</t>
        </is>
      </c>
      <c r="B1193" t="inlineStr">
        <is>
          <t>CUST-0314</t>
        </is>
      </c>
      <c r="C1193" t="inlineStr">
        <is>
          <t>2026-07-31</t>
        </is>
      </c>
      <c r="D1193" t="inlineStr">
        <is>
          <t>Support Ticket</t>
        </is>
      </c>
      <c r="E1193" t="inlineStr">
        <is>
          <t>Enterprise</t>
        </is>
      </c>
      <c r="F1193" t="inlineStr">
        <is>
          <t>Mid-Market</t>
        </is>
      </c>
      <c r="G1193" t="inlineStr">
        <is>
          <t>Workflow Automation</t>
        </is>
      </c>
      <c r="H1193" t="inlineStr">
        <is>
          <t>Bug</t>
        </is>
      </c>
      <c r="I1193" t="inlineStr">
        <is>
          <t>Raising this again after our last business review. We found automation misfires only because a customer complained. Our finance analyst flagged it while onboarding 55 new users. Support suggested logging it here.</t>
        </is>
      </c>
      <c r="J1193" t="inlineStr">
        <is>
          <t>Negative</t>
        </is>
      </c>
      <c r="K1193" t="inlineStr">
        <is>
          <t>Medium</t>
        </is>
      </c>
      <c r="L1193" t="inlineStr">
        <is>
          <t>Minor Inconvenience</t>
        </is>
      </c>
    </row>
    <row r="1194">
      <c r="A1194" t="inlineStr">
        <is>
          <t>FB-01193</t>
        </is>
      </c>
      <c r="B1194" t="inlineStr">
        <is>
          <t>CUST-0188</t>
        </is>
      </c>
      <c r="C1194" t="inlineStr">
        <is>
          <t>2026-07-31</t>
        </is>
      </c>
      <c r="D1194" t="inlineStr">
        <is>
          <t>Support Ticket</t>
        </is>
      </c>
      <c r="E1194" t="inlineStr">
        <is>
          <t>Enterprise</t>
        </is>
      </c>
      <c r="F1194" t="inlineStr">
        <is>
          <t>Mid-Market</t>
        </is>
      </c>
      <c r="G1194" t="inlineStr">
        <is>
          <t>User Interface</t>
        </is>
      </c>
      <c r="H1194" t="inlineStr">
        <is>
          <t>Usability Issue</t>
        </is>
      </c>
      <c r="I1194" t="inlineStr">
        <is>
          <t>New hires get lost in the settings navigation; it takes weeks to learn. So far 17 people on our side have reported it. We need a fix before renewal.</t>
        </is>
      </c>
      <c r="J1194" t="inlineStr">
        <is>
          <t>Negative</t>
        </is>
      </c>
      <c r="K1194" t="inlineStr">
        <is>
          <t>Low</t>
        </is>
      </c>
      <c r="L1194" t="inlineStr">
        <is>
          <t>Workflow Slowdown</t>
        </is>
      </c>
    </row>
    <row r="1195">
      <c r="A1195" t="inlineStr">
        <is>
          <t>FB-01194</t>
        </is>
      </c>
      <c r="B1195" t="inlineStr">
        <is>
          <t>CUST-0128</t>
        </is>
      </c>
      <c r="C1195" t="inlineStr">
        <is>
          <t>2026-07-31</t>
        </is>
      </c>
      <c r="D1195" t="inlineStr">
        <is>
          <t>Customer Survey</t>
        </is>
      </c>
      <c r="E1195" t="inlineStr">
        <is>
          <t>Professional</t>
        </is>
      </c>
      <c r="F1195" t="inlineStr">
        <is>
          <t>SMB</t>
        </is>
      </c>
      <c r="G1195" t="inlineStr">
        <is>
          <t>User Interface</t>
        </is>
      </c>
      <c r="H1195" t="inlineStr">
        <is>
          <t>Feature Request</t>
        </is>
      </c>
      <c r="I1195" t="inlineStr">
        <is>
          <t>We lose notes whenever reps are away from a desk without a mobile app. Thanks to the team.</t>
        </is>
      </c>
      <c r="J1195" t="inlineStr">
        <is>
          <t>Positive</t>
        </is>
      </c>
      <c r="K1195" t="inlineStr">
        <is>
          <t>Low</t>
        </is>
      </c>
      <c r="L1195" t="inlineStr">
        <is>
          <t>Minor Inconvenience</t>
        </is>
      </c>
    </row>
    <row r="1196">
      <c r="A1196" t="inlineStr">
        <is>
          <t>FB-01195</t>
        </is>
      </c>
      <c r="B1196" t="inlineStr">
        <is>
          <t>CUST-0227</t>
        </is>
      </c>
      <c r="C1196" t="inlineStr">
        <is>
          <t>2026-07-31</t>
        </is>
      </c>
      <c r="D1196" t="inlineStr">
        <is>
          <t>Customer Survey</t>
        </is>
      </c>
      <c r="E1196" t="inlineStr">
        <is>
          <t>Enterprise</t>
        </is>
      </c>
      <c r="F1196" t="inlineStr">
        <is>
          <t>Enterprise</t>
        </is>
      </c>
      <c r="G1196" t="inlineStr">
        <is>
          <t>Workflow Automation</t>
        </is>
      </c>
      <c r="H1196" t="inlineStr">
        <is>
          <t>Bug</t>
        </is>
      </c>
      <c r="I1196" t="inlineStr">
        <is>
          <t>Our team keeps running into this. We are hitting workflow runs failing silently: emails don't send and nobody gets notified. We estimate we lose roughly 6 hours a month on this. Please look into it soon.</t>
        </is>
      </c>
      <c r="J1196" t="inlineStr">
        <is>
          <t>Negative</t>
        </is>
      </c>
      <c r="K1196" t="inlineStr">
        <is>
          <t>Medium</t>
        </is>
      </c>
      <c r="L1196" t="inlineStr">
        <is>
          <t>Workflow Slowdown</t>
        </is>
      </c>
    </row>
    <row r="1197">
      <c r="A1197" t="inlineStr">
        <is>
          <t>FB-01196</t>
        </is>
      </c>
      <c r="B1197" t="inlineStr">
        <is>
          <t>CUST-0252</t>
        </is>
      </c>
      <c r="C1197" t="inlineStr">
        <is>
          <t>2026-07-31</t>
        </is>
      </c>
      <c r="D1197" t="inlineStr">
        <is>
          <t>Customer Survey</t>
        </is>
      </c>
      <c r="E1197" t="inlineStr">
        <is>
          <t>Starter</t>
        </is>
      </c>
      <c r="F1197" t="inlineStr">
        <is>
          <t>SMB</t>
        </is>
      </c>
      <c r="G1197" t="inlineStr">
        <is>
          <t>Integrations</t>
        </is>
      </c>
      <c r="H1197" t="inlineStr">
        <is>
          <t>Feature Request</t>
        </is>
      </c>
      <c r="I1197" t="inlineStr">
        <is>
          <t>Please build a marketing automation connector; our team copies data across systems daily. So far 110 people on our side have reported it. Let us know if you need examples.</t>
        </is>
      </c>
      <c r="J1197" t="inlineStr">
        <is>
          <t>Neutral</t>
        </is>
      </c>
      <c r="K1197" t="inlineStr">
        <is>
          <t>Low</t>
        </is>
      </c>
      <c r="L1197" t="inlineStr">
        <is>
          <t>Minor Inconvenience</t>
        </is>
      </c>
    </row>
    <row r="1198">
      <c r="A1198" t="inlineStr">
        <is>
          <t>FB-01197</t>
        </is>
      </c>
      <c r="B1198" t="inlineStr">
        <is>
          <t>CUST-0384</t>
        </is>
      </c>
      <c r="C1198" t="inlineStr">
        <is>
          <t>2026-08-01</t>
        </is>
      </c>
      <c r="D1198" t="inlineStr">
        <is>
          <t>Support Ticket</t>
        </is>
      </c>
      <c r="E1198" t="inlineStr">
        <is>
          <t>Enterprise</t>
        </is>
      </c>
      <c r="F1198" t="inlineStr">
        <is>
          <t>Mid-Market</t>
        </is>
      </c>
      <c r="G1198" t="inlineStr">
        <is>
          <t>Reporting</t>
        </is>
      </c>
      <c r="H1198" t="inlineStr">
        <is>
          <t>Bug</t>
        </is>
      </c>
      <c r="I1198" t="inlineStr">
        <is>
          <t>Frustrated with this one. The CSV export of reports times out for date ranges longer than a quarter. So far 19 people on our side have reported it.</t>
        </is>
      </c>
      <c r="J1198" t="inlineStr">
        <is>
          <t>Negative</t>
        </is>
      </c>
      <c r="K1198" t="inlineStr">
        <is>
          <t>Critical</t>
        </is>
      </c>
      <c r="L1198" t="inlineStr">
        <is>
          <t>Blocks Key Task</t>
        </is>
      </c>
    </row>
    <row r="1199">
      <c r="A1199" t="inlineStr">
        <is>
          <t>FB-01198</t>
        </is>
      </c>
      <c r="B1199" t="inlineStr">
        <is>
          <t>CUST-0137</t>
        </is>
      </c>
      <c r="C1199" t="inlineStr">
        <is>
          <t>2026-08-01</t>
        </is>
      </c>
      <c r="D1199" t="inlineStr">
        <is>
          <t>Customer Survey</t>
        </is>
      </c>
      <c r="E1199" t="inlineStr">
        <is>
          <t>Starter</t>
        </is>
      </c>
      <c r="F1199" t="inlineStr">
        <is>
          <t>SMB</t>
        </is>
      </c>
      <c r="G1199" t="inlineStr">
        <is>
          <t>Workflow Automation</t>
        </is>
      </c>
      <c r="H1199" t="inlineStr">
        <is>
          <t>Feature Request</t>
        </is>
      </c>
      <c r="I1199" t="inlineStr">
        <is>
          <t>Noting this during onboarding. Please provide workflow templates for common processes like onboarding and renewals.</t>
        </is>
      </c>
      <c r="J1199" t="inlineStr">
        <is>
          <t>Neutral</t>
        </is>
      </c>
      <c r="K1199" t="inlineStr">
        <is>
          <t>Low</t>
        </is>
      </c>
      <c r="L1199" t="inlineStr">
        <is>
          <t>Minor Inconvenience</t>
        </is>
      </c>
    </row>
    <row r="1200">
      <c r="A1200" t="inlineStr">
        <is>
          <t>FB-01199</t>
        </is>
      </c>
      <c r="B1200" t="inlineStr">
        <is>
          <t>CUST-0380</t>
        </is>
      </c>
      <c r="C1200" t="inlineStr">
        <is>
          <t>2026-08-01</t>
        </is>
      </c>
      <c r="D1200" t="inlineStr">
        <is>
          <t>Feature Request</t>
        </is>
      </c>
      <c r="E1200" t="inlineStr">
        <is>
          <t>Professional</t>
        </is>
      </c>
      <c r="F1200" t="inlineStr">
        <is>
          <t>Mid-Market</t>
        </is>
      </c>
      <c r="G1200" t="inlineStr">
        <is>
          <t>Reporting</t>
        </is>
      </c>
      <c r="H1200" t="inlineStr">
        <is>
          <t>Feature Request</t>
        </is>
      </c>
      <c r="I1200" t="inlineStr">
        <is>
          <t>Great support experience recently. Requesting report scheduling so leadership gets numbers without logging in. Our customer success lead flagged it while onboarding 76 new users. Thanks to the team.</t>
        </is>
      </c>
      <c r="J1200" t="inlineStr">
        <is>
          <t>Positive</t>
        </is>
      </c>
      <c r="K1200" t="inlineStr">
        <is>
          <t>Low</t>
        </is>
      </c>
      <c r="L1200" t="inlineStr">
        <is>
          <t>Minor Inconvenience</t>
        </is>
      </c>
    </row>
    <row r="1201">
      <c r="A1201" t="inlineStr">
        <is>
          <t>FB-01200</t>
        </is>
      </c>
      <c r="B1201" t="inlineStr">
        <is>
          <t>CUST-0411</t>
        </is>
      </c>
      <c r="C1201" t="inlineStr">
        <is>
          <t>01-Aug-2026</t>
        </is>
      </c>
      <c r="D1201" t="inlineStr">
        <is>
          <t>In-App Feedback</t>
        </is>
      </c>
      <c r="E1201" t="inlineStr">
        <is>
          <t xml:space="preserve"> Starter</t>
        </is>
      </c>
      <c r="F1201" t="inlineStr">
        <is>
          <t>SMB</t>
        </is>
      </c>
      <c r="G1201" t="inlineStr">
        <is>
          <t>Lead Management</t>
        </is>
      </c>
      <c r="H1201" t="inlineStr">
        <is>
          <t>Feature Request</t>
        </is>
      </c>
      <c r="I1201" t="inlineStr">
        <is>
          <t>FYI for the product team. Would love to see a lead score model that marketing and sales can both tune.</t>
        </is>
      </c>
      <c r="J1201" t="inlineStr">
        <is>
          <t>Neutral</t>
        </is>
      </c>
      <c r="K1201" t="inlineStr">
        <is>
          <t>Low</t>
        </is>
      </c>
      <c r="L1201" t="inlineStr">
        <is>
          <t>Minor Inconvenience</t>
        </is>
      </c>
    </row>
    <row r="1202">
      <c r="A1202" t="inlineStr">
        <is>
          <t>FB-01201</t>
        </is>
      </c>
      <c r="B1202" t="inlineStr">
        <is>
          <t>CUST-0311</t>
        </is>
      </c>
      <c r="C1202" t="inlineStr">
        <is>
          <t>2026-08-01</t>
        </is>
      </c>
      <c r="D1202" t="inlineStr">
        <is>
          <t>Customer Survey</t>
        </is>
      </c>
      <c r="E1202" t="inlineStr">
        <is>
          <t>Starter</t>
        </is>
      </c>
      <c r="F1202" t="inlineStr">
        <is>
          <t>SMB</t>
        </is>
      </c>
      <c r="G1202" t="inlineStr">
        <is>
          <t>Lead Management</t>
        </is>
      </c>
      <c r="H1202" t="inlineStr">
        <is>
          <t>Feature Request</t>
        </is>
      </c>
      <c r="I1202" t="inlineStr">
        <is>
          <t>We need a lead score model so reps can focus on the prospects most likely to close. Thanks to the team.</t>
        </is>
      </c>
      <c r="J1202" t="inlineStr">
        <is>
          <t>Positive</t>
        </is>
      </c>
      <c r="K1202" t="inlineStr">
        <is>
          <t>Low</t>
        </is>
      </c>
      <c r="L1202" t="inlineStr">
        <is>
          <t>Workflow Slowdown</t>
        </is>
      </c>
    </row>
    <row r="1203">
      <c r="A1203" t="inlineStr">
        <is>
          <t>FB-01202</t>
        </is>
      </c>
      <c r="B1203" t="inlineStr">
        <is>
          <t>CUST-0090</t>
        </is>
      </c>
      <c r="C1203" t="inlineStr">
        <is>
          <t>2026-08-02</t>
        </is>
      </c>
      <c r="D1203" t="inlineStr">
        <is>
          <t>Support Ticket</t>
        </is>
      </c>
      <c r="E1203" t="inlineStr">
        <is>
          <t>Professional</t>
        </is>
      </c>
      <c r="F1203" t="inlineStr">
        <is>
          <t>SMB</t>
        </is>
      </c>
      <c r="G1203" t="inlineStr">
        <is>
          <t>Integrations</t>
        </is>
      </c>
      <c r="H1203" t="inlineStr">
        <is>
          <t>Integration Issue</t>
        </is>
      </c>
      <c r="I1203" t="inlineStr">
        <is>
          <t>Raising this again after our last business review. After the token expires, Outlook calendar sync stops with no warning. It happens about 29 times a week for our team of 88. Please look into it soon.</t>
        </is>
      </c>
      <c r="J1203" t="inlineStr">
        <is>
          <t>Negative</t>
        </is>
      </c>
      <c r="K1203" t="inlineStr">
        <is>
          <t>Low</t>
        </is>
      </c>
      <c r="L1203" t="inlineStr">
        <is>
          <t>Minor Inconvenience</t>
        </is>
      </c>
    </row>
    <row r="1204">
      <c r="A1204" t="inlineStr">
        <is>
          <t>FB-01203</t>
        </is>
      </c>
      <c r="B1204" t="inlineStr">
        <is>
          <t>CUST-0145</t>
        </is>
      </c>
      <c r="C1204" t="inlineStr">
        <is>
          <t>2026-08-02</t>
        </is>
      </c>
      <c r="D1204" t="inlineStr">
        <is>
          <t>Feature Request</t>
        </is>
      </c>
      <c r="E1204" t="inlineStr">
        <is>
          <t>Professional</t>
        </is>
      </c>
      <c r="F1204" t="inlineStr">
        <is>
          <t>SMB</t>
        </is>
      </c>
      <c r="G1204" t="inlineStr">
        <is>
          <t>Reporting</t>
        </is>
      </c>
      <c r="H1204" t="inlineStr">
        <is>
          <t>Feature Request</t>
        </is>
      </c>
      <c r="I1204" t="inlineStr">
        <is>
          <t>Requesting a custom report builder so leadership gets numbers without logging in. Our marketing ops owner flagged it while onboarding 95 new users. Happy to join a feedback call.</t>
        </is>
      </c>
      <c r="J1204" t="inlineStr">
        <is>
          <t>Neutral</t>
        </is>
      </c>
      <c r="K1204" t="inlineStr">
        <is>
          <t>Low</t>
        </is>
      </c>
      <c r="L1204" t="inlineStr">
        <is>
          <t>Minor Inconvenience</t>
        </is>
      </c>
    </row>
    <row r="1205">
      <c r="A1205" t="inlineStr">
        <is>
          <t>FB-01204</t>
        </is>
      </c>
      <c r="B1205" t="inlineStr">
        <is>
          <t>CUST-0262</t>
        </is>
      </c>
      <c r="C1205" t="inlineStr">
        <is>
          <t>2026-08-02</t>
        </is>
      </c>
      <c r="D1205" t="inlineStr">
        <is>
          <t>Support Ticket</t>
        </is>
      </c>
      <c r="E1205" t="inlineStr">
        <is>
          <t>Professional</t>
        </is>
      </c>
      <c r="F1205" t="inlineStr">
        <is>
          <t>Mid-Market</t>
        </is>
      </c>
      <c r="G1205" t="inlineStr">
        <is>
          <t>Contact Management</t>
        </is>
      </c>
      <c r="H1205" t="inlineStr">
        <is>
          <t>Feature Request</t>
        </is>
      </c>
      <c r="I1205" t="inlineStr">
        <is>
          <t>Recent updates have been a nice improvement. We need a tool to merge duplicate contacts because our database has years of overlapping records. Keep up the good work.</t>
        </is>
      </c>
      <c r="J1205" t="inlineStr">
        <is>
          <t>Positive</t>
        </is>
      </c>
      <c r="K1205" t="inlineStr">
        <is>
          <t>Low</t>
        </is>
      </c>
      <c r="L1205" t="inlineStr">
        <is>
          <t>Minor Inconvenience</t>
        </is>
      </c>
    </row>
    <row r="1206">
      <c r="A1206" t="inlineStr">
        <is>
          <t>FB-01205</t>
        </is>
      </c>
      <c r="B1206" t="inlineStr">
        <is>
          <t>CUST-0131</t>
        </is>
      </c>
      <c r="C1206" t="inlineStr">
        <is>
          <t>2026-08-02</t>
        </is>
      </c>
      <c r="D1206" t="inlineStr">
        <is>
          <t>Support Ticket</t>
        </is>
      </c>
      <c r="E1206" t="inlineStr">
        <is>
          <t>Starter</t>
        </is>
      </c>
      <c r="F1206" t="inlineStr">
        <is>
          <t>SMB</t>
        </is>
      </c>
      <c r="G1206" t="inlineStr">
        <is>
          <t>Lead Management</t>
        </is>
      </c>
      <c r="H1206" t="inlineStr">
        <is>
          <t>Bug</t>
        </is>
      </c>
      <c r="I1206" t="inlineStr">
        <is>
          <t>After every list import we find lead de-duplication failures that have to be cleaned up by hand. We estimate we lose roughly 41 hours a month on this. We need a fix before renewal.</t>
        </is>
      </c>
      <c r="J1206" t="inlineStr">
        <is>
          <t>Negative</t>
        </is>
      </c>
      <c r="K1206" t="inlineStr">
        <is>
          <t>High</t>
        </is>
      </c>
      <c r="L1206" t="inlineStr">
        <is>
          <t>Revenue/Operations Risk</t>
        </is>
      </c>
    </row>
    <row r="1207">
      <c r="A1207" t="inlineStr">
        <is>
          <t>FB-01206</t>
        </is>
      </c>
      <c r="B1207" t="inlineStr">
        <is>
          <t>CUST-0108</t>
        </is>
      </c>
      <c r="C1207" t="inlineStr">
        <is>
          <t>2026-08-02</t>
        </is>
      </c>
      <c r="D1207" t="inlineStr">
        <is>
          <t>In-App Feedback</t>
        </is>
      </c>
      <c r="E1207" t="inlineStr">
        <is>
          <t>Enterprise</t>
        </is>
      </c>
      <c r="F1207" t="inlineStr">
        <is>
          <t>Mid-Market</t>
        </is>
      </c>
      <c r="G1207" t="inlineStr">
        <is>
          <t>Lead Management</t>
        </is>
      </c>
      <c r="H1207" t="inlineStr">
        <is>
          <t>Feature Request</t>
        </is>
      </c>
      <c r="I1207" t="inlineStr">
        <is>
          <t>Please add automated lead scoring based on engagement, company size and recent activity. So far 103 people on our side have reported it. Support suggested logging it here.</t>
        </is>
      </c>
      <c r="J1207" t="inlineStr">
        <is>
          <t>Negative</t>
        </is>
      </c>
      <c r="K1207" t="inlineStr">
        <is>
          <t>Low</t>
        </is>
      </c>
      <c r="L1207" t="inlineStr">
        <is>
          <t>Minor Inconvenience</t>
        </is>
      </c>
    </row>
    <row r="1208">
      <c r="A1208" t="inlineStr">
        <is>
          <t>FB-01207</t>
        </is>
      </c>
      <c r="B1208" t="inlineStr">
        <is>
          <t>CUST-0136</t>
        </is>
      </c>
      <c r="C1208" t="inlineStr">
        <is>
          <t>2026-08-02</t>
        </is>
      </c>
      <c r="D1208" t="inlineStr">
        <is>
          <t>Support Ticket</t>
        </is>
      </c>
      <c r="E1208" t="inlineStr">
        <is>
          <t>Starter</t>
        </is>
      </c>
      <c r="F1208" t="inlineStr">
        <is>
          <t>SMB</t>
        </is>
      </c>
      <c r="G1208" t="inlineStr">
        <is>
          <t>Lead Management</t>
        </is>
      </c>
      <c r="H1208" t="inlineStr">
        <is>
          <t>Bug</t>
        </is>
      </c>
      <c r="I1208" t="inlineStr">
        <is>
          <t>There are duplicate lead records across our pipeline views and nobody knows which record is the source of truth. Is there a workaround?</t>
        </is>
      </c>
      <c r="J1208" t="inlineStr">
        <is>
          <t>Negative</t>
        </is>
      </c>
      <c r="K1208" t="inlineStr">
        <is>
          <t>Medium</t>
        </is>
      </c>
      <c r="L1208" t="inlineStr">
        <is>
          <t>Workflow Slowdown</t>
        </is>
      </c>
    </row>
    <row r="1209">
      <c r="A1209" t="inlineStr">
        <is>
          <t>FB-01208</t>
        </is>
      </c>
      <c r="B1209" t="inlineStr">
        <is>
          <t>CUST-0208</t>
        </is>
      </c>
      <c r="C1209" t="inlineStr">
        <is>
          <t>2026-08-02</t>
        </is>
      </c>
      <c r="D1209" t="inlineStr">
        <is>
          <t>In-App Feedback</t>
        </is>
      </c>
      <c r="E1209" t="inlineStr">
        <is>
          <t>Starter</t>
        </is>
      </c>
      <c r="F1209" t="inlineStr">
        <is>
          <t>SMB</t>
        </is>
      </c>
      <c r="G1209" t="inlineStr">
        <is>
          <t>Workflow Automation</t>
        </is>
      </c>
      <c r="H1209" t="inlineStr">
        <is>
          <t>Usability Issue</t>
        </is>
      </c>
      <c r="I1209" t="inlineStr">
        <is>
          <t>I can't tell what a branch does in the automation canvas without opening every node. It affects our onboarding process every cycle. Happy to join a feedback call.</t>
        </is>
      </c>
      <c r="J1209" t="inlineStr">
        <is>
          <t>Neutral</t>
        </is>
      </c>
      <c r="K1209" t="inlineStr">
        <is>
          <t>High</t>
        </is>
      </c>
      <c r="L1209" t="inlineStr">
        <is>
          <t>Blocks Key Task</t>
        </is>
      </c>
    </row>
    <row r="1210">
      <c r="A1210" t="inlineStr">
        <is>
          <t>FB-01209</t>
        </is>
      </c>
      <c r="B1210" t="inlineStr">
        <is>
          <t>CUST-0234</t>
        </is>
      </c>
      <c r="C1210" t="inlineStr">
        <is>
          <t>2026-08-02</t>
        </is>
      </c>
      <c r="D1210" t="inlineStr">
        <is>
          <t>Customer Survey</t>
        </is>
      </c>
      <c r="E1210" t="inlineStr">
        <is>
          <t>Enterprise</t>
        </is>
      </c>
      <c r="F1210" t="inlineStr">
        <is>
          <t>SMB</t>
        </is>
      </c>
      <c r="G1210" t="inlineStr">
        <is>
          <t>Workflow Automation</t>
        </is>
      </c>
      <c r="H1210" t="inlineStr">
        <is>
          <t>Usability Issue</t>
        </is>
      </c>
      <c r="I1210" t="inlineStr">
        <is>
          <t>I can't tell what a branch does in the workflow editor without opening every node. So far 17 people on our side have reported it. Keep up the good work.</t>
        </is>
      </c>
      <c r="J1210" t="inlineStr">
        <is>
          <t>Positive</t>
        </is>
      </c>
      <c r="K1210" t="inlineStr">
        <is>
          <t>Low</t>
        </is>
      </c>
      <c r="L1210" t="inlineStr">
        <is>
          <t>Minor Inconvenience</t>
        </is>
      </c>
    </row>
    <row r="1211">
      <c r="A1211" t="inlineStr">
        <is>
          <t>FB-01210</t>
        </is>
      </c>
      <c r="B1211" t="inlineStr">
        <is>
          <t>CUST-0300</t>
        </is>
      </c>
      <c r="C1211" t="inlineStr">
        <is>
          <t>2026-08-03</t>
        </is>
      </c>
      <c r="D1211" t="inlineStr">
        <is>
          <t>Feature Request</t>
        </is>
      </c>
      <c r="E1211" t="inlineStr">
        <is>
          <t>Professional</t>
        </is>
      </c>
      <c r="F1211" t="inlineStr">
        <is>
          <t>Mid-Market</t>
        </is>
      </c>
      <c r="G1211" t="inlineStr">
        <is>
          <t>User Interface</t>
        </is>
      </c>
      <c r="H1211" t="inlineStr">
        <is>
          <t>Feature Request</t>
        </is>
      </c>
      <c r="I1211" t="inlineStr">
        <is>
          <t>Requesting multi-select actions across every list view. Keep up the good work.</t>
        </is>
      </c>
      <c r="J1211" t="inlineStr">
        <is>
          <t>Positive</t>
        </is>
      </c>
      <c r="K1211" t="inlineStr">
        <is>
          <t>Low</t>
        </is>
      </c>
      <c r="L1211" t="inlineStr">
        <is>
          <t>Workflow Slowdown</t>
        </is>
      </c>
    </row>
    <row r="1212">
      <c r="A1212" t="inlineStr">
        <is>
          <t>FB-01211</t>
        </is>
      </c>
      <c r="B1212" t="inlineStr">
        <is>
          <t>CUST-0186</t>
        </is>
      </c>
      <c r="C1212" t="inlineStr">
        <is>
          <t>2026-08-03</t>
        </is>
      </c>
      <c r="D1212" t="inlineStr">
        <is>
          <t>Customer Survey</t>
        </is>
      </c>
      <c r="E1212" t="inlineStr">
        <is>
          <t>Professional</t>
        </is>
      </c>
      <c r="F1212" t="inlineStr">
        <is>
          <t>SMB</t>
        </is>
      </c>
      <c r="G1212" t="inlineStr">
        <is>
          <t>Lead Management</t>
        </is>
      </c>
      <c r="H1212" t="inlineStr">
        <is>
          <t xml:space="preserve">Bug </t>
        </is>
      </c>
      <c r="I1212" t="inlineStr">
        <is>
          <t>Raising this again after our last business review. There are duplicated leads across our pipeline views and nobody knows which record is the source of truth. Our sales manager flagged it while onboarding 28 new users. We need a fix before renewal.</t>
        </is>
      </c>
      <c r="J1212" t="inlineStr">
        <is>
          <t>Negative</t>
        </is>
      </c>
      <c r="K1212" t="inlineStr">
        <is>
          <t>Critical</t>
        </is>
      </c>
      <c r="L1212" t="inlineStr">
        <is>
          <t>Blocks Key Task</t>
        </is>
      </c>
    </row>
    <row r="1213">
      <c r="A1213" t="inlineStr">
        <is>
          <t>FB-01212</t>
        </is>
      </c>
      <c r="B1213" t="inlineStr">
        <is>
          <t>CUST-0051</t>
        </is>
      </c>
      <c r="C1213" t="inlineStr">
        <is>
          <t>2026-08-03</t>
        </is>
      </c>
      <c r="D1213" t="inlineStr">
        <is>
          <t>Feature Request</t>
        </is>
      </c>
      <c r="E1213" t="inlineStr">
        <is>
          <t>Enterprise</t>
        </is>
      </c>
      <c r="F1213" t="inlineStr">
        <is>
          <t>Enterprise</t>
        </is>
      </c>
      <c r="G1213" t="inlineStr">
        <is>
          <t>Reporting</t>
        </is>
      </c>
      <c r="H1213" t="inlineStr">
        <is>
          <t>Feature Request</t>
        </is>
      </c>
      <c r="I1213" t="inlineStr">
        <is>
          <t>Without a custom report builder we export raw data and rebuild everything elsewhere.</t>
        </is>
      </c>
      <c r="J1213" t="inlineStr">
        <is>
          <t>Negative</t>
        </is>
      </c>
      <c r="K1213" t="inlineStr">
        <is>
          <t>High</t>
        </is>
      </c>
      <c r="L1213" t="inlineStr">
        <is>
          <t>Minor Inconvenience</t>
        </is>
      </c>
    </row>
    <row r="1214">
      <c r="A1214" t="inlineStr">
        <is>
          <t>FB-01213</t>
        </is>
      </c>
      <c r="B1214" t="inlineStr">
        <is>
          <t>CUST-0232</t>
        </is>
      </c>
      <c r="C1214" t="inlineStr">
        <is>
          <t>2026-08-04</t>
        </is>
      </c>
      <c r="D1214" t="inlineStr">
        <is>
          <t xml:space="preserve">Feature Request </t>
        </is>
      </c>
      <c r="E1214" t="inlineStr">
        <is>
          <t>Enterprise</t>
        </is>
      </c>
      <c r="F1214" t="inlineStr">
        <is>
          <t>Mid-Market</t>
        </is>
      </c>
      <c r="G1214" t="inlineStr">
        <is>
          <t>Integrations</t>
        </is>
      </c>
      <c r="H1214" t="inlineStr">
        <is>
          <t>Feature Request</t>
        </is>
      </c>
      <c r="I1214" t="inlineStr">
        <is>
          <t>Raising this again after our last business review. Please add SCIM provisioning; managing users by hand does not scale. We estimate we lose roughly 23 hours a month on this.</t>
        </is>
      </c>
      <c r="J1214" t="inlineStr">
        <is>
          <t>Negative</t>
        </is>
      </c>
      <c r="K1214" t="inlineStr">
        <is>
          <t>High</t>
        </is>
      </c>
      <c r="L1214" t="inlineStr">
        <is>
          <t>Workflow Slowdown</t>
        </is>
      </c>
    </row>
    <row r="1215">
      <c r="A1215" t="inlineStr">
        <is>
          <t>FB-01214</t>
        </is>
      </c>
      <c r="B1215" t="inlineStr">
        <is>
          <t>CUST-0129</t>
        </is>
      </c>
      <c r="C1215" t="inlineStr">
        <is>
          <t>2026-08-04</t>
        </is>
      </c>
      <c r="D1215" t="inlineStr">
        <is>
          <t>In-App Feedback</t>
        </is>
      </c>
      <c r="E1215" t="inlineStr">
        <is>
          <t>Professional</t>
        </is>
      </c>
      <c r="F1215" t="inlineStr">
        <is>
          <t>Enterprise</t>
        </is>
      </c>
      <c r="G1215" t="inlineStr">
        <is>
          <t>Contact Management</t>
        </is>
      </c>
      <c r="H1215" t="inlineStr">
        <is>
          <t>Feature Request</t>
        </is>
      </c>
      <c r="I1215" t="inlineStr">
        <is>
          <t>We need contact de-duplication tooling because our database has years of overlapping records. So far 101 people on our side have reported it.</t>
        </is>
      </c>
      <c r="J1215" t="inlineStr">
        <is>
          <t>Neutral</t>
        </is>
      </c>
      <c r="K1215" t="inlineStr">
        <is>
          <t>Critical</t>
        </is>
      </c>
      <c r="L1215" t="inlineStr">
        <is>
          <t>Blocks Key Task</t>
        </is>
      </c>
    </row>
    <row r="1216">
      <c r="A1216" t="inlineStr">
        <is>
          <t>FB-01215</t>
        </is>
      </c>
      <c r="B1216" t="inlineStr">
        <is>
          <t>CUST-0208</t>
        </is>
      </c>
      <c r="C1216" t="inlineStr">
        <is>
          <t>2026-08-05</t>
        </is>
      </c>
      <c r="D1216" t="inlineStr">
        <is>
          <t>Customer Survey</t>
        </is>
      </c>
      <c r="E1216" t="inlineStr">
        <is>
          <t>Starter</t>
        </is>
      </c>
      <c r="F1216" t="inlineStr">
        <is>
          <t>SMB</t>
        </is>
      </c>
      <c r="G1216" t="inlineStr">
        <is>
          <t>Lead Management</t>
        </is>
      </c>
      <c r="H1216" t="inlineStr">
        <is>
          <t>Usability Issue</t>
        </is>
      </c>
      <c r="I1216" t="inlineStr">
        <is>
          <t>Feedback from our monthly review. The lead assignment settings are confusing and new leads sometimes sit unassigned over weekends. Our RevOps lead flagged it while onboarding 106 new users.</t>
        </is>
      </c>
      <c r="J1216" t="inlineStr">
        <is>
          <t>Neutral</t>
        </is>
      </c>
      <c r="K1216" t="inlineStr">
        <is>
          <t>Low</t>
        </is>
      </c>
      <c r="L1216" t="inlineStr">
        <is>
          <t>Minor Inconvenience</t>
        </is>
      </c>
    </row>
    <row r="1217">
      <c r="A1217" t="inlineStr">
        <is>
          <t>FB-01216</t>
        </is>
      </c>
      <c r="B1217" t="inlineStr">
        <is>
          <t>CUST-0297</t>
        </is>
      </c>
      <c r="C1217" t="inlineStr">
        <is>
          <t>2026-08-05</t>
        </is>
      </c>
      <c r="D1217" t="inlineStr">
        <is>
          <t>In-App Feedback</t>
        </is>
      </c>
      <c r="E1217" t="inlineStr">
        <is>
          <t>Professional</t>
        </is>
      </c>
      <c r="F1217" t="inlineStr">
        <is>
          <t>Mid-Market</t>
        </is>
      </c>
      <c r="G1217" t="inlineStr">
        <is>
          <t>Integrations</t>
        </is>
      </c>
      <c r="H1217" t="inlineStr">
        <is>
          <t>Feature Request</t>
        </is>
      </c>
      <c r="I1217" t="inlineStr">
        <is>
          <t>Requesting a native accounting integration to remove manual re-entry. It happens about 34 times a week for our team of 43. Happy to join a feedback call.</t>
        </is>
      </c>
      <c r="J1217" t="inlineStr">
        <is>
          <t>Neutral</t>
        </is>
      </c>
      <c r="K1217" t="inlineStr">
        <is>
          <t>Medium</t>
        </is>
      </c>
      <c r="L1217" t="inlineStr">
        <is>
          <t>Revenue/Operations Risk</t>
        </is>
      </c>
    </row>
    <row r="1218">
      <c r="A1218" t="inlineStr">
        <is>
          <t>FB-01217</t>
        </is>
      </c>
      <c r="B1218" t="inlineStr">
        <is>
          <t>CUST-0334</t>
        </is>
      </c>
      <c r="C1218" t="inlineStr">
        <is>
          <t>2026-08-05</t>
        </is>
      </c>
      <c r="D1218" t="inlineStr">
        <is>
          <t>Feature Request</t>
        </is>
      </c>
      <c r="E1218" t="inlineStr">
        <is>
          <t>Enterprise</t>
        </is>
      </c>
      <c r="F1218" t="inlineStr">
        <is>
          <t>SMB</t>
        </is>
      </c>
      <c r="G1218" t="inlineStr">
        <is>
          <t>Lead Management</t>
        </is>
      </c>
      <c r="H1218" t="inlineStr">
        <is>
          <t>Feature Request</t>
        </is>
      </c>
      <c r="I1218" t="inlineStr">
        <is>
          <t>Would love to see lead scoring rules that marketing and sales can both tune. It affects our renewal process every cycle.</t>
        </is>
      </c>
      <c r="J1218" t="inlineStr">
        <is>
          <t>Positive</t>
        </is>
      </c>
      <c r="K1218" t="inlineStr">
        <is>
          <t>Low</t>
        </is>
      </c>
      <c r="L1218" t="inlineStr">
        <is>
          <t>Minor Inconvenience</t>
        </is>
      </c>
    </row>
    <row r="1219">
      <c r="A1219" t="inlineStr">
        <is>
          <t>FB-01218</t>
        </is>
      </c>
      <c r="B1219" t="inlineStr">
        <is>
          <t>CUST-0377</t>
        </is>
      </c>
      <c r="C1219" t="inlineStr">
        <is>
          <t>2026-08-05</t>
        </is>
      </c>
      <c r="D1219" t="inlineStr">
        <is>
          <t>Support Ticket</t>
        </is>
      </c>
      <c r="E1219" t="inlineStr">
        <is>
          <t>Enterprise</t>
        </is>
      </c>
      <c r="F1219" t="inlineStr">
        <is>
          <t>Mid-Market</t>
        </is>
      </c>
      <c r="G1219" t="inlineStr">
        <is>
          <t>Reporting</t>
        </is>
      </c>
      <c r="H1219" t="inlineStr">
        <is>
          <t>Bug</t>
        </is>
      </c>
      <c r="I1219" t="inlineStr">
        <is>
          <t>Our team keeps running into this. Finance can't rely on the report export; totals don't match the screen. We estimate we lose roughly 26 hours a month on this. Please look into it soon.</t>
        </is>
      </c>
      <c r="J1219" t="inlineStr">
        <is>
          <t>Negative</t>
        </is>
      </c>
      <c r="K1219" t="inlineStr">
        <is>
          <t>Medium</t>
        </is>
      </c>
      <c r="L1219" t="inlineStr">
        <is>
          <t>Workflow Slowdown</t>
        </is>
      </c>
    </row>
    <row r="1220">
      <c r="A1220" t="inlineStr">
        <is>
          <t>FB-01219</t>
        </is>
      </c>
      <c r="B1220" t="inlineStr">
        <is>
          <t>CUST-0258</t>
        </is>
      </c>
      <c r="C1220" t="inlineStr">
        <is>
          <t>2026-08-06</t>
        </is>
      </c>
      <c r="D1220" t="inlineStr">
        <is>
          <t>Customer Survey</t>
        </is>
      </c>
      <c r="E1220" t="inlineStr">
        <is>
          <t>Professional</t>
        </is>
      </c>
      <c r="F1220" t="inlineStr">
        <is>
          <t>Mid-Market</t>
        </is>
      </c>
      <c r="G1220" t="inlineStr">
        <is>
          <t>Integrations</t>
        </is>
      </c>
      <c r="H1220" t="inlineStr">
        <is>
          <t>Integration Issue</t>
        </is>
      </c>
      <c r="I1220" t="inlineStr">
        <is>
          <t>Feedback from our monthly review. We keep hitting webhook delivery during nightly syncs with our data warehouse. Let us know if you need examples.</t>
        </is>
      </c>
      <c r="J1220" t="inlineStr">
        <is>
          <t>Neutral</t>
        </is>
      </c>
      <c r="K1220" t="inlineStr">
        <is>
          <t>Low</t>
        </is>
      </c>
      <c r="L1220" t="inlineStr">
        <is>
          <t>Blocks Key Task</t>
        </is>
      </c>
    </row>
    <row r="1221">
      <c r="A1221" t="inlineStr">
        <is>
          <t>FB-01220</t>
        </is>
      </c>
      <c r="B1221" t="inlineStr">
        <is>
          <t>CUST-0303</t>
        </is>
      </c>
      <c r="C1221" t="inlineStr">
        <is>
          <t>2026-08-06</t>
        </is>
      </c>
      <c r="D1221" t="inlineStr">
        <is>
          <t>Customer Survey</t>
        </is>
      </c>
      <c r="E1221" t="inlineStr">
        <is>
          <t>Professional</t>
        </is>
      </c>
      <c r="F1221" t="inlineStr">
        <is>
          <t>ENTERPRISE</t>
        </is>
      </c>
      <c r="G1221" t="inlineStr">
        <is>
          <t>Reporting</t>
        </is>
      </c>
      <c r="H1221" t="inlineStr">
        <is>
          <t>Feature Request</t>
        </is>
      </c>
      <c r="I1221" t="inlineStr">
        <is>
          <t>Feedback from our monthly review. Without scheduled report emails we export raw data and rebuild everything elsewhere. Our admin flagged it while onboarding 62 new users. Let us know if you need examples.</t>
        </is>
      </c>
      <c r="J1221" t="inlineStr">
        <is>
          <t>Neutral</t>
        </is>
      </c>
      <c r="K1221" t="inlineStr">
        <is>
          <t>High</t>
        </is>
      </c>
      <c r="L1221" t="inlineStr">
        <is>
          <t>Revenue/Operations Risk</t>
        </is>
      </c>
    </row>
    <row r="1222">
      <c r="A1222" t="inlineStr">
        <is>
          <t>FB-01221</t>
        </is>
      </c>
      <c r="B1222" t="inlineStr">
        <is>
          <t>CUST-0382</t>
        </is>
      </c>
      <c r="C1222" t="inlineStr">
        <is>
          <t>2026-08-06</t>
        </is>
      </c>
      <c r="D1222" t="inlineStr">
        <is>
          <t>Support Ticket</t>
        </is>
      </c>
      <c r="E1222" t="inlineStr">
        <is>
          <t>Starter</t>
        </is>
      </c>
      <c r="F1222" t="inlineStr">
        <is>
          <t>SMB</t>
        </is>
      </c>
      <c r="G1222" t="inlineStr">
        <is>
          <t>Contact Management</t>
        </is>
      </c>
      <c r="H1222" t="inlineStr">
        <is>
          <t xml:space="preserve"> Bug</t>
        </is>
      </c>
      <c r="I1222" t="inlineStr">
        <is>
          <t>Noting this during onboarding. Our contact CSV import scrambles phone and email columns even after we map them correctly. Let us know if you need examples.</t>
        </is>
      </c>
      <c r="J1222" t="inlineStr">
        <is>
          <t>NEUTRAL</t>
        </is>
      </c>
      <c r="K1222" t="inlineStr">
        <is>
          <t>Medium</t>
        </is>
      </c>
      <c r="L1222" t="inlineStr">
        <is>
          <t>Minor Inconvenience</t>
        </is>
      </c>
    </row>
    <row r="1223">
      <c r="A1223" t="inlineStr">
        <is>
          <t>FB-01222</t>
        </is>
      </c>
      <c r="B1223" t="inlineStr">
        <is>
          <t>CUST-0409</t>
        </is>
      </c>
      <c r="C1223" t="inlineStr">
        <is>
          <t>2026-08-07</t>
        </is>
      </c>
      <c r="D1223" t="inlineStr">
        <is>
          <t>Support Ticket</t>
        </is>
      </c>
      <c r="E1223" t="inlineStr">
        <is>
          <t>Starter</t>
        </is>
      </c>
      <c r="F1223" t="inlineStr">
        <is>
          <t>SMB</t>
        </is>
      </c>
      <c r="G1223" t="inlineStr">
        <is>
          <t>Integrations</t>
        </is>
      </c>
      <c r="H1223" t="inlineStr">
        <is>
          <t>Integration Issue</t>
        </is>
      </c>
      <c r="I1223" t="inlineStr">
        <is>
          <t>Our team keeps running into this. The Outlook calendar sync duplicates meetings and misses replies.</t>
        </is>
      </c>
      <c r="J1223" t="inlineStr">
        <is>
          <t>Negative</t>
        </is>
      </c>
      <c r="K1223" t="inlineStr">
        <is>
          <t>High</t>
        </is>
      </c>
      <c r="L1223" t="inlineStr">
        <is>
          <t>Blocks Key Task</t>
        </is>
      </c>
    </row>
    <row r="1224">
      <c r="A1224" t="inlineStr">
        <is>
          <t>FB-01223</t>
        </is>
      </c>
      <c r="B1224" t="inlineStr">
        <is>
          <t>CUST-0365</t>
        </is>
      </c>
      <c r="C1224" t="inlineStr">
        <is>
          <t>2026-08-07</t>
        </is>
      </c>
      <c r="D1224" t="inlineStr">
        <is>
          <t>In-App Feedback</t>
        </is>
      </c>
      <c r="E1224" t="inlineStr">
        <is>
          <t>Starter</t>
        </is>
      </c>
      <c r="F1224" t="inlineStr">
        <is>
          <t>SMB</t>
        </is>
      </c>
      <c r="G1224" t="inlineStr">
        <is>
          <t>User Interface</t>
        </is>
      </c>
      <c r="H1224" t="inlineStr">
        <is>
          <t>Performance Issue</t>
        </is>
      </c>
      <c r="I1224" t="inlineStr">
        <is>
          <t>Page lag makes data entry frustrating during live calls. It affects our renewal process every cycle. We need a fix before renewal.</t>
        </is>
      </c>
      <c r="J1224" t="inlineStr">
        <is>
          <t>Negative</t>
        </is>
      </c>
      <c r="K1224" t="inlineStr">
        <is>
          <t>High</t>
        </is>
      </c>
      <c r="L1224" t="inlineStr">
        <is>
          <t>Workflow Slowdown</t>
        </is>
      </c>
    </row>
    <row r="1225">
      <c r="A1225" t="inlineStr">
        <is>
          <t>FB-01224</t>
        </is>
      </c>
      <c r="B1225" t="inlineStr">
        <is>
          <t>CUST-0408</t>
        </is>
      </c>
      <c r="C1225" t="inlineStr">
        <is>
          <t>07-Aug-2026</t>
        </is>
      </c>
      <c r="D1225" t="inlineStr">
        <is>
          <t>Support Ticket</t>
        </is>
      </c>
      <c r="E1225" t="inlineStr">
        <is>
          <t>Starter</t>
        </is>
      </c>
      <c r="F1225" t="inlineStr">
        <is>
          <t>SMB</t>
        </is>
      </c>
      <c r="G1225" t="inlineStr">
        <is>
          <t>Lead Management</t>
        </is>
      </c>
      <c r="H1225" t="inlineStr">
        <is>
          <t>Performance Issue</t>
        </is>
      </c>
      <c r="I1225" t="inlineStr">
        <is>
          <t>Reps have stopped using the board because of pipeline board loading. So far 17 people on our side have reported it. Let us know if you need examples.</t>
        </is>
      </c>
      <c r="J1225" t="inlineStr">
        <is>
          <t>Neutral</t>
        </is>
      </c>
      <c r="K1225" t="inlineStr">
        <is>
          <t>Low</t>
        </is>
      </c>
      <c r="L1225" t="inlineStr">
        <is>
          <t>Minor Inconvenience</t>
        </is>
      </c>
    </row>
    <row r="1226">
      <c r="A1226" t="inlineStr">
        <is>
          <t>FB-01225</t>
        </is>
      </c>
      <c r="B1226" t="inlineStr">
        <is>
          <t>CUST-0410</t>
        </is>
      </c>
      <c r="C1226" t="inlineStr">
        <is>
          <t>2026-08-07</t>
        </is>
      </c>
      <c r="D1226" t="inlineStr">
        <is>
          <t>Support Ticket</t>
        </is>
      </c>
      <c r="E1226" t="inlineStr">
        <is>
          <t>Professional</t>
        </is>
      </c>
      <c r="F1226" t="inlineStr">
        <is>
          <t>Enterprise</t>
        </is>
      </c>
      <c r="G1226" t="inlineStr">
        <is>
          <t>User Interface</t>
        </is>
      </c>
      <c r="H1226" t="inlineStr">
        <is>
          <t>Performance Issue</t>
        </is>
      </c>
      <c r="I1226" t="inlineStr">
        <is>
          <t>Noting this during onboarding. UI freezing makes data entry frustrating during live calls. It happens about 36 times a week for our team of 45. Happy to join a feedback call.</t>
        </is>
      </c>
      <c r="J1226" t="inlineStr">
        <is>
          <t>Neutral</t>
        </is>
      </c>
      <c r="K1226" t="inlineStr">
        <is>
          <t>Medium</t>
        </is>
      </c>
      <c r="L1226" t="inlineStr">
        <is>
          <t>Workflow Slowdown</t>
        </is>
      </c>
    </row>
    <row r="1227">
      <c r="A1227" t="inlineStr">
        <is>
          <t>FB-01226</t>
        </is>
      </c>
      <c r="B1227" t="inlineStr">
        <is>
          <t>CUST-0114</t>
        </is>
      </c>
      <c r="C1227" t="inlineStr">
        <is>
          <t>2026-08-07</t>
        </is>
      </c>
      <c r="D1227" t="inlineStr">
        <is>
          <t>In-App Feedback</t>
        </is>
      </c>
      <c r="E1227" t="inlineStr">
        <is>
          <t>Professional</t>
        </is>
      </c>
      <c r="F1227" t="inlineStr">
        <is>
          <t>Mid-Market</t>
        </is>
      </c>
      <c r="G1227" t="inlineStr">
        <is>
          <t>Lead Management</t>
        </is>
      </c>
      <c r="H1227" t="inlineStr">
        <is>
          <t>Usability Issue</t>
        </is>
      </c>
      <c r="I1227" t="inlineStr">
        <is>
          <t>Noting this during onboarding. The lead assignment settings are confusing and new leads sometimes sit unassigned over weekends. We estimate we lose roughly 20 hours a month on this.</t>
        </is>
      </c>
      <c r="J1227" t="inlineStr">
        <is>
          <t>Neutral</t>
        </is>
      </c>
      <c r="K1227" t="inlineStr">
        <is>
          <t>Low</t>
        </is>
      </c>
      <c r="L1227" t="inlineStr">
        <is>
          <t>Minor Inconvenience</t>
        </is>
      </c>
    </row>
    <row r="1228">
      <c r="A1228" t="inlineStr">
        <is>
          <t>FB-01227</t>
        </is>
      </c>
      <c r="B1228" t="inlineStr">
        <is>
          <t>CUST-0208</t>
        </is>
      </c>
      <c r="C1228" t="inlineStr">
        <is>
          <t>2026-08-07</t>
        </is>
      </c>
      <c r="D1228" t="inlineStr">
        <is>
          <t>In-App Feedback</t>
        </is>
      </c>
      <c r="E1228" t="inlineStr">
        <is>
          <t>Starter</t>
        </is>
      </c>
      <c r="F1228" t="inlineStr">
        <is>
          <t>SMB</t>
        </is>
      </c>
      <c r="G1228" t="inlineStr">
        <is>
          <t>Contact Management</t>
        </is>
      </c>
      <c r="H1228" t="inlineStr">
        <is>
          <t>Feature Request</t>
        </is>
      </c>
      <c r="I1228" t="inlineStr">
        <is>
          <t>Please build contact de-duplication tooling with a preview of what will be combined. It affects our renewal process every cycle.</t>
        </is>
      </c>
      <c r="J1228" t="inlineStr">
        <is>
          <t>Neutral</t>
        </is>
      </c>
      <c r="K1228" t="inlineStr">
        <is>
          <t>Low</t>
        </is>
      </c>
      <c r="L1228" t="inlineStr">
        <is>
          <t>Workflow Slowdown</t>
        </is>
      </c>
    </row>
    <row r="1229">
      <c r="A1229" t="inlineStr">
        <is>
          <t>FB-01228</t>
        </is>
      </c>
      <c r="B1229" t="inlineStr">
        <is>
          <t>CUST-0412</t>
        </is>
      </c>
      <c r="C1229" t="inlineStr">
        <is>
          <t>2026-08-07</t>
        </is>
      </c>
      <c r="D1229" t="inlineStr">
        <is>
          <t>In-App Feedback</t>
        </is>
      </c>
      <c r="E1229" t="inlineStr">
        <is>
          <t>Professional</t>
        </is>
      </c>
      <c r="F1229" t="inlineStr">
        <is>
          <t>Mid-Market</t>
        </is>
      </c>
      <c r="G1229" t="inlineStr">
        <is>
          <t>User Interface</t>
        </is>
      </c>
      <c r="H1229" t="inlineStr">
        <is>
          <t>Feature Request</t>
        </is>
      </c>
      <c r="I1229" t="inlineStr">
        <is>
          <t>Noting this during onboarding. Admins ask for bulk edit actions every time we reorganize territories.</t>
        </is>
      </c>
      <c r="J1229" t="inlineStr">
        <is>
          <t>Neutral</t>
        </is>
      </c>
      <c r="K1229" t="inlineStr">
        <is>
          <t>Low</t>
        </is>
      </c>
      <c r="L1229" t="inlineStr">
        <is>
          <t>Minor Inconvenience</t>
        </is>
      </c>
    </row>
    <row r="1230">
      <c r="A1230" t="inlineStr">
        <is>
          <t>FB-01229</t>
        </is>
      </c>
      <c r="B1230" t="inlineStr">
        <is>
          <t>CUST-0295</t>
        </is>
      </c>
      <c r="C1230" t="inlineStr">
        <is>
          <t>2026-08-08</t>
        </is>
      </c>
      <c r="D1230" t="inlineStr">
        <is>
          <t>In-App Feedback</t>
        </is>
      </c>
      <c r="E1230" t="inlineStr">
        <is>
          <t>Starter</t>
        </is>
      </c>
      <c r="F1230" t="inlineStr">
        <is>
          <t>SMB</t>
        </is>
      </c>
      <c r="G1230" t="inlineStr">
        <is>
          <t>Contact Management</t>
        </is>
      </c>
      <c r="H1230" t="inlineStr">
        <is>
          <t>Feature Request</t>
        </is>
      </c>
      <c r="I1230" t="inlineStr">
        <is>
          <t>Feedback from our monthly review. Please extend custom contact fields; the current limit is too small for our use case. Our admin flagged it while onboarding 85 new users. Let us know if you need examples.</t>
        </is>
      </c>
      <c r="J1230" t="inlineStr">
        <is>
          <t>Neutral</t>
        </is>
      </c>
      <c r="K1230" t="inlineStr">
        <is>
          <t>Low</t>
        </is>
      </c>
      <c r="L1230" t="inlineStr">
        <is>
          <t>Minor Inconvenience</t>
        </is>
      </c>
    </row>
    <row r="1231">
      <c r="A1231" t="inlineStr">
        <is>
          <t>FB-01230</t>
        </is>
      </c>
      <c r="B1231" t="inlineStr">
        <is>
          <t>CUST-0315</t>
        </is>
      </c>
      <c r="C1231" t="inlineStr">
        <is>
          <t>2026-08-08</t>
        </is>
      </c>
      <c r="D1231" t="inlineStr">
        <is>
          <t>In-App Feedback</t>
        </is>
      </c>
      <c r="E1231" t="inlineStr">
        <is>
          <t>Professional</t>
        </is>
      </c>
      <c r="F1231" t="inlineStr">
        <is>
          <t>SMB</t>
        </is>
      </c>
      <c r="G1231" t="inlineStr">
        <is>
          <t>Reporting</t>
        </is>
      </c>
      <c r="H1231" t="inlineStr">
        <is>
          <t>Performance Issue</t>
        </is>
      </c>
      <c r="I1231" t="inlineStr">
        <is>
          <t>Raising this again after our last business review. The dashboard loading is painfully slow with a full year of data. We estimate we lose roughly 26 hours a month on this.</t>
        </is>
      </c>
      <c r="J1231" t="inlineStr">
        <is>
          <t>Negative</t>
        </is>
      </c>
      <c r="K1231" t="inlineStr">
        <is>
          <t>Medium</t>
        </is>
      </c>
      <c r="L1231" t="inlineStr">
        <is>
          <t>Minor Inconvenience</t>
        </is>
      </c>
    </row>
    <row r="1232">
      <c r="A1232" t="inlineStr">
        <is>
          <t>FB-01231</t>
        </is>
      </c>
      <c r="B1232" t="inlineStr">
        <is>
          <t>CUST-0017</t>
        </is>
      </c>
      <c r="C1232" t="inlineStr">
        <is>
          <t>2026-08-08</t>
        </is>
      </c>
      <c r="D1232" t="inlineStr">
        <is>
          <t>Feature Request</t>
        </is>
      </c>
      <c r="E1232" t="inlineStr">
        <is>
          <t>Starter</t>
        </is>
      </c>
      <c r="F1232" t="inlineStr">
        <is>
          <t>Mid-Market</t>
        </is>
      </c>
      <c r="G1232" t="inlineStr">
        <is>
          <t>Lead Management</t>
        </is>
      </c>
      <c r="H1232" t="inlineStr">
        <is>
          <t>Feature Request</t>
        </is>
      </c>
      <c r="I1232" t="inlineStr">
        <is>
          <t>Sharing this from our team. We need automated lead scoring so reps can focus on the prospects most likely to close. We estimate we lose roughly 3 hours a month on this. Let us know if you need examples.</t>
        </is>
      </c>
      <c r="J1232" t="inlineStr">
        <is>
          <t>Neutral</t>
        </is>
      </c>
      <c r="K1232" t="inlineStr">
        <is>
          <t>Low</t>
        </is>
      </c>
      <c r="L1232" t="inlineStr">
        <is>
          <t>Minor Inconvenience</t>
        </is>
      </c>
    </row>
    <row r="1233">
      <c r="A1233" t="inlineStr">
        <is>
          <t>FB-01232</t>
        </is>
      </c>
      <c r="B1233" t="inlineStr">
        <is>
          <t>CUST-0202</t>
        </is>
      </c>
      <c r="C1233" t="inlineStr">
        <is>
          <t>2026-08-08</t>
        </is>
      </c>
      <c r="D1233" t="inlineStr">
        <is>
          <t>In-App Feedback</t>
        </is>
      </c>
      <c r="E1233" t="inlineStr">
        <is>
          <t>Enterprise</t>
        </is>
      </c>
      <c r="F1233" t="inlineStr">
        <is>
          <t>Enterprise</t>
        </is>
      </c>
      <c r="G1233" t="inlineStr">
        <is>
          <t>Workflow Automation</t>
        </is>
      </c>
      <c r="H1233" t="inlineStr">
        <is>
          <t>Usability Issue</t>
        </is>
      </c>
      <c r="I1233" t="inlineStr">
        <is>
          <t>I can't tell what a branch does in the automation canvas without opening every node. It happens about 29 times a week for our team of 98.</t>
        </is>
      </c>
      <c r="J1233" t="inlineStr">
        <is>
          <t>Neutral</t>
        </is>
      </c>
      <c r="K1233" t="inlineStr">
        <is>
          <t>High</t>
        </is>
      </c>
      <c r="L1233" t="inlineStr">
        <is>
          <t>Workflow Slowdown</t>
        </is>
      </c>
    </row>
    <row r="1234">
      <c r="A1234" t="inlineStr">
        <is>
          <t>FB-01233</t>
        </is>
      </c>
      <c r="B1234" t="inlineStr">
        <is>
          <t>CUST-0380</t>
        </is>
      </c>
      <c r="C1234" t="inlineStr">
        <is>
          <t>2026-08-08</t>
        </is>
      </c>
      <c r="D1234" t="inlineStr">
        <is>
          <t>Customer Survey</t>
        </is>
      </c>
      <c r="E1234" t="inlineStr">
        <is>
          <t>Professional</t>
        </is>
      </c>
      <c r="F1234" t="inlineStr">
        <is>
          <t>Mid-Market</t>
        </is>
      </c>
      <c r="G1234" t="inlineStr">
        <is>
          <t>Contact Management</t>
        </is>
      </c>
      <c r="H1234" t="inlineStr">
        <is>
          <t>Bug</t>
        </is>
      </c>
      <c r="I1234" t="inlineStr">
        <is>
          <t>Our spreadsheet import scrambles phone and email columns even after we map them correctly. It affects our weekly pipeline review process every cycle.</t>
        </is>
      </c>
      <c r="J1234" t="inlineStr">
        <is>
          <t xml:space="preserve">Negative </t>
        </is>
      </c>
      <c r="K1234" t="inlineStr">
        <is>
          <t>Medium</t>
        </is>
      </c>
      <c r="L1234" t="inlineStr">
        <is>
          <t>Workflow Slowdown</t>
        </is>
      </c>
    </row>
    <row r="1235">
      <c r="A1235" t="inlineStr">
        <is>
          <t>FB-01234</t>
        </is>
      </c>
      <c r="B1235" t="inlineStr">
        <is>
          <t>CUST-0420</t>
        </is>
      </c>
      <c r="C1235" t="inlineStr">
        <is>
          <t>2026-08-09</t>
        </is>
      </c>
      <c r="D1235" t="inlineStr">
        <is>
          <t>Support Ticket</t>
        </is>
      </c>
      <c r="E1235" t="inlineStr">
        <is>
          <t>Enterprise</t>
        </is>
      </c>
      <c r="F1235" t="inlineStr">
        <is>
          <t>Enterprise</t>
        </is>
      </c>
      <c r="G1235" t="inlineStr">
        <is>
          <t>Contact Management</t>
        </is>
      </c>
      <c r="H1235" t="inlineStr">
        <is>
          <t>Performance Issue</t>
        </is>
      </c>
      <c r="I1235" t="inlineStr">
        <is>
          <t>Raising this again after our last business review. The saved contact filters times out on our largest accounts. So far 54 people on our side have reported it. Please look into it soon.</t>
        </is>
      </c>
      <c r="J1235" t="inlineStr">
        <is>
          <t>Negative</t>
        </is>
      </c>
      <c r="K1235" t="inlineStr">
        <is>
          <t>Medium</t>
        </is>
      </c>
      <c r="L1235" t="inlineStr">
        <is>
          <t>Blocks Key Task</t>
        </is>
      </c>
    </row>
    <row r="1236">
      <c r="A1236" t="inlineStr">
        <is>
          <t>FB-01235</t>
        </is>
      </c>
      <c r="B1236" t="inlineStr">
        <is>
          <t>CUST-0308</t>
        </is>
      </c>
      <c r="C1236" t="inlineStr">
        <is>
          <t>2026-08-09</t>
        </is>
      </c>
      <c r="D1236" t="inlineStr">
        <is>
          <t>Support Ticket</t>
        </is>
      </c>
      <c r="E1236" t="inlineStr">
        <is>
          <t>Professional</t>
        </is>
      </c>
      <c r="F1236" t="inlineStr">
        <is>
          <t>SMB</t>
        </is>
      </c>
      <c r="G1236" t="inlineStr">
        <is>
          <t>Integrations</t>
        </is>
      </c>
      <c r="H1236" t="inlineStr">
        <is>
          <t>Integration Issue</t>
        </is>
      </c>
      <c r="I1236" t="inlineStr">
        <is>
          <t>Not what we expected for the price. The email sync duplicates meetings and misses replies. It affects our month-end reporting process every cycle.</t>
        </is>
      </c>
      <c r="J1236" t="inlineStr">
        <is>
          <t>Negative</t>
        </is>
      </c>
      <c r="K1236" t="inlineStr">
        <is>
          <t>Medium</t>
        </is>
      </c>
      <c r="L1236" t="inlineStr">
        <is>
          <t>Minor Inconvenience</t>
        </is>
      </c>
    </row>
    <row r="1237">
      <c r="A1237" t="inlineStr">
        <is>
          <t>FB-01236</t>
        </is>
      </c>
      <c r="B1237" t="inlineStr">
        <is>
          <t>CUST-0094</t>
        </is>
      </c>
      <c r="C1237" t="inlineStr">
        <is>
          <t>2026-08-09</t>
        </is>
      </c>
      <c r="D1237" t="inlineStr">
        <is>
          <t>Feature Request</t>
        </is>
      </c>
      <c r="E1237" t="inlineStr">
        <is>
          <t>Professional</t>
        </is>
      </c>
      <c r="F1237" t="inlineStr">
        <is>
          <t>SMB</t>
        </is>
      </c>
      <c r="G1237" t="inlineStr">
        <is>
          <t>Integrations</t>
        </is>
      </c>
      <c r="H1237" t="inlineStr">
        <is>
          <t>Feature Request</t>
        </is>
      </c>
      <c r="I1237" t="inlineStr">
        <is>
          <t>Quick note from our admin. Requesting SCIM provisioning for our compliance audit. So far 7 people on our side have reported it. Happy to join a feedback call.</t>
        </is>
      </c>
      <c r="J1237" t="inlineStr">
        <is>
          <t>Neutral</t>
        </is>
      </c>
      <c r="K1237" t="inlineStr">
        <is>
          <t>Medium</t>
        </is>
      </c>
      <c r="L1237" t="inlineStr">
        <is>
          <t>Workflow Slowdown</t>
        </is>
      </c>
    </row>
    <row r="1238">
      <c r="A1238" t="inlineStr">
        <is>
          <t>FB-01237</t>
        </is>
      </c>
      <c r="B1238" t="inlineStr">
        <is>
          <t>CUST-0297</t>
        </is>
      </c>
      <c r="C1238" t="inlineStr">
        <is>
          <t>2026-08-10</t>
        </is>
      </c>
      <c r="D1238" t="inlineStr">
        <is>
          <t>Customer Survey</t>
        </is>
      </c>
      <c r="E1238" t="inlineStr">
        <is>
          <t>Professional</t>
        </is>
      </c>
      <c r="F1238" t="inlineStr">
        <is>
          <t>Mid-Market</t>
        </is>
      </c>
      <c r="G1238" t="inlineStr">
        <is>
          <t>Workflow Automation</t>
        </is>
      </c>
      <c r="H1238" t="inlineStr">
        <is>
          <t>Feature Request</t>
        </is>
      </c>
      <c r="I1238" t="inlineStr">
        <is>
          <t>This has been a recurring problem for us. Competitors ship prebuilt automations; we are rebuilding the same flows from scratch. We estimate we lose roughly 47 hours a month on this. Please look into it soon.</t>
        </is>
      </c>
      <c r="J1238" t="inlineStr">
        <is>
          <t>Negative</t>
        </is>
      </c>
      <c r="K1238" t="inlineStr">
        <is>
          <t>Low</t>
        </is>
      </c>
      <c r="L1238" t="inlineStr">
        <is>
          <t>Minor Inconvenience</t>
        </is>
      </c>
    </row>
    <row r="1239">
      <c r="A1239" t="inlineStr">
        <is>
          <t>FB-01238</t>
        </is>
      </c>
      <c r="B1239" t="inlineStr">
        <is>
          <t>CUST-0197</t>
        </is>
      </c>
      <c r="C1239" t="inlineStr">
        <is>
          <t>2026-08-10</t>
        </is>
      </c>
      <c r="D1239" t="inlineStr">
        <is>
          <t>Support Ticket</t>
        </is>
      </c>
      <c r="E1239" t="inlineStr">
        <is>
          <t>Professional</t>
        </is>
      </c>
      <c r="F1239" t="inlineStr">
        <is>
          <t>Mid-Market</t>
        </is>
      </c>
      <c r="G1239" t="inlineStr">
        <is>
          <t>Reporting</t>
        </is>
      </c>
      <c r="H1239" t="inlineStr">
        <is>
          <t>Performance Issue</t>
        </is>
      </c>
      <c r="I1239" t="inlineStr">
        <is>
          <t>Our team keeps running into this. Our dashboard refresh spins for a minute before showing any chart. We estimate we lose roughly 26 hours a month on this.</t>
        </is>
      </c>
      <c r="J1239" t="inlineStr">
        <is>
          <t>Negative</t>
        </is>
      </c>
      <c r="K1239" t="inlineStr">
        <is>
          <t>Medium</t>
        </is>
      </c>
      <c r="L1239" t="inlineStr">
        <is>
          <t>Blocks Key Task</t>
        </is>
      </c>
    </row>
    <row r="1240">
      <c r="A1240" t="inlineStr">
        <is>
          <t>FB-01239</t>
        </is>
      </c>
      <c r="B1240" t="inlineStr">
        <is>
          <t>CUST-0117</t>
        </is>
      </c>
      <c r="C1240" t="inlineStr">
        <is>
          <t>2026-08-10</t>
        </is>
      </c>
      <c r="D1240" t="inlineStr">
        <is>
          <t>Customer Survey</t>
        </is>
      </c>
      <c r="E1240" t="inlineStr">
        <is>
          <t>Professional</t>
        </is>
      </c>
      <c r="F1240" t="inlineStr">
        <is>
          <t>Mid-Market</t>
        </is>
      </c>
      <c r="G1240" t="inlineStr">
        <is>
          <t>Contact Management</t>
        </is>
      </c>
      <c r="H1240" t="inlineStr">
        <is>
          <t>Performance Issue</t>
        </is>
      </c>
      <c r="I1240" t="inlineStr">
        <is>
          <t>Frustrated with this one. Combining several conditions in contact search makes the page hang. Is there a workaround?</t>
        </is>
      </c>
      <c r="J1240" t="inlineStr">
        <is>
          <t>Negative</t>
        </is>
      </c>
      <c r="K1240" t="inlineStr">
        <is>
          <t>High</t>
        </is>
      </c>
      <c r="L1240" t="inlineStr">
        <is>
          <t>Workflow Slowdown</t>
        </is>
      </c>
    </row>
    <row r="1241">
      <c r="A1241" t="inlineStr">
        <is>
          <t>FB-01240</t>
        </is>
      </c>
      <c r="B1241" t="inlineStr">
        <is>
          <t>CUST-0030</t>
        </is>
      </c>
      <c r="C1241" t="inlineStr">
        <is>
          <t>2026-08-10</t>
        </is>
      </c>
      <c r="D1241" t="inlineStr">
        <is>
          <t>In-App Feedback</t>
        </is>
      </c>
      <c r="E1241" t="inlineStr">
        <is>
          <t>Professional</t>
        </is>
      </c>
      <c r="F1241" t="inlineStr">
        <is>
          <t>Mid-Market</t>
        </is>
      </c>
      <c r="G1241" t="inlineStr">
        <is>
          <t>Workflow Automation</t>
        </is>
      </c>
      <c r="H1241" t="inlineStr">
        <is>
          <t>Bug</t>
        </is>
      </c>
      <c r="I1241" t="inlineStr">
        <is>
          <t>Sharing this from our team. Several automation misfires left deals stuck in the wrong stage. So far 106 people on our side have reported it.</t>
        </is>
      </c>
      <c r="J1241" t="inlineStr">
        <is>
          <t>Neutral</t>
        </is>
      </c>
      <c r="K1241" t="inlineStr">
        <is>
          <t>Medium</t>
        </is>
      </c>
      <c r="L1241" t="inlineStr">
        <is>
          <t>Minor Inconvenience</t>
        </is>
      </c>
    </row>
    <row r="1242">
      <c r="A1242" t="inlineStr">
        <is>
          <t>FB-01241</t>
        </is>
      </c>
      <c r="B1242" t="inlineStr">
        <is>
          <t>CUST-0205</t>
        </is>
      </c>
      <c r="C1242" t="inlineStr">
        <is>
          <t>2026-08-10</t>
        </is>
      </c>
      <c r="D1242" t="inlineStr">
        <is>
          <t>Customer Survey</t>
        </is>
      </c>
      <c r="E1242" t="inlineStr">
        <is>
          <t>Enterprise</t>
        </is>
      </c>
      <c r="F1242" t="inlineStr">
        <is>
          <t>Enterprise</t>
        </is>
      </c>
      <c r="G1242" t="inlineStr">
        <is>
          <t>contact management</t>
        </is>
      </c>
      <c r="H1242" t="inlineStr">
        <is>
          <t>Performance Issue</t>
        </is>
      </c>
      <c r="I1242" t="inlineStr">
        <is>
          <t>We avoid saved contact filters during calls because it takes too long. Our admin flagged it while onboarding 113 new users.</t>
        </is>
      </c>
      <c r="J1242" t="inlineStr">
        <is>
          <t>Negative</t>
        </is>
      </c>
      <c r="K1242" t="inlineStr">
        <is>
          <t>High</t>
        </is>
      </c>
      <c r="L1242" t="inlineStr">
        <is>
          <t>Blocks Key Task</t>
        </is>
      </c>
    </row>
    <row r="1243">
      <c r="A1243" t="inlineStr">
        <is>
          <t>FB-01242</t>
        </is>
      </c>
      <c r="B1243" t="inlineStr">
        <is>
          <t>CUST-0186</t>
        </is>
      </c>
      <c r="C1243" t="inlineStr">
        <is>
          <t>2026-08-11</t>
        </is>
      </c>
      <c r="D1243" t="inlineStr">
        <is>
          <t>In-App Feedback</t>
        </is>
      </c>
      <c r="E1243" t="inlineStr">
        <is>
          <t>Professional</t>
        </is>
      </c>
      <c r="F1243" t="inlineStr">
        <is>
          <t>SMB</t>
        </is>
      </c>
      <c r="G1243" t="inlineStr">
        <is>
          <t>User Interface</t>
        </is>
      </c>
      <c r="H1243" t="inlineStr">
        <is>
          <t>Usability Issue</t>
        </is>
      </c>
      <c r="I1243" t="inlineStr">
        <is>
          <t>Not what we expected for the price. The settings navigation changed and nobody told us where things moved. Support suggested logging it here.</t>
        </is>
      </c>
      <c r="J1243" t="inlineStr">
        <is>
          <t>Negative</t>
        </is>
      </c>
      <c r="K1243" t="inlineStr">
        <is>
          <t>Medium</t>
        </is>
      </c>
      <c r="L1243" t="inlineStr">
        <is>
          <t>Workflow Slowdown</t>
        </is>
      </c>
    </row>
    <row r="1244">
      <c r="A1244" t="inlineStr">
        <is>
          <t>FB-01243</t>
        </is>
      </c>
      <c r="B1244" t="inlineStr">
        <is>
          <t>CUST-0203</t>
        </is>
      </c>
      <c r="C1244" t="inlineStr">
        <is>
          <t>2026-08-11</t>
        </is>
      </c>
      <c r="D1244" t="inlineStr">
        <is>
          <t>Support Ticket</t>
        </is>
      </c>
      <c r="E1244" t="inlineStr">
        <is>
          <t>Professional</t>
        </is>
      </c>
      <c r="F1244" t="inlineStr">
        <is>
          <t>Mid-Market</t>
        </is>
      </c>
      <c r="G1244" t="inlineStr">
        <is>
          <t>User Interface</t>
        </is>
      </c>
      <c r="H1244" t="inlineStr">
        <is>
          <t>Usability Issue</t>
        </is>
      </c>
      <c r="I1244" t="inlineStr">
        <is>
          <t>Frustrated with this one. The navigation menu changed and nobody told us where things moved. We estimate we lose roughly 17 hours a month on this.</t>
        </is>
      </c>
      <c r="J1244" t="inlineStr">
        <is>
          <t>Negative</t>
        </is>
      </c>
      <c r="K1244" t="inlineStr">
        <is>
          <t>High</t>
        </is>
      </c>
      <c r="L1244" t="inlineStr">
        <is>
          <t>Workflow Slowdown</t>
        </is>
      </c>
    </row>
    <row r="1245">
      <c r="A1245" t="inlineStr">
        <is>
          <t>FB-01244</t>
        </is>
      </c>
      <c r="B1245" t="inlineStr">
        <is>
          <t>CUST-0189</t>
        </is>
      </c>
      <c r="C1245" t="inlineStr">
        <is>
          <t>2026-08-11</t>
        </is>
      </c>
      <c r="D1245" t="inlineStr">
        <is>
          <t>Support Ticket</t>
        </is>
      </c>
      <c r="E1245" t="inlineStr">
        <is>
          <t>Starter</t>
        </is>
      </c>
      <c r="F1245" t="inlineStr">
        <is>
          <t>SMB</t>
        </is>
      </c>
      <c r="G1245" t="inlineStr">
        <is>
          <t xml:space="preserve">Workflow Automation </t>
        </is>
      </c>
      <c r="H1245" t="inlineStr">
        <is>
          <t>Bug</t>
        </is>
      </c>
      <c r="I1245" t="inlineStr">
        <is>
          <t>Our team keeps running into this. Since the last release we've had automation misfires and tasks are being created twice.</t>
        </is>
      </c>
      <c r="J1245" t="inlineStr">
        <is>
          <t>Negative</t>
        </is>
      </c>
      <c r="K1245" t="inlineStr">
        <is>
          <t>High</t>
        </is>
      </c>
      <c r="L1245" t="inlineStr">
        <is>
          <t>Blocks Key Task</t>
        </is>
      </c>
    </row>
    <row r="1246">
      <c r="A1246" t="inlineStr">
        <is>
          <t>FB-01245</t>
        </is>
      </c>
      <c r="B1246" t="inlineStr">
        <is>
          <t>CUST-0145</t>
        </is>
      </c>
      <c r="C1246" t="inlineStr">
        <is>
          <t>2026-08-11</t>
        </is>
      </c>
      <c r="D1246" t="inlineStr">
        <is>
          <t>In-App Feedback</t>
        </is>
      </c>
      <c r="E1246" t="inlineStr">
        <is>
          <t>Professional</t>
        </is>
      </c>
      <c r="F1246" t="inlineStr">
        <is>
          <t>SMB</t>
        </is>
      </c>
      <c r="G1246" t="inlineStr">
        <is>
          <t>Workflow Automation</t>
        </is>
      </c>
      <c r="H1246" t="inlineStr">
        <is>
          <t>Bug</t>
        </is>
      </c>
      <c r="I1246" t="inlineStr">
        <is>
          <t>Not what we expected for the price. Several workflow runs failing silently left deals stuck in the wrong stage. Support suggested logging it here.</t>
        </is>
      </c>
      <c r="J1246" t="inlineStr">
        <is>
          <t>Negative</t>
        </is>
      </c>
      <c r="K1246" t="inlineStr">
        <is>
          <t>Low</t>
        </is>
      </c>
      <c r="L1246" t="inlineStr">
        <is>
          <t>Minor Inconvenience</t>
        </is>
      </c>
    </row>
    <row r="1247">
      <c r="A1247" t="inlineStr">
        <is>
          <t>FB-01246</t>
        </is>
      </c>
      <c r="B1247" t="inlineStr">
        <is>
          <t>CUST-0055</t>
        </is>
      </c>
      <c r="C1247" t="inlineStr">
        <is>
          <t>2026-08-11</t>
        </is>
      </c>
      <c r="D1247" t="inlineStr">
        <is>
          <t>Support Ticket</t>
        </is>
      </c>
      <c r="E1247" t="inlineStr">
        <is>
          <t>Professional</t>
        </is>
      </c>
      <c r="F1247" t="inlineStr">
        <is>
          <t>Mid-Market</t>
        </is>
      </c>
      <c r="G1247" t="inlineStr">
        <is>
          <t>Integrations</t>
        </is>
      </c>
      <c r="H1247" t="inlineStr">
        <is>
          <t>Integration Issue</t>
        </is>
      </c>
      <c r="I1247" t="inlineStr">
        <is>
          <t>This has been a recurring problem for us. Reps no longer trust email sync, so they log activity by hand. Our admin flagged it while onboarding 15 new users. Is there a workaround?</t>
        </is>
      </c>
      <c r="J1247" t="inlineStr">
        <is>
          <t>Negative</t>
        </is>
      </c>
      <c r="K1247" t="inlineStr">
        <is>
          <t>Medium</t>
        </is>
      </c>
      <c r="L1247" t="inlineStr">
        <is>
          <t>Blocks Key Task</t>
        </is>
      </c>
    </row>
    <row r="1248">
      <c r="A1248" t="inlineStr">
        <is>
          <t>FB-01247</t>
        </is>
      </c>
      <c r="B1248" t="inlineStr">
        <is>
          <t>CUST-0387</t>
        </is>
      </c>
      <c r="C1248" t="inlineStr">
        <is>
          <t>2026-08-11</t>
        </is>
      </c>
      <c r="D1248" t="inlineStr">
        <is>
          <t>Support Ticket</t>
        </is>
      </c>
      <c r="E1248" t="inlineStr">
        <is>
          <t>Starter</t>
        </is>
      </c>
      <c r="F1248" t="inlineStr">
        <is>
          <t>SMB</t>
        </is>
      </c>
      <c r="G1248" t="inlineStr">
        <is>
          <t>User Interface</t>
        </is>
      </c>
      <c r="H1248" t="inlineStr">
        <is>
          <t>Feature Request</t>
        </is>
      </c>
      <c r="I1248" t="inlineStr">
        <is>
          <t>We need bulk actions on lists to update owners and stages for many records at once. Happy to join a feedback call.</t>
        </is>
      </c>
      <c r="J1248" t="inlineStr">
        <is>
          <t>Neutral</t>
        </is>
      </c>
      <c r="K1248" t="inlineStr">
        <is>
          <t>Medium</t>
        </is>
      </c>
      <c r="L1248" t="inlineStr">
        <is>
          <t>Minor Inconvenience</t>
        </is>
      </c>
    </row>
    <row r="1249">
      <c r="A1249" t="inlineStr">
        <is>
          <t>FB-01248</t>
        </is>
      </c>
      <c r="B1249" t="inlineStr">
        <is>
          <t>CUST-0076</t>
        </is>
      </c>
      <c r="C1249" t="inlineStr">
        <is>
          <t>2026-08-11</t>
        </is>
      </c>
      <c r="D1249" t="inlineStr">
        <is>
          <t>Support Ticket</t>
        </is>
      </c>
      <c r="E1249" t="inlineStr">
        <is>
          <t>Starter</t>
        </is>
      </c>
      <c r="F1249" t="inlineStr">
        <is>
          <t>SMB</t>
        </is>
      </c>
      <c r="G1249" t="inlineStr">
        <is>
          <t>Lead Management</t>
        </is>
      </c>
      <c r="H1249" t="inlineStr">
        <is>
          <t>Bug</t>
        </is>
      </c>
      <c r="I1249" t="inlineStr">
        <is>
          <t>FYI for the product team. After every list import we find duplicate lead records that have to be cleaned up by hand. It happens about 38 times a week for our team of 26. Let us know if you need examples.</t>
        </is>
      </c>
      <c r="J1249" t="inlineStr">
        <is>
          <t>Neutral</t>
        </is>
      </c>
      <c r="K1249" t="inlineStr">
        <is>
          <t>Medium</t>
        </is>
      </c>
      <c r="L1249" t="inlineStr">
        <is>
          <t>Minor Inconvenience</t>
        </is>
      </c>
    </row>
    <row r="1250">
      <c r="A1250" t="inlineStr">
        <is>
          <t>FB-01249</t>
        </is>
      </c>
      <c r="B1250" t="inlineStr">
        <is>
          <t>CUST-0250</t>
        </is>
      </c>
      <c r="C1250" t="inlineStr">
        <is>
          <t>2026-08-11</t>
        </is>
      </c>
      <c r="D1250" t="inlineStr">
        <is>
          <t>Support Ticket</t>
        </is>
      </c>
      <c r="E1250" t="inlineStr">
        <is>
          <t>Professional</t>
        </is>
      </c>
      <c r="F1250" t="inlineStr">
        <is>
          <t>Mid-Market</t>
        </is>
      </c>
      <c r="G1250" t="inlineStr">
        <is>
          <t>Workflow Automation</t>
        </is>
      </c>
      <c r="H1250" t="inlineStr">
        <is>
          <t>Bug</t>
        </is>
      </c>
      <c r="I1250" t="inlineStr">
        <is>
          <t>Overall we like the product. Since the last release we've had automation misfires and tasks are being created twice. Happy to beta test.</t>
        </is>
      </c>
      <c r="J1250" t="inlineStr">
        <is>
          <t>Positive</t>
        </is>
      </c>
      <c r="K1250" t="inlineStr">
        <is>
          <t>Low</t>
        </is>
      </c>
      <c r="L1250" t="inlineStr">
        <is>
          <t>Minor Inconvenience</t>
        </is>
      </c>
    </row>
    <row r="1251">
      <c r="A1251" t="inlineStr">
        <is>
          <t>FB-01250</t>
        </is>
      </c>
      <c r="B1251" t="inlineStr">
        <is>
          <t>CUST-0284</t>
        </is>
      </c>
      <c r="C1251" t="inlineStr">
        <is>
          <t>2026-08-11</t>
        </is>
      </c>
      <c r="D1251" t="inlineStr">
        <is>
          <t>Feature Request</t>
        </is>
      </c>
      <c r="E1251" t="inlineStr">
        <is>
          <t>Enterprise</t>
        </is>
      </c>
      <c r="F1251" t="inlineStr">
        <is>
          <t>Enterprise</t>
        </is>
      </c>
      <c r="G1251" t="inlineStr">
        <is>
          <t>Workflow Automation</t>
        </is>
      </c>
      <c r="H1251" t="inlineStr">
        <is>
          <t>Feature Request</t>
        </is>
      </c>
      <c r="I1251" t="inlineStr">
        <is>
          <t>Happy with most of the product. We'd adopt automation faster with automation recipes we could customize. So far 25 people on our side have reported it.</t>
        </is>
      </c>
      <c r="J1251" t="inlineStr">
        <is>
          <t>Positive</t>
        </is>
      </c>
      <c r="K1251" t="inlineStr">
        <is>
          <t>Medium</t>
        </is>
      </c>
      <c r="L1251" t="inlineStr">
        <is>
          <t>Workflow Slowdown</t>
        </is>
      </c>
    </row>
    <row r="1252">
      <c r="A1252" t="inlineStr">
        <is>
          <t>FB-01251</t>
        </is>
      </c>
      <c r="B1252" t="inlineStr">
        <is>
          <t>CUST-0212</t>
        </is>
      </c>
      <c r="C1252" t="inlineStr">
        <is>
          <t>2026-08-12</t>
        </is>
      </c>
      <c r="D1252" t="inlineStr">
        <is>
          <t>In-App Feedback</t>
        </is>
      </c>
      <c r="E1252" t="inlineStr">
        <is>
          <t>Professional</t>
        </is>
      </c>
      <c r="F1252" t="inlineStr">
        <is>
          <t>Mid-Market</t>
        </is>
      </c>
      <c r="G1252" t="inlineStr">
        <is>
          <t>Lead Management</t>
        </is>
      </c>
      <c r="H1252" t="inlineStr">
        <is>
          <t>Feature Request</t>
        </is>
      </c>
      <c r="I1252" t="inlineStr">
        <is>
          <t>Please add automated lead scoring based on engagement, company size and recent activity. It happens about 32 times a week for our team of 53. Let us know if you need examples.</t>
        </is>
      </c>
      <c r="J1252" t="inlineStr">
        <is>
          <t>Neutral</t>
        </is>
      </c>
      <c r="K1252" t="inlineStr">
        <is>
          <t>Low</t>
        </is>
      </c>
      <c r="L1252" t="inlineStr">
        <is>
          <t>Minor Inconvenience</t>
        </is>
      </c>
    </row>
    <row r="1253">
      <c r="A1253" t="inlineStr">
        <is>
          <t>FB-01252</t>
        </is>
      </c>
      <c r="B1253" t="inlineStr">
        <is>
          <t>CUST-0207</t>
        </is>
      </c>
      <c r="C1253" t="inlineStr">
        <is>
          <t>2026-08-12</t>
        </is>
      </c>
      <c r="D1253" t="inlineStr">
        <is>
          <t>Support Ticket</t>
        </is>
      </c>
      <c r="E1253" t="inlineStr">
        <is>
          <t>Professional</t>
        </is>
      </c>
      <c r="F1253" t="inlineStr">
        <is>
          <t>Mid-Market</t>
        </is>
      </c>
      <c r="G1253" t="inlineStr">
        <is>
          <t>Workflow Automation</t>
        </is>
      </c>
      <c r="H1253" t="inlineStr">
        <is>
          <t>Usability Issue</t>
        </is>
      </c>
      <c r="I1253" t="inlineStr">
        <is>
          <t>Not what we expected for the price. Our new admins struggle with the workflow builder; there is no guidance or validation. We estimate we lose roughly 44 hours a month on this. We need a fix before renewal.</t>
        </is>
      </c>
      <c r="J1253" t="inlineStr">
        <is>
          <t>Negative</t>
        </is>
      </c>
      <c r="K1253" t="inlineStr">
        <is>
          <t>Medium</t>
        </is>
      </c>
      <c r="L1253" t="inlineStr">
        <is>
          <t>Minor Inconvenience</t>
        </is>
      </c>
    </row>
    <row r="1254">
      <c r="A1254" t="inlineStr">
        <is>
          <t>FB-01253</t>
        </is>
      </c>
      <c r="B1254" t="inlineStr">
        <is>
          <t>CUST-0051</t>
        </is>
      </c>
      <c r="C1254" t="inlineStr">
        <is>
          <t>2026-08-12</t>
        </is>
      </c>
      <c r="D1254" t="inlineStr">
        <is>
          <t>Feature Request</t>
        </is>
      </c>
      <c r="E1254" t="inlineStr">
        <is>
          <t>ENTERPRISE</t>
        </is>
      </c>
      <c r="F1254" t="inlineStr">
        <is>
          <t>Enterprise</t>
        </is>
      </c>
      <c r="G1254" t="inlineStr">
        <is>
          <t>Integrations</t>
        </is>
      </c>
      <c r="H1254" t="inlineStr">
        <is>
          <t>Feature Request</t>
        </is>
      </c>
      <c r="I1254" t="inlineStr">
        <is>
          <t>Great support experience recently. Please add SSO support; managing users by hand does not scale.</t>
        </is>
      </c>
      <c r="J1254" t="inlineStr">
        <is>
          <t>Positive</t>
        </is>
      </c>
      <c r="K1254" t="inlineStr">
        <is>
          <t>low</t>
        </is>
      </c>
      <c r="L1254" t="inlineStr">
        <is>
          <t>Minor Inconvenience</t>
        </is>
      </c>
    </row>
    <row r="1255">
      <c r="A1255" t="inlineStr">
        <is>
          <t>FB-01254</t>
        </is>
      </c>
      <c r="B1255" t="inlineStr">
        <is>
          <t>CUST-0175</t>
        </is>
      </c>
      <c r="C1255" t="inlineStr">
        <is>
          <t>2026-08-13</t>
        </is>
      </c>
      <c r="D1255" t="inlineStr">
        <is>
          <t>Feature Request</t>
        </is>
      </c>
      <c r="E1255" t="inlineStr">
        <is>
          <t>Professional</t>
        </is>
      </c>
      <c r="F1255" t="inlineStr">
        <is>
          <t>Mid-Market</t>
        </is>
      </c>
      <c r="G1255" t="inlineStr">
        <is>
          <t>User Interface</t>
        </is>
      </c>
      <c r="H1255" t="inlineStr">
        <is>
          <t>Feature Request</t>
        </is>
      </c>
      <c r="I1255" t="inlineStr">
        <is>
          <t>Our field reps need offline mobile access to update deals between visits. We estimate we lose roughly 29 hours a month on this. Happy to join a feedback call.</t>
        </is>
      </c>
      <c r="J1255" t="inlineStr">
        <is>
          <t>Neutral</t>
        </is>
      </c>
      <c r="K1255" t="inlineStr">
        <is>
          <t>Medium</t>
        </is>
      </c>
      <c r="L1255" t="inlineStr">
        <is>
          <t>Blocks Key Task</t>
        </is>
      </c>
    </row>
    <row r="1256">
      <c r="A1256" t="inlineStr">
        <is>
          <t>FB-01255</t>
        </is>
      </c>
      <c r="B1256" t="inlineStr">
        <is>
          <t>CUST-0222</t>
        </is>
      </c>
      <c r="C1256" t="inlineStr">
        <is>
          <t>2026-08-13</t>
        </is>
      </c>
      <c r="D1256" t="inlineStr">
        <is>
          <t>Support Ticket</t>
        </is>
      </c>
      <c r="E1256" t="inlineStr">
        <is>
          <t>Professional</t>
        </is>
      </c>
      <c r="F1256" t="inlineStr">
        <is>
          <t>Mid-Market</t>
        </is>
      </c>
      <c r="G1256" t="inlineStr">
        <is>
          <t>Reporting</t>
        </is>
      </c>
      <c r="H1256" t="inlineStr">
        <is>
          <t>Bug</t>
        </is>
      </c>
      <c r="I1256" t="inlineStr">
        <is>
          <t>Finance can't rely on the report export; totals don't match the screen. Our customer success lead flagged it while onboarding 29 new users. We need a fix before renewal.</t>
        </is>
      </c>
      <c r="J1256" t="inlineStr">
        <is>
          <t>Negative</t>
        </is>
      </c>
      <c r="K1256" t="inlineStr">
        <is>
          <t>High</t>
        </is>
      </c>
      <c r="L1256" t="inlineStr">
        <is>
          <t>Workflow Slowdown</t>
        </is>
      </c>
    </row>
    <row r="1257">
      <c r="A1257" t="inlineStr">
        <is>
          <t>FB-01256</t>
        </is>
      </c>
      <c r="B1257" t="inlineStr">
        <is>
          <t>CUST-0371</t>
        </is>
      </c>
      <c r="C1257" t="inlineStr">
        <is>
          <t>2026-08-13</t>
        </is>
      </c>
      <c r="D1257" t="inlineStr">
        <is>
          <t>Support Ticket</t>
        </is>
      </c>
      <c r="E1257" t="inlineStr">
        <is>
          <t>Enterprise</t>
        </is>
      </c>
      <c r="F1257" t="inlineStr">
        <is>
          <t>Enterprise</t>
        </is>
      </c>
      <c r="G1257" t="inlineStr">
        <is>
          <t>Reporting</t>
        </is>
      </c>
      <c r="H1257" t="inlineStr">
        <is>
          <t>Feature Request</t>
        </is>
      </c>
      <c r="I1257" t="inlineStr">
        <is>
          <t>Requesting a custom report builder so leadership gets numbers without logging in. Our marketing ops owner flagged it while onboarding 21 new users.</t>
        </is>
      </c>
      <c r="J1257" t="inlineStr">
        <is>
          <t>Positive</t>
        </is>
      </c>
      <c r="K1257" t="inlineStr">
        <is>
          <t>Low</t>
        </is>
      </c>
      <c r="L1257" t="inlineStr">
        <is>
          <t>Blocks Key Task</t>
        </is>
      </c>
    </row>
    <row r="1258">
      <c r="A1258" t="inlineStr">
        <is>
          <t>FB-01257</t>
        </is>
      </c>
      <c r="B1258" t="inlineStr">
        <is>
          <t>CUST-0401</t>
        </is>
      </c>
      <c r="C1258" t="inlineStr">
        <is>
          <t>2026-08-13</t>
        </is>
      </c>
      <c r="D1258" t="inlineStr">
        <is>
          <t>Customer Survey</t>
        </is>
      </c>
      <c r="E1258" t="inlineStr">
        <is>
          <t>Professional</t>
        </is>
      </c>
      <c r="F1258" t="inlineStr">
        <is>
          <t>SMB</t>
        </is>
      </c>
      <c r="G1258" t="inlineStr">
        <is>
          <t>Contact Management</t>
        </is>
      </c>
      <c r="H1258" t="inlineStr">
        <is>
          <t>Feature Request</t>
        </is>
      </c>
      <c r="I1258" t="inlineStr">
        <is>
          <t>Our team keeps running into this. Requesting custom contact fields so account managers can see who reports to whom. So far 70 people on our side have reported it. Support suggested logging it here.</t>
        </is>
      </c>
      <c r="J1258" t="inlineStr">
        <is>
          <t>Negative</t>
        </is>
      </c>
      <c r="K1258" t="inlineStr">
        <is>
          <t>Low</t>
        </is>
      </c>
      <c r="L1258" t="inlineStr">
        <is>
          <t>Blocks Key Task</t>
        </is>
      </c>
    </row>
    <row r="1259">
      <c r="A1259" t="inlineStr">
        <is>
          <t>FB-01258</t>
        </is>
      </c>
      <c r="B1259" t="inlineStr">
        <is>
          <t>CUST-0158</t>
        </is>
      </c>
      <c r="C1259" t="inlineStr">
        <is>
          <t>2026-08-14</t>
        </is>
      </c>
      <c r="D1259" t="inlineStr">
        <is>
          <t>Support Ticket</t>
        </is>
      </c>
      <c r="E1259" t="inlineStr">
        <is>
          <t>Starter</t>
        </is>
      </c>
      <c r="F1259" t="inlineStr">
        <is>
          <t>SMB</t>
        </is>
      </c>
      <c r="G1259" t="inlineStr">
        <is>
          <t>Lead Management</t>
        </is>
      </c>
      <c r="H1259" t="inlineStr">
        <is>
          <t>Bug</t>
        </is>
      </c>
      <c r="I1259" t="inlineStr">
        <is>
          <t>Web form submissions keep creating duplicated leads, and reps end up calling the same prospect twice.</t>
        </is>
      </c>
      <c r="J1259" t="inlineStr">
        <is>
          <t>Negative</t>
        </is>
      </c>
      <c r="K1259" t="inlineStr">
        <is>
          <t>Low</t>
        </is>
      </c>
      <c r="L1259" t="inlineStr">
        <is>
          <t>Minor Inconvenience</t>
        </is>
      </c>
    </row>
    <row r="1260">
      <c r="A1260" t="inlineStr">
        <is>
          <t>FB-01259</t>
        </is>
      </c>
      <c r="B1260" t="inlineStr">
        <is>
          <t>CUST-0382</t>
        </is>
      </c>
      <c r="C1260" t="inlineStr">
        <is>
          <t>2026-08-14</t>
        </is>
      </c>
      <c r="D1260" t="inlineStr">
        <is>
          <t>Customer Survey</t>
        </is>
      </c>
      <c r="E1260" t="inlineStr">
        <is>
          <t>Starter</t>
        </is>
      </c>
      <c r="F1260" t="inlineStr">
        <is>
          <t>SMB</t>
        </is>
      </c>
      <c r="G1260" t="inlineStr">
        <is>
          <t>User Interface</t>
        </is>
      </c>
      <c r="H1260" t="inlineStr">
        <is>
          <t>Feature Request</t>
        </is>
      </c>
      <c r="I1260" t="inlineStr">
        <is>
          <t>Quick note from our admin. Please prioritize mobile call logging; the mobile web view is hard to use. It happens about 2 times a week for our team of 86. Let us know if you need examples.</t>
        </is>
      </c>
      <c r="J1260" t="inlineStr">
        <is>
          <t>Neutral</t>
        </is>
      </c>
      <c r="K1260" t="inlineStr">
        <is>
          <t>Medium</t>
        </is>
      </c>
      <c r="L1260" t="inlineStr">
        <is>
          <t>Workflow Slowdown</t>
        </is>
      </c>
    </row>
    <row r="1261">
      <c r="A1261" t="inlineStr">
        <is>
          <t>FB-01260</t>
        </is>
      </c>
      <c r="B1261" t="inlineStr">
        <is>
          <t>CUST-0108</t>
        </is>
      </c>
      <c r="C1261" t="inlineStr">
        <is>
          <t>2026-08-14</t>
        </is>
      </c>
      <c r="D1261" t="inlineStr">
        <is>
          <t>Feature Request</t>
        </is>
      </c>
      <c r="E1261" t="inlineStr">
        <is>
          <t>Enterprise</t>
        </is>
      </c>
      <c r="F1261" t="inlineStr">
        <is>
          <t>Mid-Market</t>
        </is>
      </c>
      <c r="G1261" t="inlineStr">
        <is>
          <t>Lead Management</t>
        </is>
      </c>
      <c r="H1261" t="inlineStr">
        <is>
          <t>Feature Request</t>
        </is>
      </c>
      <c r="I1261" t="inlineStr">
        <is>
          <t>Happy with most of the product. Right now reps rank leads by gut feel; a lead score model would fix that. Thanks to the team.</t>
        </is>
      </c>
      <c r="J1261" t="inlineStr">
        <is>
          <t>Positive</t>
        </is>
      </c>
      <c r="K1261" t="inlineStr">
        <is>
          <t>Low</t>
        </is>
      </c>
      <c r="L1261" t="inlineStr">
        <is>
          <t>Minor Inconvenience</t>
        </is>
      </c>
    </row>
    <row r="1262">
      <c r="A1262" t="inlineStr">
        <is>
          <t>FB-01261</t>
        </is>
      </c>
      <c r="B1262" t="inlineStr">
        <is>
          <t>CUST-0405</t>
        </is>
      </c>
      <c r="C1262" t="inlineStr">
        <is>
          <t>2026-08-14</t>
        </is>
      </c>
      <c r="D1262" t="inlineStr">
        <is>
          <t>Customer Survey</t>
        </is>
      </c>
      <c r="E1262" t="inlineStr">
        <is>
          <t>Starter</t>
        </is>
      </c>
      <c r="F1262" t="inlineStr">
        <is>
          <t>SMB</t>
        </is>
      </c>
      <c r="G1262" t="inlineStr">
        <is>
          <t>User Interface</t>
        </is>
      </c>
      <c r="H1262" t="inlineStr">
        <is>
          <t xml:space="preserve"> Usability Issue</t>
        </is>
      </c>
      <c r="I1262" t="inlineStr">
        <is>
          <t>FYI for the product team. New hires get lost in the settings navigation; it takes weeks to learn. So far 83 people on our side have reported it.</t>
        </is>
      </c>
      <c r="J1262" t="inlineStr">
        <is>
          <t>Neutral</t>
        </is>
      </c>
      <c r="K1262" t="inlineStr">
        <is>
          <t>High</t>
        </is>
      </c>
      <c r="L1262" t="inlineStr">
        <is>
          <t>Blocks Key Task</t>
        </is>
      </c>
    </row>
    <row r="1263">
      <c r="A1263" t="inlineStr">
        <is>
          <t>FB-01262</t>
        </is>
      </c>
      <c r="B1263" t="inlineStr">
        <is>
          <t>CUST-0223</t>
        </is>
      </c>
      <c r="C1263" t="inlineStr">
        <is>
          <t>2026-08-15</t>
        </is>
      </c>
      <c r="D1263" t="inlineStr">
        <is>
          <t>In-App Feedback</t>
        </is>
      </c>
      <c r="E1263" t="inlineStr">
        <is>
          <t>Starter</t>
        </is>
      </c>
      <c r="F1263" t="inlineStr">
        <is>
          <t>SMB</t>
        </is>
      </c>
      <c r="G1263" t="inlineStr">
        <is>
          <t>Workflow Automation</t>
        </is>
      </c>
      <c r="H1263" t="inlineStr">
        <is>
          <t>Usability Issue</t>
        </is>
      </c>
      <c r="I1263" t="inlineStr">
        <is>
          <t>The workflow builder doesn't let us copy steps between flows.</t>
        </is>
      </c>
      <c r="J1263" t="inlineStr">
        <is>
          <t>Neutral</t>
        </is>
      </c>
      <c r="K1263" t="inlineStr">
        <is>
          <t>Medium</t>
        </is>
      </c>
      <c r="L1263" t="inlineStr">
        <is>
          <t>Workflow Slowdown</t>
        </is>
      </c>
    </row>
    <row r="1264">
      <c r="A1264" t="inlineStr">
        <is>
          <t>FB-01263</t>
        </is>
      </c>
      <c r="B1264" t="inlineStr">
        <is>
          <t>CUST-0313</t>
        </is>
      </c>
      <c r="C1264" t="inlineStr">
        <is>
          <t>2026-08-15</t>
        </is>
      </c>
      <c r="D1264" t="inlineStr">
        <is>
          <t>Customer Survey</t>
        </is>
      </c>
      <c r="E1264" t="inlineStr">
        <is>
          <t>Starter</t>
        </is>
      </c>
      <c r="F1264" t="inlineStr">
        <is>
          <t>SMB</t>
        </is>
      </c>
      <c r="G1264" t="inlineStr">
        <is>
          <t>Integrations</t>
        </is>
      </c>
      <c r="H1264" t="inlineStr">
        <is>
          <t>Integration Issue</t>
        </is>
      </c>
      <c r="I1264" t="inlineStr">
        <is>
          <t>Not what we expected for the price. Reps no longer trust Outlook calendar sync, so they log activity by hand. Support suggested logging it here.</t>
        </is>
      </c>
      <c r="J1264" t="inlineStr">
        <is>
          <t>Negative</t>
        </is>
      </c>
      <c r="K1264" t="inlineStr">
        <is>
          <t>Medium</t>
        </is>
      </c>
      <c r="L1264" t="inlineStr">
        <is>
          <t>Workflow Slowdown</t>
        </is>
      </c>
    </row>
    <row r="1265">
      <c r="A1265" t="inlineStr">
        <is>
          <t>FB-01264</t>
        </is>
      </c>
      <c r="B1265" t="inlineStr">
        <is>
          <t>CUST-0299</t>
        </is>
      </c>
      <c r="C1265" t="inlineStr">
        <is>
          <t>2026-08-15</t>
        </is>
      </c>
      <c r="D1265" t="inlineStr">
        <is>
          <t>Customer Survey</t>
        </is>
      </c>
      <c r="E1265" t="inlineStr">
        <is>
          <t>Professional</t>
        </is>
      </c>
      <c r="F1265" t="inlineStr">
        <is>
          <t>Mid-Market</t>
        </is>
      </c>
      <c r="G1265" t="inlineStr">
        <is>
          <t>Lead Management</t>
        </is>
      </c>
      <c r="H1265" t="inlineStr">
        <is>
          <t>Feature Request</t>
        </is>
      </c>
      <c r="I1265" t="inlineStr">
        <is>
          <t>Sharing this from our team. Would love to see automated lead scoring that marketing and sales can both tune. We estimate we lose roughly 57 hours a month on this.</t>
        </is>
      </c>
      <c r="J1265" t="inlineStr">
        <is>
          <t>Neutral</t>
        </is>
      </c>
      <c r="K1265" t="inlineStr">
        <is>
          <t>Low</t>
        </is>
      </c>
      <c r="L1265" t="inlineStr">
        <is>
          <t>Workflow Slowdown</t>
        </is>
      </c>
    </row>
    <row r="1266">
      <c r="A1266" t="inlineStr">
        <is>
          <t>FB-01265</t>
        </is>
      </c>
      <c r="B1266" t="inlineStr">
        <is>
          <t>CUST-0030</t>
        </is>
      </c>
      <c r="C1266" t="inlineStr">
        <is>
          <t>2026-08-15</t>
        </is>
      </c>
      <c r="D1266" t="inlineStr">
        <is>
          <t>Support Ticket</t>
        </is>
      </c>
      <c r="E1266" t="inlineStr">
        <is>
          <t>Professional</t>
        </is>
      </c>
      <c r="F1266" t="inlineStr">
        <is>
          <t>Mid-Market</t>
        </is>
      </c>
      <c r="G1266" t="inlineStr">
        <is>
          <t>Lead Management</t>
        </is>
      </c>
      <c r="H1266" t="inlineStr">
        <is>
          <t>Performance Issue</t>
        </is>
      </c>
      <c r="I1266" t="inlineStr">
        <is>
          <t>Complaint about lead view load times: the board freezes while cards render. It affects our quarterly planning process every cycle. Support suggested logging it here.</t>
        </is>
      </c>
      <c r="J1266" t="inlineStr">
        <is>
          <t>Negative</t>
        </is>
      </c>
      <c r="K1266" t="inlineStr">
        <is>
          <t>High</t>
        </is>
      </c>
      <c r="L1266" t="inlineStr">
        <is>
          <t>Workflow Slowdown</t>
        </is>
      </c>
    </row>
    <row r="1267">
      <c r="A1267" t="inlineStr">
        <is>
          <t>FB-01266</t>
        </is>
      </c>
      <c r="B1267" t="inlineStr">
        <is>
          <t>CUST-0334</t>
        </is>
      </c>
      <c r="C1267" t="inlineStr">
        <is>
          <t>2026-08-15</t>
        </is>
      </c>
      <c r="D1267" t="inlineStr">
        <is>
          <t>In-App Feedback</t>
        </is>
      </c>
      <c r="E1267" t="inlineStr">
        <is>
          <t>Enterprise</t>
        </is>
      </c>
      <c r="F1267" t="inlineStr">
        <is>
          <t>SMB</t>
        </is>
      </c>
      <c r="G1267" t="inlineStr">
        <is>
          <t>Workflow Automation</t>
        </is>
      </c>
      <c r="H1267" t="inlineStr">
        <is>
          <t>Feature Request</t>
        </is>
      </c>
      <c r="I1267" t="inlineStr">
        <is>
          <t>Recent updates have been a nice improvement. Requesting a discount approval flow; today approvals happen over chat. Our sales manager flagged it while onboarding 59 new users.</t>
        </is>
      </c>
      <c r="J1267" t="inlineStr">
        <is>
          <t>Positive</t>
        </is>
      </c>
      <c r="K1267" t="inlineStr">
        <is>
          <t>Low</t>
        </is>
      </c>
      <c r="L1267" t="inlineStr">
        <is>
          <t>Minor Inconvenience</t>
        </is>
      </c>
    </row>
    <row r="1268">
      <c r="A1268" t="inlineStr">
        <is>
          <t>FB-01267</t>
        </is>
      </c>
      <c r="B1268" t="inlineStr">
        <is>
          <t>CUST-0146</t>
        </is>
      </c>
      <c r="C1268" t="inlineStr">
        <is>
          <t>2026-08-15</t>
        </is>
      </c>
      <c r="D1268" t="inlineStr">
        <is>
          <t>Support Ticket</t>
        </is>
      </c>
      <c r="E1268" t="inlineStr">
        <is>
          <t>Starter</t>
        </is>
      </c>
      <c r="F1268" t="inlineStr">
        <is>
          <t>SMB</t>
        </is>
      </c>
      <c r="G1268" t="inlineStr">
        <is>
          <t>Lead Management</t>
        </is>
      </c>
      <c r="H1268" t="inlineStr">
        <is>
          <t>Performance Issue</t>
        </is>
      </c>
      <c r="I1268" t="inlineStr">
        <is>
          <t>Frustrated with this one. Our lead view load times regularly exceeds ten seconds on Monday mornings. Is there a workaround?</t>
        </is>
      </c>
      <c r="J1268" t="inlineStr">
        <is>
          <t>Negative</t>
        </is>
      </c>
      <c r="K1268" t="inlineStr">
        <is>
          <t>Medium</t>
        </is>
      </c>
      <c r="L1268" t="inlineStr">
        <is>
          <t>Workflow Slowdown</t>
        </is>
      </c>
    </row>
    <row r="1269">
      <c r="A1269" t="inlineStr">
        <is>
          <t>FB-01268</t>
        </is>
      </c>
      <c r="B1269" t="inlineStr">
        <is>
          <t>CUST-0132</t>
        </is>
      </c>
      <c r="C1269" t="inlineStr">
        <is>
          <t>2026-08-16</t>
        </is>
      </c>
      <c r="D1269" t="inlineStr">
        <is>
          <t>Customer Survey</t>
        </is>
      </c>
      <c r="E1269" t="inlineStr">
        <is>
          <t>Starter</t>
        </is>
      </c>
      <c r="F1269" t="inlineStr">
        <is>
          <t>SMB</t>
        </is>
      </c>
      <c r="G1269" t="inlineStr">
        <is>
          <t>Reporting</t>
        </is>
      </c>
      <c r="H1269" t="inlineStr">
        <is>
          <t>Feature Request</t>
        </is>
      </c>
      <c r="I1269" t="inlineStr">
        <is>
          <t>Please add quota tracking; managers keep a separate spreadsheet. It affects our weekly pipeline review process every cycle. Let us know if you need examples.</t>
        </is>
      </c>
      <c r="J1269" t="inlineStr">
        <is>
          <t xml:space="preserve"> Neutral</t>
        </is>
      </c>
      <c r="K1269" t="inlineStr">
        <is>
          <t>High</t>
        </is>
      </c>
      <c r="L1269" t="inlineStr">
        <is>
          <t>Workflow Slowdown</t>
        </is>
      </c>
    </row>
    <row r="1270">
      <c r="A1270" t="inlineStr">
        <is>
          <t>FB-01269</t>
        </is>
      </c>
      <c r="B1270" t="inlineStr">
        <is>
          <t>CUST-0080</t>
        </is>
      </c>
      <c r="C1270" t="inlineStr">
        <is>
          <t>2026-08-16</t>
        </is>
      </c>
      <c r="D1270" t="inlineStr">
        <is>
          <t>Support Ticket</t>
        </is>
      </c>
      <c r="E1270" t="inlineStr">
        <is>
          <t>professional</t>
        </is>
      </c>
      <c r="F1270" t="inlineStr">
        <is>
          <t>Mid-Market</t>
        </is>
      </c>
      <c r="G1270" t="inlineStr">
        <is>
          <t>Contact Management</t>
        </is>
      </c>
      <c r="H1270" t="inlineStr">
        <is>
          <t>Feature Request</t>
        </is>
      </c>
      <c r="I1270" t="inlineStr">
        <is>
          <t>Recent updates have been a nice improvement. A bulk contact merge that keeps activity history would save our ops team hours.</t>
        </is>
      </c>
      <c r="J1270" t="inlineStr">
        <is>
          <t>Positive</t>
        </is>
      </c>
      <c r="K1270" t="inlineStr">
        <is>
          <t>High</t>
        </is>
      </c>
      <c r="L1270" t="inlineStr">
        <is>
          <t>Blocks Key Task</t>
        </is>
      </c>
    </row>
    <row r="1271">
      <c r="A1271" t="inlineStr">
        <is>
          <t>FB-01270</t>
        </is>
      </c>
      <c r="B1271" t="inlineStr">
        <is>
          <t>CUST-0048</t>
        </is>
      </c>
      <c r="C1271" t="inlineStr">
        <is>
          <t>2026-08-16</t>
        </is>
      </c>
      <c r="D1271" t="inlineStr">
        <is>
          <t>Feature Request</t>
        </is>
      </c>
      <c r="E1271" t="inlineStr">
        <is>
          <t>Starter</t>
        </is>
      </c>
      <c r="F1271" t="inlineStr">
        <is>
          <t>SMB</t>
        </is>
      </c>
      <c r="G1271" t="inlineStr">
        <is>
          <t>Contact Management</t>
        </is>
      </c>
      <c r="H1271" t="inlineStr">
        <is>
          <t xml:space="preserve">Feature Request </t>
        </is>
      </c>
      <c r="I1271" t="inlineStr">
        <is>
          <t>Feedback from our monthly review. A bulk contact merge that keeps activity history would save our ops team hours. So far 22 people on our side have reported it. Happy to join a feedback call.</t>
        </is>
      </c>
      <c r="J1271" t="inlineStr">
        <is>
          <t>Neutral</t>
        </is>
      </c>
      <c r="K1271" t="inlineStr">
        <is>
          <t>Low</t>
        </is>
      </c>
      <c r="L1271" t="inlineStr">
        <is>
          <t>Minor Inconvenience</t>
        </is>
      </c>
    </row>
    <row r="1272">
      <c r="A1272" t="inlineStr">
        <is>
          <t>FB-01271</t>
        </is>
      </c>
      <c r="B1272" t="inlineStr">
        <is>
          <t>CUST-0028</t>
        </is>
      </c>
      <c r="C1272" t="inlineStr">
        <is>
          <t>2026-08-16</t>
        </is>
      </c>
      <c r="D1272" t="inlineStr">
        <is>
          <t>Feature Request</t>
        </is>
      </c>
      <c r="E1272" t="inlineStr">
        <is>
          <t>Enterprise</t>
        </is>
      </c>
      <c r="F1272" t="inlineStr">
        <is>
          <t>Enterprise</t>
        </is>
      </c>
      <c r="G1272" t="inlineStr">
        <is>
          <t>Workflow Automation</t>
        </is>
      </c>
      <c r="H1272" t="inlineStr">
        <is>
          <t>Feature Request</t>
        </is>
      </c>
      <c r="I1272" t="inlineStr">
        <is>
          <t>Happy with most of the product. Requesting multi-level approvals; today approvals happen over chat. Our marketing ops owner flagged it while onboarding 50 new users.</t>
        </is>
      </c>
      <c r="J1272" t="inlineStr">
        <is>
          <t>Positive</t>
        </is>
      </c>
      <c r="K1272" t="inlineStr">
        <is>
          <t>Low</t>
        </is>
      </c>
      <c r="L1272" t="inlineStr">
        <is>
          <t>Workflow Slowdown</t>
        </is>
      </c>
    </row>
    <row r="1273">
      <c r="A1273" t="inlineStr">
        <is>
          <t>FB-01272</t>
        </is>
      </c>
      <c r="B1273" t="inlineStr">
        <is>
          <t>CUST-0157</t>
        </is>
      </c>
      <c r="C1273" t="inlineStr">
        <is>
          <t>2026-08-17</t>
        </is>
      </c>
      <c r="D1273" t="inlineStr">
        <is>
          <t>Support Ticket</t>
        </is>
      </c>
      <c r="E1273" t="inlineStr">
        <is>
          <t>Starter</t>
        </is>
      </c>
      <c r="F1273" t="inlineStr">
        <is>
          <t>SMB</t>
        </is>
      </c>
      <c r="G1273" t="inlineStr">
        <is>
          <t>Reporting</t>
        </is>
      </c>
      <c r="H1273" t="inlineStr">
        <is>
          <t>Performance Issue</t>
        </is>
      </c>
      <c r="I1273" t="inlineStr">
        <is>
          <t>Raising this again after our last business review. The report load time is painfully slow with a full year of data. We estimate we lose roughly 22 hours a month on this. We need a fix before renewal.</t>
        </is>
      </c>
      <c r="J1273" t="inlineStr">
        <is>
          <t>Negative</t>
        </is>
      </c>
      <c r="K1273" t="inlineStr">
        <is>
          <t>High</t>
        </is>
      </c>
      <c r="L1273" t="inlineStr">
        <is>
          <t>Blocks Key Task</t>
        </is>
      </c>
    </row>
    <row r="1274">
      <c r="A1274" t="inlineStr">
        <is>
          <t>FB-01273</t>
        </is>
      </c>
      <c r="B1274" t="inlineStr">
        <is>
          <t>CUST-0098</t>
        </is>
      </c>
      <c r="C1274" t="inlineStr">
        <is>
          <t>2026-08-17</t>
        </is>
      </c>
      <c r="D1274" t="inlineStr">
        <is>
          <t>Customer Survey</t>
        </is>
      </c>
      <c r="E1274" t="inlineStr">
        <is>
          <t>Professional</t>
        </is>
      </c>
      <c r="F1274" t="inlineStr">
        <is>
          <t>Enterprise</t>
        </is>
      </c>
      <c r="G1274" t="inlineStr">
        <is>
          <t>Workflow Automation</t>
        </is>
      </c>
      <c r="H1274" t="inlineStr">
        <is>
          <t>Usability Issue</t>
        </is>
      </c>
      <c r="I1274" t="inlineStr">
        <is>
          <t>Raising this again after our last business review. I can't tell what a branch does in the automation canvas without opening every node. We estimate we lose roughly 28 hours a month on this. Support suggested logging it here.</t>
        </is>
      </c>
      <c r="J1274" t="inlineStr">
        <is>
          <t>Negative</t>
        </is>
      </c>
      <c r="K1274" t="inlineStr">
        <is>
          <t>Low</t>
        </is>
      </c>
      <c r="L1274" t="inlineStr">
        <is>
          <t>Workflow Slowdown</t>
        </is>
      </c>
    </row>
    <row r="1275">
      <c r="A1275" t="inlineStr">
        <is>
          <t>FB-01274</t>
        </is>
      </c>
      <c r="B1275" t="inlineStr">
        <is>
          <t>CUST-0117</t>
        </is>
      </c>
      <c r="C1275" t="inlineStr">
        <is>
          <t>2026-08-18</t>
        </is>
      </c>
      <c r="D1275" t="inlineStr">
        <is>
          <t>Support Ticket</t>
        </is>
      </c>
      <c r="E1275" t="inlineStr">
        <is>
          <t>Professional</t>
        </is>
      </c>
      <c r="F1275" t="inlineStr">
        <is>
          <t>Mid-Market</t>
        </is>
      </c>
      <c r="G1275" t="inlineStr">
        <is>
          <t>Reporting</t>
        </is>
      </c>
      <c r="H1275" t="inlineStr">
        <is>
          <t>Performance Issue</t>
        </is>
      </c>
      <c r="I1275" t="inlineStr">
        <is>
          <t>Feedback from our monthly review. The dashboard loading is painfully slow with a full year of data. Let us know if you need examples.</t>
        </is>
      </c>
      <c r="J1275" t="inlineStr">
        <is>
          <t>Neutral</t>
        </is>
      </c>
      <c r="K1275" t="inlineStr">
        <is>
          <t>Medium</t>
        </is>
      </c>
      <c r="L1275" t="inlineStr">
        <is>
          <t>Revenue/Operations Risk</t>
        </is>
      </c>
    </row>
    <row r="1276">
      <c r="A1276" t="inlineStr">
        <is>
          <t>FB-01275</t>
        </is>
      </c>
      <c r="B1276" t="inlineStr">
        <is>
          <t>CUST-0015</t>
        </is>
      </c>
      <c r="C1276" t="inlineStr">
        <is>
          <t>2026-08-18</t>
        </is>
      </c>
      <c r="D1276" t="inlineStr">
        <is>
          <t>In-App Feedback</t>
        </is>
      </c>
      <c r="E1276" t="inlineStr">
        <is>
          <t>Professional</t>
        </is>
      </c>
      <c r="F1276" t="inlineStr">
        <is>
          <t>Mid-Market</t>
        </is>
      </c>
      <c r="G1276" t="inlineStr">
        <is>
          <t>User Interface</t>
        </is>
      </c>
      <c r="H1276" t="inlineStr">
        <is>
          <t>Performance Issue</t>
        </is>
      </c>
      <c r="I1276" t="inlineStr">
        <is>
          <t>Escalating on behalf of our ops lead. Page lag makes data entry frustrating during live calls. It affects our quarterly planning process every cycle. Please look into it soon.</t>
        </is>
      </c>
      <c r="J1276" t="inlineStr">
        <is>
          <t>Negative</t>
        </is>
      </c>
      <c r="K1276" t="inlineStr">
        <is>
          <t>High</t>
        </is>
      </c>
      <c r="L1276" t="inlineStr">
        <is>
          <t>Blocks Key Task</t>
        </is>
      </c>
    </row>
    <row r="1277">
      <c r="A1277" t="inlineStr">
        <is>
          <t>FB-01276</t>
        </is>
      </c>
      <c r="B1277" t="inlineStr">
        <is>
          <t>CUST-0020</t>
        </is>
      </c>
      <c r="C1277" t="inlineStr">
        <is>
          <t>2026-08-18</t>
        </is>
      </c>
      <c r="D1277" t="inlineStr">
        <is>
          <t>In-App Feedback</t>
        </is>
      </c>
      <c r="E1277" t="inlineStr">
        <is>
          <t>Starter</t>
        </is>
      </c>
      <c r="F1277" t="inlineStr">
        <is>
          <t>SMB</t>
        </is>
      </c>
      <c r="G1277" t="inlineStr">
        <is>
          <t>Contact Management</t>
        </is>
      </c>
      <c r="H1277" t="inlineStr">
        <is>
          <t>Bug</t>
        </is>
      </c>
      <c r="I1277" t="inlineStr">
        <is>
          <t>Raising this again after our last business review. Our spreadsheet import scrambles phone and email columns even after we map them correctly. It happens about 20 times a week for our team of 73. Support suggested logging it here.</t>
        </is>
      </c>
      <c r="J1277" t="inlineStr">
        <is>
          <t>Negative</t>
        </is>
      </c>
      <c r="K1277" t="inlineStr">
        <is>
          <t>Medium</t>
        </is>
      </c>
      <c r="L1277" t="inlineStr">
        <is>
          <t>Minor Inconvenience</t>
        </is>
      </c>
    </row>
    <row r="1278">
      <c r="A1278" t="inlineStr">
        <is>
          <t>FB-01277</t>
        </is>
      </c>
      <c r="B1278" t="inlineStr">
        <is>
          <t>CUST-0185</t>
        </is>
      </c>
      <c r="C1278" t="inlineStr">
        <is>
          <t>2026-08-19</t>
        </is>
      </c>
      <c r="D1278" t="inlineStr">
        <is>
          <t>Feature Request</t>
        </is>
      </c>
      <c r="E1278" t="inlineStr">
        <is>
          <t>Professional</t>
        </is>
      </c>
      <c r="F1278" t="inlineStr">
        <is>
          <t>Mid-Market</t>
        </is>
      </c>
      <c r="G1278" t="inlineStr">
        <is>
          <t>User Interface</t>
        </is>
      </c>
      <c r="H1278" t="inlineStr">
        <is>
          <t>Feature Request</t>
        </is>
      </c>
      <c r="I1278" t="inlineStr">
        <is>
          <t>Recent updates have been a nice improvement. We lose notes whenever reps are away from a desk without offline mobile access. Thanks to the team.</t>
        </is>
      </c>
      <c r="J1278" t="inlineStr">
        <is>
          <t>Positive</t>
        </is>
      </c>
      <c r="K1278" t="inlineStr">
        <is>
          <t>Low</t>
        </is>
      </c>
      <c r="L1278" t="inlineStr">
        <is>
          <t>Minor Inconvenience</t>
        </is>
      </c>
    </row>
    <row r="1279">
      <c r="A1279" t="inlineStr">
        <is>
          <t>FB-01278</t>
        </is>
      </c>
      <c r="B1279" t="inlineStr">
        <is>
          <t>CUST-0287</t>
        </is>
      </c>
      <c r="C1279" t="inlineStr">
        <is>
          <t>2026-08-19</t>
        </is>
      </c>
      <c r="D1279" t="inlineStr">
        <is>
          <t>Support Ticket</t>
        </is>
      </c>
      <c r="E1279" t="inlineStr">
        <is>
          <t>Professional</t>
        </is>
      </c>
      <c r="F1279" t="inlineStr">
        <is>
          <t>Mid-Market</t>
        </is>
      </c>
      <c r="G1279" t="inlineStr">
        <is>
          <t>Lead Management</t>
        </is>
      </c>
      <c r="H1279" t="inlineStr">
        <is>
          <t>Bug</t>
        </is>
      </c>
      <c r="I1279" t="inlineStr">
        <is>
          <t>Noting this during onboarding. Web form submissions keep creating lead de-duplication failures, and reps end up calling the same prospect twice. So far 29 people on our side have reported it.</t>
        </is>
      </c>
      <c r="J1279" t="inlineStr">
        <is>
          <t>Neutral</t>
        </is>
      </c>
      <c r="K1279" t="inlineStr">
        <is>
          <t>Critical</t>
        </is>
      </c>
      <c r="L1279" t="inlineStr">
        <is>
          <t>Revenue/Operations Risk</t>
        </is>
      </c>
    </row>
    <row r="1280">
      <c r="A1280" t="inlineStr">
        <is>
          <t>FB-01279</t>
        </is>
      </c>
      <c r="B1280" t="inlineStr">
        <is>
          <t>CUST-0099</t>
        </is>
      </c>
      <c r="C1280" t="inlineStr">
        <is>
          <t>2026-08-20</t>
        </is>
      </c>
      <c r="D1280" t="inlineStr">
        <is>
          <t>Customer Survey</t>
        </is>
      </c>
      <c r="E1280" t="inlineStr">
        <is>
          <t>Starter</t>
        </is>
      </c>
      <c r="F1280" t="inlineStr">
        <is>
          <t>Mid-Market</t>
        </is>
      </c>
      <c r="G1280" t="inlineStr">
        <is>
          <t>Integrations</t>
        </is>
      </c>
      <c r="H1280" t="inlineStr">
        <is>
          <t>Integration Issue</t>
        </is>
      </c>
      <c r="I1280" t="inlineStr">
        <is>
          <t>Quick note from our admin. Our email sync keeps disconnecting and activities are missing from the contact timeline. It happens about 34 times a week for our team of 28.</t>
        </is>
      </c>
      <c r="J1280" t="inlineStr">
        <is>
          <t>Neutral</t>
        </is>
      </c>
      <c r="K1280" t="inlineStr">
        <is>
          <t>Medium</t>
        </is>
      </c>
      <c r="L1280" t="inlineStr">
        <is>
          <t>Workflow Slowdown</t>
        </is>
      </c>
    </row>
    <row r="1281">
      <c r="A1281" t="inlineStr">
        <is>
          <t>FB-01280</t>
        </is>
      </c>
      <c r="B1281" t="inlineStr">
        <is>
          <t>CUST-0025</t>
        </is>
      </c>
      <c r="C1281" t="inlineStr">
        <is>
          <t>2026-08-20</t>
        </is>
      </c>
      <c r="D1281" t="inlineStr">
        <is>
          <t>Support Ticket</t>
        </is>
      </c>
      <c r="E1281" t="inlineStr">
        <is>
          <t>Enterprise</t>
        </is>
      </c>
      <c r="F1281" t="inlineStr">
        <is>
          <t>Enterprise</t>
        </is>
      </c>
      <c r="G1281" t="inlineStr">
        <is>
          <t>Contact Management</t>
        </is>
      </c>
      <c r="H1281" t="inlineStr">
        <is>
          <t>Bug</t>
        </is>
      </c>
      <c r="I1281" t="inlineStr">
        <is>
          <t>The contact CSV import rejects files with accented characters in names. So far 103 people on our side have reported it. Support suggested logging it here.</t>
        </is>
      </c>
      <c r="J1281" t="inlineStr">
        <is>
          <t>Negative</t>
        </is>
      </c>
      <c r="K1281" t="inlineStr">
        <is>
          <t>Critical</t>
        </is>
      </c>
      <c r="L1281" t="inlineStr">
        <is>
          <t>Revenue/Operations Risk</t>
        </is>
      </c>
    </row>
    <row r="1282">
      <c r="A1282" t="inlineStr">
        <is>
          <t>FB-01281</t>
        </is>
      </c>
      <c r="B1282" t="inlineStr">
        <is>
          <t>CUST-0206</t>
        </is>
      </c>
      <c r="C1282" t="inlineStr">
        <is>
          <t>2026-08-20</t>
        </is>
      </c>
      <c r="D1282" t="inlineStr">
        <is>
          <t>In-App Feedback</t>
        </is>
      </c>
      <c r="E1282" t="inlineStr">
        <is>
          <t>Professional</t>
        </is>
      </c>
      <c r="F1282" t="inlineStr">
        <is>
          <t>Mid-Market</t>
        </is>
      </c>
      <c r="G1282" t="inlineStr">
        <is>
          <t>Integrations</t>
        </is>
      </c>
      <c r="H1282" t="inlineStr">
        <is>
          <t>Feature Request</t>
        </is>
      </c>
      <c r="I1282" t="inlineStr">
        <is>
          <t>Quick note from our admin. Lack of a native accounting integration is a gap versus other CRMs we evaluated. It happens about 26 times a week for our team of 47.</t>
        </is>
      </c>
      <c r="J1282" t="inlineStr">
        <is>
          <t>Neutral</t>
        </is>
      </c>
      <c r="K1282" t="inlineStr">
        <is>
          <t>Low</t>
        </is>
      </c>
      <c r="L1282" t="inlineStr">
        <is>
          <t>Minor Inconvenience</t>
        </is>
      </c>
    </row>
    <row r="1283">
      <c r="A1283" t="inlineStr">
        <is>
          <t>FB-01282</t>
        </is>
      </c>
      <c r="B1283" t="inlineStr">
        <is>
          <t>CUST-0229</t>
        </is>
      </c>
      <c r="C1283" t="inlineStr">
        <is>
          <t>2026-08-20</t>
        </is>
      </c>
      <c r="D1283" t="inlineStr">
        <is>
          <t>Feature Request</t>
        </is>
      </c>
      <c r="E1283" t="inlineStr">
        <is>
          <t>Starter</t>
        </is>
      </c>
      <c r="F1283" t="inlineStr">
        <is>
          <t>Mid-Market</t>
        </is>
      </c>
      <c r="G1283" t="inlineStr">
        <is>
          <t>Lead Management</t>
        </is>
      </c>
      <c r="H1283" t="inlineStr">
        <is>
          <t>feature request</t>
        </is>
      </c>
      <c r="I1283" t="inlineStr">
        <is>
          <t>Quick note from our admin. Would love to see a lead score model that marketing and sales can both tune. It happens about 18 times a week for our team of 73. Happy to join a feedback call.</t>
        </is>
      </c>
      <c r="J1283" t="inlineStr">
        <is>
          <t>Neutral</t>
        </is>
      </c>
      <c r="K1283" t="inlineStr">
        <is>
          <t>Low</t>
        </is>
      </c>
      <c r="L1283" t="inlineStr">
        <is>
          <t>Workflow Slowdown</t>
        </is>
      </c>
    </row>
    <row r="1284">
      <c r="A1284" t="inlineStr">
        <is>
          <t>FB-01283</t>
        </is>
      </c>
      <c r="B1284" t="inlineStr">
        <is>
          <t>CUST-0091</t>
        </is>
      </c>
      <c r="C1284" t="inlineStr">
        <is>
          <t>2026-08-20</t>
        </is>
      </c>
      <c r="D1284" t="inlineStr">
        <is>
          <t>Feature Request</t>
        </is>
      </c>
      <c r="E1284" t="inlineStr">
        <is>
          <t>Professional</t>
        </is>
      </c>
      <c r="F1284" t="inlineStr">
        <is>
          <t>SMB</t>
        </is>
      </c>
      <c r="G1284" t="inlineStr">
        <is>
          <t>Reporting</t>
        </is>
      </c>
      <c r="H1284" t="inlineStr">
        <is>
          <t>Feature Request</t>
        </is>
      </c>
      <c r="I1284" t="inlineStr">
        <is>
          <t>Please add forecast rollups; managers keep a separate spreadsheet. It affects our weekly pipeline review process every cycle.</t>
        </is>
      </c>
      <c r="J1284" t="inlineStr">
        <is>
          <t>Positive</t>
        </is>
      </c>
      <c r="K1284" t="inlineStr">
        <is>
          <t>Low</t>
        </is>
      </c>
      <c r="L1284" t="inlineStr">
        <is>
          <t>Minor Inconvenience</t>
        </is>
      </c>
    </row>
    <row r="1285">
      <c r="A1285" t="inlineStr">
        <is>
          <t>FB-01284</t>
        </is>
      </c>
      <c r="B1285" t="inlineStr">
        <is>
          <t>CUST-0082</t>
        </is>
      </c>
      <c r="C1285" t="inlineStr">
        <is>
          <t>2026-08-20</t>
        </is>
      </c>
      <c r="D1285" t="inlineStr">
        <is>
          <t>Feature Request</t>
        </is>
      </c>
      <c r="E1285" t="inlineStr">
        <is>
          <t>Starter</t>
        </is>
      </c>
      <c r="F1285" t="inlineStr">
        <is>
          <t>SMB</t>
        </is>
      </c>
      <c r="G1285" t="inlineStr">
        <is>
          <t>Contact Management</t>
        </is>
      </c>
      <c r="H1285" t="inlineStr">
        <is>
          <t>Feature Request</t>
        </is>
      </c>
      <c r="I1285" t="inlineStr">
        <is>
          <t>Recent updates have been a nice improvement. We need a tool to merge duplicate contacts because our database has years of overlapping records. Keep up the good work.</t>
        </is>
      </c>
      <c r="J1285" t="inlineStr">
        <is>
          <t>Positive</t>
        </is>
      </c>
      <c r="K1285" t="inlineStr">
        <is>
          <t>Low</t>
        </is>
      </c>
      <c r="L1285" t="inlineStr">
        <is>
          <t>Minor Inconvenience</t>
        </is>
      </c>
    </row>
    <row r="1286">
      <c r="A1286" t="inlineStr">
        <is>
          <t>FB-01285</t>
        </is>
      </c>
      <c r="B1286" t="inlineStr">
        <is>
          <t>CUST-0006</t>
        </is>
      </c>
      <c r="C1286" t="inlineStr">
        <is>
          <t>2026-08-20</t>
        </is>
      </c>
      <c r="D1286" t="inlineStr">
        <is>
          <t>In-App Feedback</t>
        </is>
      </c>
      <c r="E1286" t="inlineStr">
        <is>
          <t>Starter</t>
        </is>
      </c>
      <c r="F1286" t="inlineStr">
        <is>
          <t>Mid-Market</t>
        </is>
      </c>
      <c r="G1286" t="inlineStr">
        <is>
          <t>Contact Management</t>
        </is>
      </c>
      <c r="H1286" t="inlineStr">
        <is>
          <t>Performance Issue</t>
        </is>
      </c>
      <c r="I1286" t="inlineStr">
        <is>
          <t>The contact list filtering times out on our largest accounts. So far 12 people on our side have reported it. Is there a workaround?</t>
        </is>
      </c>
      <c r="J1286" t="inlineStr">
        <is>
          <t>Negative</t>
        </is>
      </c>
      <c r="K1286" t="inlineStr">
        <is>
          <t>Critical</t>
        </is>
      </c>
      <c r="L1286" t="inlineStr">
        <is>
          <t>Workflow Slowdown</t>
        </is>
      </c>
    </row>
    <row r="1287">
      <c r="A1287" t="inlineStr">
        <is>
          <t>FB-01286</t>
        </is>
      </c>
      <c r="B1287" t="inlineStr">
        <is>
          <t>CUST-0398</t>
        </is>
      </c>
      <c r="C1287" t="inlineStr">
        <is>
          <t>2026-08-21</t>
        </is>
      </c>
      <c r="D1287" t="inlineStr">
        <is>
          <t>Customer Survey</t>
        </is>
      </c>
      <c r="E1287" t="inlineStr">
        <is>
          <t>Enterprise</t>
        </is>
      </c>
      <c r="F1287" t="inlineStr">
        <is>
          <t>Enterprise</t>
        </is>
      </c>
      <c r="G1287" t="inlineStr">
        <is>
          <t>Lead Management</t>
        </is>
      </c>
      <c r="H1287" t="inlineStr">
        <is>
          <t>Usability Issue</t>
        </is>
      </c>
      <c r="I1287" t="inlineStr">
        <is>
          <t>Happy with most of the product. We can't combine region and deal size in the lead routing rules. Happy to beta test.</t>
        </is>
      </c>
      <c r="J1287" t="inlineStr">
        <is>
          <t>Positive</t>
        </is>
      </c>
      <c r="K1287" t="inlineStr">
        <is>
          <t>High</t>
        </is>
      </c>
      <c r="L1287" t="inlineStr">
        <is>
          <t>Blocks Key Task</t>
        </is>
      </c>
    </row>
    <row r="1288">
      <c r="A1288" t="inlineStr">
        <is>
          <t>FB-01287</t>
        </is>
      </c>
      <c r="B1288" t="inlineStr">
        <is>
          <t>CUST-0370</t>
        </is>
      </c>
      <c r="C1288" t="inlineStr">
        <is>
          <t>2026-08-21</t>
        </is>
      </c>
      <c r="D1288" t="inlineStr">
        <is>
          <t>Feature Request</t>
        </is>
      </c>
      <c r="E1288" t="inlineStr">
        <is>
          <t>Starter</t>
        </is>
      </c>
      <c r="F1288" t="inlineStr">
        <is>
          <t>SMB</t>
        </is>
      </c>
      <c r="G1288" t="inlineStr">
        <is>
          <t>Lead Management</t>
        </is>
      </c>
      <c r="H1288" t="inlineStr">
        <is>
          <t>Feature Request</t>
        </is>
      </c>
      <c r="I1288" t="inlineStr">
        <is>
          <t>FYI for the product team. Right now reps rank leads by gut feel; automated lead scoring would fix that. It affects our lead handoff process every cycle.</t>
        </is>
      </c>
      <c r="J1288" t="inlineStr">
        <is>
          <t>Neutral</t>
        </is>
      </c>
      <c r="K1288" t="inlineStr">
        <is>
          <t>Low</t>
        </is>
      </c>
      <c r="L1288" t="inlineStr">
        <is>
          <t>Minor Inconvenience</t>
        </is>
      </c>
    </row>
    <row r="1289">
      <c r="A1289" t="inlineStr">
        <is>
          <t>FB-01288</t>
        </is>
      </c>
      <c r="B1289" t="inlineStr">
        <is>
          <t>CUST-0203</t>
        </is>
      </c>
      <c r="C1289" t="inlineStr">
        <is>
          <t>2026-08-21</t>
        </is>
      </c>
      <c r="D1289" t="inlineStr">
        <is>
          <t>Support Ticket</t>
        </is>
      </c>
      <c r="E1289" t="inlineStr">
        <is>
          <t>Professional</t>
        </is>
      </c>
      <c r="F1289" t="inlineStr">
        <is>
          <t>Mid-Market</t>
        </is>
      </c>
      <c r="G1289" t="inlineStr">
        <is>
          <t>Reporting</t>
        </is>
      </c>
      <c r="H1289" t="inlineStr">
        <is>
          <t>Bug</t>
        </is>
      </c>
      <c r="I1289" t="inlineStr">
        <is>
          <t>Noting this during onboarding. The Excel export cuts off rows after a few thousand records.</t>
        </is>
      </c>
      <c r="J1289" t="inlineStr">
        <is>
          <t>Neutral</t>
        </is>
      </c>
      <c r="K1289" t="inlineStr">
        <is>
          <t>Medium</t>
        </is>
      </c>
      <c r="L1289" t="inlineStr">
        <is>
          <t>Workflow Slowdown</t>
        </is>
      </c>
    </row>
    <row r="1290">
      <c r="A1290" t="inlineStr">
        <is>
          <t>FB-01289</t>
        </is>
      </c>
      <c r="B1290" t="inlineStr">
        <is>
          <t>CUST-0338</t>
        </is>
      </c>
      <c r="C1290" t="inlineStr">
        <is>
          <t>2026-08-21</t>
        </is>
      </c>
      <c r="D1290" t="inlineStr">
        <is>
          <t>Customer Survey</t>
        </is>
      </c>
      <c r="E1290" t="inlineStr">
        <is>
          <t>Professional</t>
        </is>
      </c>
      <c r="F1290" t="inlineStr">
        <is>
          <t>Mid-Market</t>
        </is>
      </c>
      <c r="G1290" t="inlineStr">
        <is>
          <t>Contact Management</t>
        </is>
      </c>
      <c r="H1290" t="inlineStr">
        <is>
          <t>Bug</t>
        </is>
      </c>
      <c r="I1290" t="inlineStr">
        <is>
          <t>Not what we expected for the price. The import field mapping silently skipped rows and we only noticed days later. Our sales manager flagged it while onboarding 65 new users. Please look into it soon.</t>
        </is>
      </c>
      <c r="J1290" t="inlineStr">
        <is>
          <t>Negative</t>
        </is>
      </c>
      <c r="K1290" t="inlineStr">
        <is>
          <t>Low</t>
        </is>
      </c>
      <c r="L1290" t="inlineStr">
        <is>
          <t>Minor Inconvenience</t>
        </is>
      </c>
    </row>
    <row r="1291">
      <c r="A1291" t="inlineStr">
        <is>
          <t>FB-01290</t>
        </is>
      </c>
      <c r="B1291" t="inlineStr">
        <is>
          <t>CUST-0055</t>
        </is>
      </c>
      <c r="C1291" t="inlineStr">
        <is>
          <t>2026-08-21</t>
        </is>
      </c>
      <c r="D1291" t="inlineStr">
        <is>
          <t>Customer Survey</t>
        </is>
      </c>
      <c r="E1291" t="inlineStr">
        <is>
          <t>Professional</t>
        </is>
      </c>
      <c r="F1291" t="inlineStr">
        <is>
          <t>Mid-Market</t>
        </is>
      </c>
      <c r="G1291" t="inlineStr">
        <is>
          <t>Integrations</t>
        </is>
      </c>
      <c r="H1291" t="inlineStr">
        <is>
          <t>Integration Issue</t>
        </is>
      </c>
      <c r="I1291" t="inlineStr">
        <is>
          <t>Our email sync keeps disconnecting and activities are missing from the contact timeline.</t>
        </is>
      </c>
      <c r="J1291" t="inlineStr">
        <is>
          <t xml:space="preserve"> Negative</t>
        </is>
      </c>
      <c r="K1291" t="inlineStr">
        <is>
          <t>Medium</t>
        </is>
      </c>
      <c r="L1291" t="inlineStr">
        <is>
          <t>Workflow Slowdown</t>
        </is>
      </c>
    </row>
    <row r="1292">
      <c r="A1292" t="inlineStr">
        <is>
          <t>FB-01291</t>
        </is>
      </c>
      <c r="B1292" t="inlineStr">
        <is>
          <t>CUST-0157</t>
        </is>
      </c>
      <c r="C1292" t="inlineStr">
        <is>
          <t>2026-08-22</t>
        </is>
      </c>
      <c r="D1292" t="inlineStr">
        <is>
          <t>Customer Survey</t>
        </is>
      </c>
      <c r="E1292" t="inlineStr">
        <is>
          <t>Starter</t>
        </is>
      </c>
      <c r="F1292" t="inlineStr">
        <is>
          <t>smb</t>
        </is>
      </c>
      <c r="G1292" t="inlineStr">
        <is>
          <t>Integrations</t>
        </is>
      </c>
      <c r="H1292" t="inlineStr">
        <is>
          <t>Feature Request</t>
        </is>
      </c>
      <c r="I1292" t="inlineStr">
        <is>
          <t>Recent updates have been a nice improvement. Lack of a native accounting integration is a gap versus other CRMs we evaluated. It happens about 34 times a week for our team of 96.</t>
        </is>
      </c>
      <c r="J1292" t="inlineStr">
        <is>
          <t>Positive</t>
        </is>
      </c>
      <c r="K1292" t="inlineStr">
        <is>
          <t>Low</t>
        </is>
      </c>
      <c r="L1292" t="inlineStr">
        <is>
          <t>Minor Inconvenience</t>
        </is>
      </c>
    </row>
    <row r="1293">
      <c r="A1293" t="inlineStr">
        <is>
          <t>FB-01292</t>
        </is>
      </c>
      <c r="B1293" t="inlineStr">
        <is>
          <t>CUST-0173</t>
        </is>
      </c>
      <c r="C1293" t="inlineStr">
        <is>
          <t>2026-08-22</t>
        </is>
      </c>
      <c r="D1293" t="inlineStr">
        <is>
          <t>Feature Request</t>
        </is>
      </c>
      <c r="E1293" t="inlineStr">
        <is>
          <t>Starter</t>
        </is>
      </c>
      <c r="F1293" t="inlineStr">
        <is>
          <t>SMB</t>
        </is>
      </c>
      <c r="G1293" t="inlineStr">
        <is>
          <t>User Interface</t>
        </is>
      </c>
      <c r="H1293" t="inlineStr">
        <is>
          <t>Feature Request</t>
        </is>
      </c>
      <c r="I1293" t="inlineStr">
        <is>
          <t>Happy with most of the product. Requesting multi-select actions across every list view.</t>
        </is>
      </c>
      <c r="J1293" t="inlineStr">
        <is>
          <t>Positive</t>
        </is>
      </c>
      <c r="K1293" t="inlineStr">
        <is>
          <t>Medium</t>
        </is>
      </c>
      <c r="L1293" t="inlineStr">
        <is>
          <t>Blocks Key Task</t>
        </is>
      </c>
    </row>
    <row r="1294">
      <c r="A1294" t="inlineStr">
        <is>
          <t>FB-01293</t>
        </is>
      </c>
      <c r="B1294" t="inlineStr">
        <is>
          <t>CUST-0091</t>
        </is>
      </c>
      <c r="C1294" t="inlineStr">
        <is>
          <t>2026-08-22</t>
        </is>
      </c>
      <c r="D1294" t="inlineStr">
        <is>
          <t>In-App Feedback</t>
        </is>
      </c>
      <c r="E1294" t="inlineStr">
        <is>
          <t>Professional</t>
        </is>
      </c>
      <c r="F1294" t="inlineStr">
        <is>
          <t>SMB</t>
        </is>
      </c>
      <c r="G1294" t="inlineStr">
        <is>
          <t>Lead Management</t>
        </is>
      </c>
      <c r="H1294" t="inlineStr">
        <is>
          <t>Performance Issue</t>
        </is>
      </c>
      <c r="I1294" t="inlineStr">
        <is>
          <t>This has been a recurring problem for us. The pipeline board loading gets very slow once we pass a few thousand open leads. It affects our lead handoff process every cycle. Please look into it soon.</t>
        </is>
      </c>
      <c r="J1294" t="inlineStr">
        <is>
          <t>Negative</t>
        </is>
      </c>
      <c r="K1294" t="inlineStr">
        <is>
          <t>Medium</t>
        </is>
      </c>
      <c r="L1294" t="inlineStr">
        <is>
          <t>Blocks Key Task</t>
        </is>
      </c>
    </row>
    <row r="1295">
      <c r="A1295" t="inlineStr">
        <is>
          <t>FB-01294</t>
        </is>
      </c>
      <c r="B1295" t="inlineStr">
        <is>
          <t>CUST-0372</t>
        </is>
      </c>
      <c r="C1295" t="inlineStr">
        <is>
          <t>2026-08-22</t>
        </is>
      </c>
      <c r="D1295" t="inlineStr">
        <is>
          <t>Feature Request</t>
        </is>
      </c>
      <c r="E1295" t="inlineStr">
        <is>
          <t>Starter</t>
        </is>
      </c>
      <c r="F1295" t="inlineStr">
        <is>
          <t>SMB</t>
        </is>
      </c>
      <c r="G1295" t="inlineStr">
        <is>
          <t>Workflow Automation</t>
        </is>
      </c>
      <c r="H1295" t="inlineStr">
        <is>
          <t>Feature Request</t>
        </is>
      </c>
      <c r="I1295" t="inlineStr">
        <is>
          <t>FYI for the product team. A library of workflow templates would cut our setup time. We estimate we lose roughly 37 hours a month on this.</t>
        </is>
      </c>
      <c r="J1295" t="inlineStr">
        <is>
          <t>Neutral</t>
        </is>
      </c>
      <c r="K1295" t="inlineStr">
        <is>
          <t>Medium</t>
        </is>
      </c>
      <c r="L1295" t="inlineStr">
        <is>
          <t>Workflow Slowdown</t>
        </is>
      </c>
    </row>
    <row r="1296">
      <c r="A1296" t="inlineStr">
        <is>
          <t>FB-01295</t>
        </is>
      </c>
      <c r="B1296" t="inlineStr">
        <is>
          <t>CUST-0367</t>
        </is>
      </c>
      <c r="C1296" t="inlineStr">
        <is>
          <t>2026-08-22</t>
        </is>
      </c>
      <c r="D1296" t="inlineStr">
        <is>
          <t>In-App Feedback</t>
        </is>
      </c>
      <c r="E1296" t="inlineStr">
        <is>
          <t>Enterprise</t>
        </is>
      </c>
      <c r="F1296" t="inlineStr">
        <is>
          <t>Mid-Market</t>
        </is>
      </c>
      <c r="G1296" t="inlineStr">
        <is>
          <t>Reporting</t>
        </is>
      </c>
      <c r="H1296" t="inlineStr">
        <is>
          <t>Performance Issue</t>
        </is>
      </c>
      <c r="I1296" t="inlineStr">
        <is>
          <t>FYI for the product team. Dashboard loading got noticeably worse over the last few months.</t>
        </is>
      </c>
      <c r="J1296" t="inlineStr">
        <is>
          <t>Neutral</t>
        </is>
      </c>
      <c r="K1296" t="inlineStr">
        <is>
          <t>Critical</t>
        </is>
      </c>
      <c r="L1296" t="inlineStr">
        <is>
          <t>Blocks Key Task</t>
        </is>
      </c>
    </row>
    <row r="1297">
      <c r="A1297" t="inlineStr">
        <is>
          <t>FB-01296</t>
        </is>
      </c>
      <c r="B1297" t="inlineStr">
        <is>
          <t>CUST-0330</t>
        </is>
      </c>
      <c r="C1297" t="inlineStr">
        <is>
          <t>2026-08-22</t>
        </is>
      </c>
      <c r="D1297" t="inlineStr">
        <is>
          <t>Feature Request</t>
        </is>
      </c>
      <c r="E1297" t="inlineStr">
        <is>
          <t>Professional</t>
        </is>
      </c>
      <c r="F1297" t="inlineStr">
        <is>
          <t>Mid-Market</t>
        </is>
      </c>
      <c r="G1297" t="inlineStr">
        <is>
          <t>Integrations</t>
        </is>
      </c>
      <c r="H1297" t="inlineStr">
        <is>
          <t>Feature Request</t>
        </is>
      </c>
      <c r="I1297" t="inlineStr">
        <is>
          <t>Noting this during onboarding. Lack of a native accounting integration is a gap versus other CRMs we evaluated. Our sales manager flagged it while onboarding 119 new users.</t>
        </is>
      </c>
      <c r="J1297" t="inlineStr">
        <is>
          <t>Neutral</t>
        </is>
      </c>
      <c r="K1297" t="inlineStr">
        <is>
          <t>Low</t>
        </is>
      </c>
      <c r="L1297" t="inlineStr">
        <is>
          <t>Minor Inconvenience</t>
        </is>
      </c>
    </row>
    <row r="1298">
      <c r="A1298" t="inlineStr">
        <is>
          <t>FB-01297</t>
        </is>
      </c>
      <c r="B1298" t="inlineStr">
        <is>
          <t>CUST-0372</t>
        </is>
      </c>
      <c r="C1298" t="inlineStr">
        <is>
          <t>2026-08-22</t>
        </is>
      </c>
      <c r="D1298" t="inlineStr">
        <is>
          <t>Customer Survey</t>
        </is>
      </c>
      <c r="E1298" t="inlineStr">
        <is>
          <t>Starter</t>
        </is>
      </c>
      <c r="F1298" t="inlineStr">
        <is>
          <t>SMB</t>
        </is>
      </c>
      <c r="G1298" t="inlineStr">
        <is>
          <t>Workflow Automation</t>
        </is>
      </c>
      <c r="H1298" t="inlineStr">
        <is>
          <t>Usability Issue</t>
        </is>
      </c>
      <c r="I1298" t="inlineStr">
        <is>
          <t>Raising this again after our last business review. I can't tell what a branch does in the workflow editor without opening every node. We estimate we lose roughly 50 hours a month on this.</t>
        </is>
      </c>
      <c r="J1298" t="inlineStr">
        <is>
          <t>Negative</t>
        </is>
      </c>
      <c r="K1298" t="inlineStr">
        <is>
          <t>Low</t>
        </is>
      </c>
      <c r="L1298" t="inlineStr">
        <is>
          <t>Minor Inconvenience</t>
        </is>
      </c>
    </row>
    <row r="1299">
      <c r="A1299" t="inlineStr">
        <is>
          <t>FB-01298</t>
        </is>
      </c>
      <c r="B1299" t="inlineStr">
        <is>
          <t>CUST-0105</t>
        </is>
      </c>
      <c r="C1299" t="inlineStr">
        <is>
          <t>2026-08-22</t>
        </is>
      </c>
      <c r="D1299" t="inlineStr">
        <is>
          <t xml:space="preserve"> In-App Feedback</t>
        </is>
      </c>
      <c r="E1299" t="inlineStr">
        <is>
          <t>Professional</t>
        </is>
      </c>
      <c r="F1299" t="inlineStr">
        <is>
          <t>Mid-Market</t>
        </is>
      </c>
      <c r="G1299" t="inlineStr">
        <is>
          <t>Workflow Automation</t>
        </is>
      </c>
      <c r="H1299" t="inlineStr">
        <is>
          <t>Usability Issue</t>
        </is>
      </c>
      <c r="I1299" t="inlineStr">
        <is>
          <t>Noting this during onboarding. Our new admins struggle with the workflow builder; there is no guidance or validation.</t>
        </is>
      </c>
      <c r="J1299" t="inlineStr">
        <is>
          <t>Neutral</t>
        </is>
      </c>
      <c r="K1299" t="inlineStr">
        <is>
          <t>Low</t>
        </is>
      </c>
      <c r="L1299" t="inlineStr">
        <is>
          <t>Minor Inconvenience</t>
        </is>
      </c>
    </row>
    <row r="1300">
      <c r="A1300" t="inlineStr">
        <is>
          <t>FB-01299</t>
        </is>
      </c>
      <c r="B1300" t="inlineStr">
        <is>
          <t>CUST-0224</t>
        </is>
      </c>
      <c r="C1300" t="inlineStr">
        <is>
          <t>2026-08-22</t>
        </is>
      </c>
      <c r="D1300" t="inlineStr">
        <is>
          <t>Feature Request</t>
        </is>
      </c>
      <c r="E1300" t="inlineStr">
        <is>
          <t>Enterprise</t>
        </is>
      </c>
      <c r="F1300" t="inlineStr">
        <is>
          <t>Mid-Market</t>
        </is>
      </c>
      <c r="G1300" t="inlineStr">
        <is>
          <t>Integrations</t>
        </is>
      </c>
      <c r="H1300" t="inlineStr">
        <is>
          <t>Feature Request</t>
        </is>
      </c>
      <c r="I1300" t="inlineStr">
        <is>
          <t>Sharing this from our team. Please add SAML login; managing users by hand does not scale. We estimate we lose roughly 28 hours a month on this. Let us know if you need examples.</t>
        </is>
      </c>
      <c r="J1300" t="inlineStr">
        <is>
          <t>Neutral</t>
        </is>
      </c>
      <c r="K1300" t="inlineStr">
        <is>
          <t>Low</t>
        </is>
      </c>
      <c r="L1300" t="inlineStr">
        <is>
          <t>Minor Inconvenience</t>
        </is>
      </c>
    </row>
    <row r="1301">
      <c r="A1301" t="inlineStr">
        <is>
          <t>FB-01300</t>
        </is>
      </c>
      <c r="B1301" t="inlineStr">
        <is>
          <t>CUST-0315</t>
        </is>
      </c>
      <c r="C1301" t="inlineStr">
        <is>
          <t>2026-08-22</t>
        </is>
      </c>
      <c r="D1301" t="inlineStr">
        <is>
          <t>Customer Survey</t>
        </is>
      </c>
      <c r="E1301" t="inlineStr">
        <is>
          <t>professional</t>
        </is>
      </c>
      <c r="F1301" t="inlineStr">
        <is>
          <t>SMB</t>
        </is>
      </c>
      <c r="G1301" t="inlineStr">
        <is>
          <t>Lead Management</t>
        </is>
      </c>
      <c r="H1301" t="inlineStr">
        <is>
          <t>Feature Request</t>
        </is>
      </c>
      <c r="I1301" t="inlineStr">
        <is>
          <t>Noting this during onboarding. Would love to see lead scoring rules that marketing and sales can both tune. It happens about 24 times a week for our team of 91.</t>
        </is>
      </c>
      <c r="J1301" t="inlineStr">
        <is>
          <t>Neutral</t>
        </is>
      </c>
      <c r="K1301" t="inlineStr">
        <is>
          <t>Medium</t>
        </is>
      </c>
      <c r="L1301" t="inlineStr">
        <is>
          <t>Workflow Slowdown</t>
        </is>
      </c>
    </row>
    <row r="1302">
      <c r="A1302" t="inlineStr">
        <is>
          <t>FB-01301</t>
        </is>
      </c>
      <c r="B1302" t="inlineStr">
        <is>
          <t>CUST-0108</t>
        </is>
      </c>
      <c r="C1302" t="inlineStr">
        <is>
          <t>2026-08-23</t>
        </is>
      </c>
      <c r="D1302" t="inlineStr">
        <is>
          <t>Feature Request</t>
        </is>
      </c>
      <c r="E1302" t="inlineStr">
        <is>
          <t>Enterprise</t>
        </is>
      </c>
      <c r="F1302" t="inlineStr">
        <is>
          <t xml:space="preserve"> Mid-Market</t>
        </is>
      </c>
      <c r="G1302" t="inlineStr">
        <is>
          <t>Workflow Automation</t>
        </is>
      </c>
      <c r="H1302" t="inlineStr">
        <is>
          <t>Feature Request</t>
        </is>
      </c>
      <c r="I1302" t="inlineStr">
        <is>
          <t>Happy with most of the product. Requesting approval steps; today approvals happen over chat. Keep up the good work.</t>
        </is>
      </c>
      <c r="J1302" t="inlineStr">
        <is>
          <t>Positive</t>
        </is>
      </c>
      <c r="K1302" t="inlineStr">
        <is>
          <t>Low</t>
        </is>
      </c>
      <c r="L1302" t="inlineStr">
        <is>
          <t>Minor Inconvenience</t>
        </is>
      </c>
    </row>
    <row r="1303">
      <c r="A1303" t="inlineStr">
        <is>
          <t>FB-01302</t>
        </is>
      </c>
      <c r="B1303" t="inlineStr">
        <is>
          <t>CUST-0180</t>
        </is>
      </c>
      <c r="C1303" t="inlineStr">
        <is>
          <t>2026-08-23</t>
        </is>
      </c>
      <c r="D1303" t="inlineStr">
        <is>
          <t>Customer Survey</t>
        </is>
      </c>
      <c r="E1303" t="inlineStr">
        <is>
          <t>Enterprise</t>
        </is>
      </c>
      <c r="F1303" t="inlineStr">
        <is>
          <t>Enterprise</t>
        </is>
      </c>
      <c r="G1303" t="inlineStr">
        <is>
          <t>Contact Management</t>
        </is>
      </c>
      <c r="H1303" t="inlineStr">
        <is>
          <t>Feature Request</t>
        </is>
      </c>
      <c r="I1303" t="inlineStr">
        <is>
          <t>Overall we like the product. Is there any plan for contact de-duplication tooling? Merging one record at a time is not realistic. So far 86 people on our side have reported it.</t>
        </is>
      </c>
      <c r="J1303" t="inlineStr">
        <is>
          <t>Positive</t>
        </is>
      </c>
      <c r="K1303" t="inlineStr">
        <is>
          <t>Low</t>
        </is>
      </c>
      <c r="L1303" t="inlineStr">
        <is>
          <t>Minor Inconvenience</t>
        </is>
      </c>
    </row>
    <row r="1304">
      <c r="A1304" t="inlineStr">
        <is>
          <t>FB-01303</t>
        </is>
      </c>
      <c r="B1304" t="inlineStr">
        <is>
          <t>CUST-0002</t>
        </is>
      </c>
      <c r="C1304" t="inlineStr">
        <is>
          <t>2026-08-23</t>
        </is>
      </c>
      <c r="D1304" t="inlineStr">
        <is>
          <t>Customer Survey</t>
        </is>
      </c>
      <c r="E1304" t="inlineStr">
        <is>
          <t>Starter</t>
        </is>
      </c>
      <c r="F1304" t="inlineStr">
        <is>
          <t>SMB</t>
        </is>
      </c>
      <c r="G1304" t="inlineStr">
        <is>
          <t>User Interface</t>
        </is>
      </c>
      <c r="H1304" t="inlineStr">
        <is>
          <t>Performance Issue</t>
        </is>
      </c>
      <c r="I1304" t="inlineStr">
        <is>
          <t>We notice page lag whenever more than a few tabs are open. It happens about 10 times a week for our team of 113. Is there a workaround?</t>
        </is>
      </c>
      <c r="J1304" t="inlineStr">
        <is>
          <t>Negative</t>
        </is>
      </c>
      <c r="K1304" t="inlineStr">
        <is>
          <t>Medium</t>
        </is>
      </c>
      <c r="L1304" t="inlineStr">
        <is>
          <t>Minor Inconvenience</t>
        </is>
      </c>
    </row>
    <row r="1305">
      <c r="A1305" t="inlineStr">
        <is>
          <t>FB-01304</t>
        </is>
      </c>
      <c r="B1305" t="inlineStr">
        <is>
          <t>CUST-0179</t>
        </is>
      </c>
      <c r="C1305" t="inlineStr">
        <is>
          <t>2026-08-23</t>
        </is>
      </c>
      <c r="D1305" t="inlineStr">
        <is>
          <t>Customer Survey</t>
        </is>
      </c>
      <c r="E1305" t="inlineStr">
        <is>
          <t>Enterprise</t>
        </is>
      </c>
      <c r="F1305" t="inlineStr">
        <is>
          <t>Enterprise</t>
        </is>
      </c>
      <c r="G1305" t="inlineStr">
        <is>
          <t>Reporting</t>
        </is>
      </c>
      <c r="H1305" t="inlineStr">
        <is>
          <t>Feature Request</t>
        </is>
      </c>
      <c r="I1305" t="inlineStr">
        <is>
          <t>Quick note from our admin. We need forecast rollups by team and region for quarterly planning.</t>
        </is>
      </c>
      <c r="J1305" t="inlineStr">
        <is>
          <t>Neutral</t>
        </is>
      </c>
      <c r="K1305" t="inlineStr">
        <is>
          <t>Medium</t>
        </is>
      </c>
      <c r="L1305" t="inlineStr">
        <is>
          <t>Workflow Slowdown</t>
        </is>
      </c>
    </row>
    <row r="1306">
      <c r="A1306" t="inlineStr">
        <is>
          <t>FB-01305</t>
        </is>
      </c>
      <c r="B1306" t="inlineStr">
        <is>
          <t>CUST-0214</t>
        </is>
      </c>
      <c r="C1306" t="inlineStr">
        <is>
          <t>2026-08-23</t>
        </is>
      </c>
      <c r="D1306" t="inlineStr">
        <is>
          <t>Customer Survey</t>
        </is>
      </c>
      <c r="E1306" t="inlineStr">
        <is>
          <t>Starter</t>
        </is>
      </c>
      <c r="F1306" t="inlineStr">
        <is>
          <t>SMB</t>
        </is>
      </c>
      <c r="G1306" t="inlineStr">
        <is>
          <t>User Interface</t>
        </is>
      </c>
      <c r="H1306" t="inlineStr">
        <is>
          <t>Feature Request</t>
        </is>
      </c>
      <c r="I1306" t="inlineStr">
        <is>
          <t>FYI for the product team. Our field reps need mobile call logging to update deals between visits. It affects our weekly pipeline review process every cycle. Happy to join a feedback call.</t>
        </is>
      </c>
      <c r="J1306" t="inlineStr">
        <is>
          <t>Neutral</t>
        </is>
      </c>
      <c r="K1306" t="inlineStr">
        <is>
          <t>Low</t>
        </is>
      </c>
      <c r="L1306" t="inlineStr">
        <is>
          <t>Minor Inconvenience</t>
        </is>
      </c>
    </row>
    <row r="1307">
      <c r="A1307" t="inlineStr">
        <is>
          <t>FB-01306</t>
        </is>
      </c>
      <c r="B1307" t="inlineStr">
        <is>
          <t>CUST-0073</t>
        </is>
      </c>
      <c r="C1307" t="inlineStr">
        <is>
          <t>2026-08-23</t>
        </is>
      </c>
      <c r="D1307" t="inlineStr">
        <is>
          <t>Customer Survey</t>
        </is>
      </c>
      <c r="E1307" t="inlineStr">
        <is>
          <t>Starter</t>
        </is>
      </c>
      <c r="F1307" t="inlineStr">
        <is>
          <t>SMB</t>
        </is>
      </c>
      <c r="G1307" t="inlineStr">
        <is>
          <t>Lead Management</t>
        </is>
      </c>
      <c r="H1307" t="inlineStr">
        <is>
          <t>Performance Issue</t>
        </is>
      </c>
      <c r="I1307" t="inlineStr">
        <is>
          <t>Feedback from our monthly review. Complaint about lead view load times: the board freezes while cards render. Let us know if you need examples.</t>
        </is>
      </c>
      <c r="J1307" t="inlineStr">
        <is>
          <t>Neutral</t>
        </is>
      </c>
      <c r="K1307" t="inlineStr">
        <is>
          <t>Low</t>
        </is>
      </c>
      <c r="L1307" t="inlineStr">
        <is>
          <t>Blocks Key Task</t>
        </is>
      </c>
    </row>
    <row r="1308">
      <c r="A1308" t="inlineStr">
        <is>
          <t>FB-01307</t>
        </is>
      </c>
      <c r="B1308" t="inlineStr">
        <is>
          <t>CUST-0208</t>
        </is>
      </c>
      <c r="C1308" t="inlineStr">
        <is>
          <t>2026-08-23</t>
        </is>
      </c>
      <c r="D1308" t="inlineStr">
        <is>
          <t>Support Ticket</t>
        </is>
      </c>
      <c r="E1308" t="inlineStr">
        <is>
          <t>Starter</t>
        </is>
      </c>
      <c r="F1308" t="inlineStr">
        <is>
          <t>SMB</t>
        </is>
      </c>
      <c r="G1308" t="inlineStr">
        <is>
          <t>User Interface</t>
        </is>
      </c>
      <c r="H1308" t="inlineStr">
        <is>
          <t>Feature Request</t>
        </is>
      </c>
      <c r="I1308" t="inlineStr">
        <is>
          <t>We need multi-select actions to update owners and stages for many records at once. We estimate we lose roughly 55 hours a month on this.</t>
        </is>
      </c>
      <c r="J1308" t="inlineStr">
        <is>
          <t>Neutral</t>
        </is>
      </c>
      <c r="K1308" t="inlineStr">
        <is>
          <t>Low</t>
        </is>
      </c>
      <c r="L1308" t="inlineStr">
        <is>
          <t>Minor Inconvenience</t>
        </is>
      </c>
    </row>
    <row r="1309">
      <c r="A1309" t="inlineStr">
        <is>
          <t>FB-01308</t>
        </is>
      </c>
      <c r="B1309" t="inlineStr">
        <is>
          <t>CUST-0108</t>
        </is>
      </c>
      <c r="C1309" t="inlineStr">
        <is>
          <t>2026-08-24</t>
        </is>
      </c>
      <c r="D1309" t="inlineStr">
        <is>
          <t>In-App Feedback</t>
        </is>
      </c>
      <c r="E1309" t="inlineStr">
        <is>
          <t>Enterprise</t>
        </is>
      </c>
      <c r="F1309" t="inlineStr">
        <is>
          <t>Mid-Market</t>
        </is>
      </c>
      <c r="G1309" t="inlineStr">
        <is>
          <t>Reporting</t>
        </is>
      </c>
      <c r="H1309" t="inlineStr">
        <is>
          <t>Bug</t>
        </is>
      </c>
      <c r="I1309" t="inlineStr">
        <is>
          <t>Not what we expected for the price. The Excel export cuts off rows after a few thousand records. So far 53 people on our side have reported it. Please look into it soon.</t>
        </is>
      </c>
      <c r="J1309" t="inlineStr">
        <is>
          <t>Negative</t>
        </is>
      </c>
      <c r="K1309" t="inlineStr">
        <is>
          <t>High</t>
        </is>
      </c>
    </row>
    <row r="1310">
      <c r="A1310" t="inlineStr">
        <is>
          <t>FB-01309</t>
        </is>
      </c>
      <c r="B1310" t="inlineStr">
        <is>
          <t>CUST-0313</t>
        </is>
      </c>
      <c r="C1310" t="inlineStr">
        <is>
          <t>2026-08-24</t>
        </is>
      </c>
      <c r="D1310" t="inlineStr">
        <is>
          <t>Support Ticket</t>
        </is>
      </c>
      <c r="E1310" t="inlineStr">
        <is>
          <t>Starter</t>
        </is>
      </c>
      <c r="F1310" t="inlineStr">
        <is>
          <t>SMB</t>
        </is>
      </c>
      <c r="G1310" t="inlineStr">
        <is>
          <t>Contact Management</t>
        </is>
      </c>
      <c r="H1310" t="inlineStr">
        <is>
          <t>Bug</t>
        </is>
      </c>
      <c r="I1310" t="inlineStr">
        <is>
          <t>Our spreadsheet import scrambles phone and email columns even after we map them correctly. So far 113 people on our side have reported it. Happy to join a feedback call.</t>
        </is>
      </c>
      <c r="J1310" t="inlineStr">
        <is>
          <t>Neutral</t>
        </is>
      </c>
      <c r="K1310" t="inlineStr">
        <is>
          <t>Medium</t>
        </is>
      </c>
      <c r="L1310" t="inlineStr">
        <is>
          <t>Workflow Slowdown</t>
        </is>
      </c>
    </row>
    <row r="1311">
      <c r="A1311" t="inlineStr">
        <is>
          <t>FB-01310</t>
        </is>
      </c>
      <c r="B1311" t="inlineStr">
        <is>
          <t>CUST-0201</t>
        </is>
      </c>
      <c r="C1311" t="inlineStr">
        <is>
          <t>2026-08-24</t>
        </is>
      </c>
      <c r="D1311" t="inlineStr">
        <is>
          <t>Support Ticket</t>
        </is>
      </c>
      <c r="E1311" t="inlineStr">
        <is>
          <t>Starter</t>
        </is>
      </c>
      <c r="F1311" t="inlineStr">
        <is>
          <t>SMB</t>
        </is>
      </c>
      <c r="G1311" t="inlineStr">
        <is>
          <t>Workflow Automation</t>
        </is>
      </c>
      <c r="H1311" t="inlineStr">
        <is>
          <t>Usability Issue</t>
        </is>
      </c>
      <c r="I1311" t="inlineStr">
        <is>
          <t>Our new admins struggle with the workflow editor; there is no guidance or validation. We estimate we lose roughly 26 hours a month on this.</t>
        </is>
      </c>
      <c r="J1311" t="inlineStr">
        <is>
          <t>Neutral</t>
        </is>
      </c>
      <c r="K1311" t="inlineStr">
        <is>
          <t>Medium</t>
        </is>
      </c>
      <c r="L1311" t="inlineStr">
        <is>
          <t>Revenue/Operations Risk</t>
        </is>
      </c>
    </row>
    <row r="1312">
      <c r="A1312" t="inlineStr">
        <is>
          <t>FB-01311</t>
        </is>
      </c>
      <c r="B1312" t="inlineStr">
        <is>
          <t>CUST-0123</t>
        </is>
      </c>
      <c r="C1312" t="inlineStr">
        <is>
          <t>2026-08-25</t>
        </is>
      </c>
      <c r="D1312" t="inlineStr">
        <is>
          <t>Support Ticket</t>
        </is>
      </c>
      <c r="E1312" t="inlineStr">
        <is>
          <t>Professional</t>
        </is>
      </c>
      <c r="F1312" t="inlineStr">
        <is>
          <t>Mid-Market</t>
        </is>
      </c>
      <c r="G1312" t="inlineStr">
        <is>
          <t>Contact Management</t>
        </is>
      </c>
      <c r="H1312" t="inlineStr">
        <is>
          <t>Bug</t>
        </is>
      </c>
      <c r="I1312" t="inlineStr">
        <is>
          <t>Raising this again after our last business review. Our contact CSV import scrambles phone and email columns even after we map them correctly. So far 50 people on our side have reported it. Please look into it soon.</t>
        </is>
      </c>
      <c r="J1312" t="inlineStr">
        <is>
          <t>Negative</t>
        </is>
      </c>
      <c r="K1312" t="inlineStr">
        <is>
          <t>Low</t>
        </is>
      </c>
      <c r="L1312" t="inlineStr">
        <is>
          <t>Minor Inconvenience</t>
        </is>
      </c>
    </row>
    <row r="1313">
      <c r="A1313" t="inlineStr">
        <is>
          <t>FB-01312</t>
        </is>
      </c>
      <c r="B1313" t="inlineStr">
        <is>
          <t>CUST-0249</t>
        </is>
      </c>
      <c r="C1313" t="inlineStr">
        <is>
          <t>2026-08-25</t>
        </is>
      </c>
      <c r="D1313" t="inlineStr">
        <is>
          <t>Support Ticket</t>
        </is>
      </c>
      <c r="E1313" t="inlineStr">
        <is>
          <t>Starter</t>
        </is>
      </c>
      <c r="F1313" t="inlineStr">
        <is>
          <t>SMB</t>
        </is>
      </c>
      <c r="G1313" t="inlineStr">
        <is>
          <t>User Interface</t>
        </is>
      </c>
      <c r="H1313" t="inlineStr">
        <is>
          <t>Performance Issue</t>
        </is>
      </c>
      <c r="I1313" t="inlineStr">
        <is>
          <t>We notice page lag whenever more than a few tabs are open. Please look into it soon.</t>
        </is>
      </c>
      <c r="J1313" t="inlineStr">
        <is>
          <t>Negative</t>
        </is>
      </c>
      <c r="K1313" t="inlineStr">
        <is>
          <t>High</t>
        </is>
      </c>
      <c r="L1313" t="inlineStr">
        <is>
          <t>Blocks Key Task</t>
        </is>
      </c>
    </row>
    <row r="1314">
      <c r="A1314" t="inlineStr">
        <is>
          <t>FB-01313</t>
        </is>
      </c>
      <c r="B1314" t="inlineStr">
        <is>
          <t>CUST-0234</t>
        </is>
      </c>
      <c r="C1314" t="inlineStr">
        <is>
          <t>2026-08-25</t>
        </is>
      </c>
      <c r="D1314" t="inlineStr">
        <is>
          <t>Customer Survey</t>
        </is>
      </c>
      <c r="E1314" t="inlineStr">
        <is>
          <t>Enterprise</t>
        </is>
      </c>
      <c r="F1314" t="inlineStr">
        <is>
          <t>SMB</t>
        </is>
      </c>
      <c r="G1314" t="inlineStr">
        <is>
          <t>Integrations</t>
        </is>
      </c>
      <c r="H1314" t="inlineStr">
        <is>
          <t>Feature Request</t>
        </is>
      </c>
      <c r="I1314" t="inlineStr">
        <is>
          <t>Noting this during onboarding. Our security team requires SAML login before we can expand seats. We estimate we lose roughly 28 hours a month on this. Happy to join a feedback call.</t>
        </is>
      </c>
      <c r="J1314" t="inlineStr">
        <is>
          <t>Neutral</t>
        </is>
      </c>
      <c r="K1314" t="inlineStr">
        <is>
          <t>Medium</t>
        </is>
      </c>
      <c r="L1314" t="inlineStr">
        <is>
          <t>Blocks Key Task</t>
        </is>
      </c>
    </row>
    <row r="1315">
      <c r="A1315" t="inlineStr">
        <is>
          <t>FB-01314</t>
        </is>
      </c>
      <c r="B1315" t="inlineStr">
        <is>
          <t>CUST-0229</t>
        </is>
      </c>
      <c r="C1315" t="inlineStr">
        <is>
          <t>2026-08-25</t>
        </is>
      </c>
      <c r="D1315" t="inlineStr">
        <is>
          <t>CUSTOMER SURVEY</t>
        </is>
      </c>
      <c r="E1315" t="inlineStr">
        <is>
          <t>Starter</t>
        </is>
      </c>
      <c r="F1315" t="inlineStr">
        <is>
          <t>Mid-Market</t>
        </is>
      </c>
      <c r="G1315" t="inlineStr">
        <is>
          <t>Reporting</t>
        </is>
      </c>
      <c r="H1315" t="inlineStr">
        <is>
          <t>Feature Request</t>
        </is>
      </c>
      <c r="I1315" t="inlineStr">
        <is>
          <t>Noting this during onboarding. Please add scheduled report emails; today an analyst rebuilds the same report every week. It happens about 21 times a week for our team of 69.</t>
        </is>
      </c>
      <c r="J1315" t="inlineStr">
        <is>
          <t>Neutral</t>
        </is>
      </c>
      <c r="K1315" t="inlineStr">
        <is>
          <t>Medium</t>
        </is>
      </c>
      <c r="L1315" t="inlineStr">
        <is>
          <t>Minor Inconvenience</t>
        </is>
      </c>
    </row>
    <row r="1316">
      <c r="A1316" t="inlineStr">
        <is>
          <t>FB-01315</t>
        </is>
      </c>
      <c r="B1316" t="inlineStr">
        <is>
          <t>CUST-0117</t>
        </is>
      </c>
      <c r="C1316" t="inlineStr">
        <is>
          <t>2026-08-25</t>
        </is>
      </c>
      <c r="D1316" t="inlineStr">
        <is>
          <t>Customer Survey</t>
        </is>
      </c>
      <c r="E1316" t="inlineStr">
        <is>
          <t>Professional</t>
        </is>
      </c>
      <c r="F1316" t="inlineStr">
        <is>
          <t>Mid-Market</t>
        </is>
      </c>
      <c r="G1316" t="inlineStr">
        <is>
          <t>Workflow Automation</t>
        </is>
      </c>
      <c r="H1316" t="inlineStr">
        <is>
          <t>Bug</t>
        </is>
      </c>
      <c r="I1316" t="inlineStr">
        <is>
          <t>Frustrated with this one. We found automation misfires only because a customer complained. So far 36 people on our side have reported it.</t>
        </is>
      </c>
      <c r="J1316" t="inlineStr">
        <is>
          <t>Negative</t>
        </is>
      </c>
      <c r="K1316" t="inlineStr">
        <is>
          <t>Low</t>
        </is>
      </c>
      <c r="L1316" t="inlineStr">
        <is>
          <t>Blocks Key Task</t>
        </is>
      </c>
    </row>
    <row r="1317">
      <c r="A1317" t="inlineStr">
        <is>
          <t>FB-01316</t>
        </is>
      </c>
      <c r="B1317" t="inlineStr">
        <is>
          <t>CUST-0189</t>
        </is>
      </c>
      <c r="C1317" t="inlineStr">
        <is>
          <t>2026-08-25</t>
        </is>
      </c>
      <c r="D1317" t="inlineStr">
        <is>
          <t>In-App Feedback</t>
        </is>
      </c>
      <c r="E1317" t="inlineStr">
        <is>
          <t>Starter</t>
        </is>
      </c>
      <c r="F1317" t="inlineStr">
        <is>
          <t>SMB</t>
        </is>
      </c>
      <c r="G1317" t="inlineStr">
        <is>
          <t>Reporting</t>
        </is>
      </c>
      <c r="H1317" t="inlineStr">
        <is>
          <t>Feature Request</t>
        </is>
      </c>
      <c r="I1317" t="inlineStr">
        <is>
          <t>Feedback from our monthly review. Requesting sales forecasting that updates as deal stages change. It affects our lead handoff process every cycle. Let us know if you need examples.</t>
        </is>
      </c>
      <c r="J1317" t="inlineStr">
        <is>
          <t>Neutral</t>
        </is>
      </c>
      <c r="K1317" t="inlineStr">
        <is>
          <t>High</t>
        </is>
      </c>
      <c r="L1317" t="inlineStr">
        <is>
          <t>Revenue/Operations Risk</t>
        </is>
      </c>
    </row>
    <row r="1318">
      <c r="A1318" t="inlineStr">
        <is>
          <t>FB-01317</t>
        </is>
      </c>
      <c r="B1318" t="inlineStr">
        <is>
          <t>CUST-0140</t>
        </is>
      </c>
      <c r="C1318" t="inlineStr">
        <is>
          <t>2026-08-25</t>
        </is>
      </c>
      <c r="D1318" t="inlineStr">
        <is>
          <t>Feature Request</t>
        </is>
      </c>
      <c r="E1318" t="inlineStr">
        <is>
          <t>Professional</t>
        </is>
      </c>
      <c r="F1318" t="inlineStr">
        <is>
          <t>Mid-Market</t>
        </is>
      </c>
      <c r="G1318" t="inlineStr">
        <is>
          <t>Contact Management</t>
        </is>
      </c>
      <c r="H1318" t="inlineStr">
        <is>
          <t>Feature Request</t>
        </is>
      </c>
      <c r="I1318" t="inlineStr">
        <is>
          <t>Our team keeps running into this. Please extend an account hierarchy view; the current limit is too small for our use case. It happens about 5 times a week for our team of 6.</t>
        </is>
      </c>
      <c r="J1318" t="inlineStr">
        <is>
          <t>Negative</t>
        </is>
      </c>
      <c r="K1318" t="inlineStr">
        <is>
          <t>Low</t>
        </is>
      </c>
      <c r="L1318" t="inlineStr">
        <is>
          <t>Minor Inconvenience</t>
        </is>
      </c>
    </row>
    <row r="1319">
      <c r="A1319" t="inlineStr">
        <is>
          <t>FB-01318</t>
        </is>
      </c>
      <c r="B1319" t="inlineStr">
        <is>
          <t>CUST-0378</t>
        </is>
      </c>
      <c r="C1319" t="inlineStr">
        <is>
          <t>2026-08-26</t>
        </is>
      </c>
      <c r="D1319" t="inlineStr">
        <is>
          <t>Support Ticket</t>
        </is>
      </c>
      <c r="E1319" t="inlineStr">
        <is>
          <t>Starter</t>
        </is>
      </c>
      <c r="F1319" t="inlineStr">
        <is>
          <t>SMB</t>
        </is>
      </c>
      <c r="G1319" t="inlineStr">
        <is>
          <t>User Interface</t>
        </is>
      </c>
      <c r="H1319" t="inlineStr">
        <is>
          <t>Performance Issue</t>
        </is>
      </c>
      <c r="I1319" t="inlineStr">
        <is>
          <t>Slow page transitions makes data entry frustrating during live calls. We estimate we lose roughly 48 hours a month on this.</t>
        </is>
      </c>
      <c r="J1319" t="inlineStr">
        <is>
          <t>Neutral</t>
        </is>
      </c>
      <c r="K1319" t="inlineStr">
        <is>
          <t>Low</t>
        </is>
      </c>
      <c r="L1319" t="inlineStr">
        <is>
          <t>Blocks Key Task</t>
        </is>
      </c>
    </row>
    <row r="1320">
      <c r="A1320" t="inlineStr">
        <is>
          <t>FB-01319</t>
        </is>
      </c>
      <c r="B1320" t="inlineStr">
        <is>
          <t>CUST-0406</t>
        </is>
      </c>
      <c r="C1320" t="inlineStr">
        <is>
          <t>2026-08-26</t>
        </is>
      </c>
      <c r="D1320" t="inlineStr">
        <is>
          <t>In-App Feedback</t>
        </is>
      </c>
      <c r="E1320" t="inlineStr">
        <is>
          <t>Professional</t>
        </is>
      </c>
      <c r="F1320" t="inlineStr">
        <is>
          <t>Mid-Market</t>
        </is>
      </c>
      <c r="G1320" t="inlineStr">
        <is>
          <t>User Interface</t>
        </is>
      </c>
      <c r="H1320" t="inlineStr">
        <is>
          <t>Feature Request</t>
        </is>
      </c>
      <c r="I1320" t="inlineStr">
        <is>
          <t>Feedback from our monthly review. Our field reps need a mobile app to update deals between visits.</t>
        </is>
      </c>
      <c r="J1320" t="inlineStr">
        <is>
          <t>Neutral</t>
        </is>
      </c>
      <c r="K1320" t="inlineStr">
        <is>
          <t>Critical</t>
        </is>
      </c>
      <c r="L1320" t="inlineStr">
        <is>
          <t>Blocks Key Task</t>
        </is>
      </c>
    </row>
    <row r="1321">
      <c r="A1321" t="inlineStr">
        <is>
          <t>FB-01320</t>
        </is>
      </c>
      <c r="B1321" t="inlineStr">
        <is>
          <t>CUST-0036</t>
        </is>
      </c>
      <c r="C1321" t="inlineStr">
        <is>
          <t>2026-08-26</t>
        </is>
      </c>
      <c r="D1321" t="inlineStr">
        <is>
          <t>Feature Request</t>
        </is>
      </c>
      <c r="E1321" t="inlineStr">
        <is>
          <t>Starter</t>
        </is>
      </c>
      <c r="F1321" t="inlineStr">
        <is>
          <t xml:space="preserve">SMB </t>
        </is>
      </c>
      <c r="G1321" t="inlineStr">
        <is>
          <t>Reporting</t>
        </is>
      </c>
      <c r="H1321" t="inlineStr">
        <is>
          <t>Feature Request</t>
        </is>
      </c>
      <c r="I1321" t="inlineStr">
        <is>
          <t>Noting this during onboarding. We need report scheduling so non-technical managers can create their own views. We estimate we lose roughly 20 hours a month on this. Happy to join a feedback call.</t>
        </is>
      </c>
      <c r="J1321" t="inlineStr">
        <is>
          <t>Neutral</t>
        </is>
      </c>
      <c r="K1321" t="inlineStr">
        <is>
          <t>Medium</t>
        </is>
      </c>
      <c r="L1321" t="inlineStr">
        <is>
          <t>Workflow Slowdown</t>
        </is>
      </c>
    </row>
    <row r="1322">
      <c r="A1322" t="inlineStr">
        <is>
          <t>FB-01321</t>
        </is>
      </c>
      <c r="B1322" t="inlineStr">
        <is>
          <t>CUST-0037</t>
        </is>
      </c>
      <c r="C1322" t="inlineStr">
        <is>
          <t>2026-08-26</t>
        </is>
      </c>
      <c r="D1322" t="inlineStr">
        <is>
          <t>Support Ticket</t>
        </is>
      </c>
      <c r="E1322" t="inlineStr">
        <is>
          <t>Enterprise</t>
        </is>
      </c>
      <c r="F1322" t="inlineStr">
        <is>
          <t>Enterprise</t>
        </is>
      </c>
      <c r="G1322" t="inlineStr">
        <is>
          <t>Workflow Automation</t>
        </is>
      </c>
      <c r="H1322" t="inlineStr">
        <is>
          <t>Bug</t>
        </is>
      </c>
      <c r="I1322" t="inlineStr">
        <is>
          <t>Our team keeps running into this. Since the last release we've had automation misfires and tasks are being created twice. Is there a workaround?</t>
        </is>
      </c>
      <c r="J1322" t="inlineStr">
        <is>
          <t>Negative</t>
        </is>
      </c>
      <c r="K1322" t="inlineStr">
        <is>
          <t>Medium</t>
        </is>
      </c>
      <c r="L1322" t="inlineStr">
        <is>
          <t>Workflow Slowdown</t>
        </is>
      </c>
    </row>
    <row r="1323">
      <c r="A1323" t="inlineStr">
        <is>
          <t>FB-01322</t>
        </is>
      </c>
      <c r="B1323" t="inlineStr">
        <is>
          <t>CUST-0091</t>
        </is>
      </c>
      <c r="C1323" t="inlineStr">
        <is>
          <t>2026-08-26</t>
        </is>
      </c>
      <c r="D1323" t="inlineStr">
        <is>
          <t>Feature Request</t>
        </is>
      </c>
      <c r="E1323" t="inlineStr">
        <is>
          <t>Professional</t>
        </is>
      </c>
      <c r="F1323" t="inlineStr">
        <is>
          <t>SMB</t>
        </is>
      </c>
      <c r="G1323" t="inlineStr">
        <is>
          <t>Workflow Automation</t>
        </is>
      </c>
      <c r="H1323" t="inlineStr">
        <is>
          <t>Usability Issue</t>
        </is>
      </c>
      <c r="I1323" t="inlineStr">
        <is>
          <t>Raising this again after our last business review. The automation canvas doesn't let us copy steps between flows. It affects our lead handoff process every cycle.</t>
        </is>
      </c>
      <c r="J1323" t="inlineStr">
        <is>
          <t>Negative</t>
        </is>
      </c>
      <c r="K1323" t="inlineStr">
        <is>
          <t>Medium</t>
        </is>
      </c>
      <c r="L1323" t="inlineStr">
        <is>
          <t>Workflow Slowdown</t>
        </is>
      </c>
    </row>
    <row r="1324">
      <c r="A1324" t="inlineStr">
        <is>
          <t>FB-01323</t>
        </is>
      </c>
      <c r="B1324" t="inlineStr">
        <is>
          <t>CUST-0276</t>
        </is>
      </c>
      <c r="C1324" t="inlineStr">
        <is>
          <t>2026-08-27</t>
        </is>
      </c>
      <c r="D1324" t="inlineStr">
        <is>
          <t>Feature Request</t>
        </is>
      </c>
      <c r="E1324" t="inlineStr">
        <is>
          <t>Professional</t>
        </is>
      </c>
      <c r="F1324" t="inlineStr">
        <is>
          <t xml:space="preserve"> SMB</t>
        </is>
      </c>
      <c r="G1324" t="inlineStr">
        <is>
          <t>Integrations</t>
        </is>
      </c>
      <c r="H1324" t="inlineStr">
        <is>
          <t>Feature Request</t>
        </is>
      </c>
      <c r="I1324" t="inlineStr">
        <is>
          <t>Overall we like the product. Requesting a marketing automation connector to remove manual re-entry. Happy to beta test.</t>
        </is>
      </c>
      <c r="J1324" t="inlineStr">
        <is>
          <t>Positive</t>
        </is>
      </c>
      <c r="K1324" t="inlineStr">
        <is>
          <t>Low</t>
        </is>
      </c>
      <c r="L1324" t="inlineStr">
        <is>
          <t>Minor Inconvenience</t>
        </is>
      </c>
    </row>
    <row r="1325">
      <c r="A1325" t="inlineStr">
        <is>
          <t>FB-01324</t>
        </is>
      </c>
      <c r="B1325" t="inlineStr">
        <is>
          <t>CUST-0216</t>
        </is>
      </c>
      <c r="C1325" t="inlineStr">
        <is>
          <t>2026-08-27</t>
        </is>
      </c>
      <c r="D1325" t="inlineStr">
        <is>
          <t>In-App Feedback</t>
        </is>
      </c>
      <c r="E1325" t="inlineStr">
        <is>
          <t>Starter</t>
        </is>
      </c>
      <c r="F1325" t="inlineStr">
        <is>
          <t>Mid-Market</t>
        </is>
      </c>
      <c r="G1325" t="inlineStr">
        <is>
          <t>Contact Management</t>
        </is>
      </c>
      <c r="H1325" t="inlineStr">
        <is>
          <t>Bug</t>
        </is>
      </c>
      <c r="I1325" t="inlineStr">
        <is>
          <t>Our spreadsheet import scrambles phone and email columns even after we map them correctly. We estimate we lose roughly 28 hours a month on this.</t>
        </is>
      </c>
      <c r="J1325" t="inlineStr">
        <is>
          <t>Positive</t>
        </is>
      </c>
      <c r="K1325" t="inlineStr">
        <is>
          <t>Medium</t>
        </is>
      </c>
      <c r="L1325" t="inlineStr">
        <is>
          <t>Workflow Slowdown</t>
        </is>
      </c>
    </row>
    <row r="1326">
      <c r="A1326" t="inlineStr">
        <is>
          <t>FB-01325</t>
        </is>
      </c>
      <c r="B1326" t="inlineStr">
        <is>
          <t>CUST-0168</t>
        </is>
      </c>
      <c r="C1326" t="inlineStr">
        <is>
          <t>2026-08-27</t>
        </is>
      </c>
      <c r="D1326" t="inlineStr">
        <is>
          <t>Feature Request</t>
        </is>
      </c>
      <c r="E1326" t="inlineStr">
        <is>
          <t xml:space="preserve">Professional </t>
        </is>
      </c>
      <c r="F1326" t="inlineStr">
        <is>
          <t>Mid-Market</t>
        </is>
      </c>
      <c r="G1326" t="inlineStr">
        <is>
          <t>Integrations</t>
        </is>
      </c>
      <c r="H1326" t="inlineStr">
        <is>
          <t>Feature Request</t>
        </is>
      </c>
      <c r="I1326" t="inlineStr">
        <is>
          <t>Requesting a marketing automation connector to remove manual re-entry.</t>
        </is>
      </c>
      <c r="J1326" t="inlineStr">
        <is>
          <t>Neutral</t>
        </is>
      </c>
      <c r="K1326" t="inlineStr">
        <is>
          <t>High</t>
        </is>
      </c>
      <c r="L1326" t="inlineStr">
        <is>
          <t>Workflow Slowdown</t>
        </is>
      </c>
    </row>
    <row r="1327">
      <c r="A1327" t="inlineStr">
        <is>
          <t>FB-01326</t>
        </is>
      </c>
      <c r="B1327" t="inlineStr">
        <is>
          <t>CUST-0324</t>
        </is>
      </c>
      <c r="C1327" t="inlineStr">
        <is>
          <t>2026-08-27</t>
        </is>
      </c>
      <c r="D1327" t="inlineStr">
        <is>
          <t>In-App Feedback</t>
        </is>
      </c>
      <c r="E1327" t="inlineStr">
        <is>
          <t>Starter</t>
        </is>
      </c>
      <c r="F1327" t="inlineStr">
        <is>
          <t>SMB</t>
        </is>
      </c>
      <c r="G1327" t="inlineStr">
        <is>
          <t>Lead Management</t>
        </is>
      </c>
      <c r="H1327" t="inlineStr">
        <is>
          <t>Performance Issue</t>
        </is>
      </c>
      <c r="I1327" t="inlineStr">
        <is>
          <t>Reps have stopped using the board because of lead list loading. It affects our onboarding process every cycle.</t>
        </is>
      </c>
      <c r="J1327" t="inlineStr">
        <is>
          <t>Negative</t>
        </is>
      </c>
      <c r="K1327" t="inlineStr">
        <is>
          <t>Medium</t>
        </is>
      </c>
      <c r="L1327" t="inlineStr">
        <is>
          <t>Workflow Slowdown</t>
        </is>
      </c>
    </row>
    <row r="1328">
      <c r="A1328" t="inlineStr">
        <is>
          <t>FB-01327</t>
        </is>
      </c>
      <c r="B1328" t="inlineStr">
        <is>
          <t>CUST-0398</t>
        </is>
      </c>
      <c r="C1328" t="inlineStr">
        <is>
          <t>2026-08-28</t>
        </is>
      </c>
      <c r="D1328" t="inlineStr">
        <is>
          <t>Support Ticket</t>
        </is>
      </c>
      <c r="E1328" t="inlineStr">
        <is>
          <t>Enterprise</t>
        </is>
      </c>
      <c r="F1328" t="inlineStr">
        <is>
          <t>Enterprise</t>
        </is>
      </c>
      <c r="G1328" t="inlineStr">
        <is>
          <t>Workflow Automation</t>
        </is>
      </c>
      <c r="H1328" t="inlineStr">
        <is>
          <t>Bug</t>
        </is>
      </c>
      <c r="I1328" t="inlineStr">
        <is>
          <t>Since the last release we've had workflow failures and tasks are being created twice. So far 103 people on our side have reported it. Support suggested logging it here.</t>
        </is>
      </c>
      <c r="J1328" t="inlineStr">
        <is>
          <t>Negative</t>
        </is>
      </c>
      <c r="K1328" t="inlineStr">
        <is>
          <t>Low</t>
        </is>
      </c>
      <c r="L1328" t="inlineStr">
        <is>
          <t>Minor Inconvenience</t>
        </is>
      </c>
    </row>
    <row r="1329">
      <c r="A1329" t="inlineStr">
        <is>
          <t>FB-01328</t>
        </is>
      </c>
      <c r="B1329" t="inlineStr">
        <is>
          <t>CUST-0062</t>
        </is>
      </c>
      <c r="C1329" t="inlineStr">
        <is>
          <t>2026-08-28</t>
        </is>
      </c>
      <c r="D1329" t="inlineStr">
        <is>
          <t>Support Ticket</t>
        </is>
      </c>
      <c r="E1329" t="inlineStr">
        <is>
          <t>Professional</t>
        </is>
      </c>
      <c r="F1329" t="inlineStr">
        <is>
          <t>Mid-Market</t>
        </is>
      </c>
      <c r="G1329" t="inlineStr">
        <is>
          <t>Workflow Automation</t>
        </is>
      </c>
      <c r="H1329" t="inlineStr">
        <is>
          <t>Bug</t>
        </is>
      </c>
      <c r="I1329" t="inlineStr">
        <is>
          <t>We are hitting workflow failures: emails don't send and nobody gets notified. So far 110 people on our side have reported it.</t>
        </is>
      </c>
      <c r="J1329" t="inlineStr">
        <is>
          <t>Negative</t>
        </is>
      </c>
      <c r="K1329" t="inlineStr">
        <is>
          <t>High</t>
        </is>
      </c>
      <c r="L1329" t="inlineStr">
        <is>
          <t>Blocks Key Task</t>
        </is>
      </c>
    </row>
    <row r="1330">
      <c r="A1330" t="inlineStr">
        <is>
          <t>FB-01329</t>
        </is>
      </c>
      <c r="B1330" t="inlineStr">
        <is>
          <t>CUST-0108</t>
        </is>
      </c>
      <c r="C1330" t="inlineStr">
        <is>
          <t>2026-08-28</t>
        </is>
      </c>
      <c r="D1330" t="inlineStr">
        <is>
          <t>In-App Feedback</t>
        </is>
      </c>
      <c r="E1330" t="inlineStr">
        <is>
          <t>Enterprise</t>
        </is>
      </c>
      <c r="F1330" t="inlineStr">
        <is>
          <t>Mid-Market</t>
        </is>
      </c>
      <c r="G1330" t="inlineStr">
        <is>
          <t>Workflow Automation</t>
        </is>
      </c>
      <c r="H1330" t="inlineStr">
        <is>
          <t>Feature Request</t>
        </is>
      </c>
      <c r="I1330" t="inlineStr">
        <is>
          <t>We need a discount approval flow in workflows so managers can sign off on discounts. It affects our onboarding process every cycle.</t>
        </is>
      </c>
      <c r="J1330" t="inlineStr">
        <is>
          <t>Positive</t>
        </is>
      </c>
      <c r="K1330" t="inlineStr">
        <is>
          <t>Low</t>
        </is>
      </c>
      <c r="L1330" t="inlineStr">
        <is>
          <t>Workflow Slowdown</t>
        </is>
      </c>
    </row>
    <row r="1331">
      <c r="A1331" t="inlineStr">
        <is>
          <t>FB-01330</t>
        </is>
      </c>
      <c r="B1331" t="inlineStr">
        <is>
          <t>CUST-0147</t>
        </is>
      </c>
      <c r="C1331" t="inlineStr">
        <is>
          <t>2026-08-28</t>
        </is>
      </c>
      <c r="D1331" t="inlineStr">
        <is>
          <t xml:space="preserve"> Feature Request</t>
        </is>
      </c>
      <c r="E1331" t="inlineStr">
        <is>
          <t>Enterprise</t>
        </is>
      </c>
      <c r="F1331" t="inlineStr">
        <is>
          <t>Enterprise</t>
        </is>
      </c>
      <c r="G1331" t="inlineStr">
        <is>
          <t>User Interface</t>
        </is>
      </c>
      <c r="H1331" t="inlineStr">
        <is>
          <t>Usability Issue</t>
        </is>
      </c>
      <c r="I1331" t="inlineStr">
        <is>
          <t>Not what we expected for the price. The page layout is cluttered and I can never find the setting I need. Our customer success lead flagged it while onboarding 107 new users.</t>
        </is>
      </c>
      <c r="J1331" t="inlineStr">
        <is>
          <t xml:space="preserve"> Negative</t>
        </is>
      </c>
      <c r="K1331" t="inlineStr">
        <is>
          <t>High</t>
        </is>
      </c>
      <c r="L1331" t="inlineStr">
        <is>
          <t>Revenue/Operations Risk</t>
        </is>
      </c>
    </row>
    <row r="1332">
      <c r="A1332" t="inlineStr">
        <is>
          <t>FB-01331</t>
        </is>
      </c>
      <c r="B1332" t="inlineStr">
        <is>
          <t>CUST-0136</t>
        </is>
      </c>
      <c r="C1332" t="inlineStr">
        <is>
          <t>2026-08-28</t>
        </is>
      </c>
      <c r="D1332" t="inlineStr">
        <is>
          <t>Support Ticket</t>
        </is>
      </c>
      <c r="E1332" t="inlineStr">
        <is>
          <t>Starter</t>
        </is>
      </c>
      <c r="F1332" t="inlineStr">
        <is>
          <t>SMB</t>
        </is>
      </c>
      <c r="G1332" t="inlineStr">
        <is>
          <t>Integrations</t>
        </is>
      </c>
      <c r="H1332" t="inlineStr">
        <is>
          <t>Integration Issue</t>
        </is>
      </c>
      <c r="I1332" t="inlineStr">
        <is>
          <t>Our team keeps running into this. The Outlook calendar sync duplicates meetings and misses replies. So far 49 people on our side have reported it.</t>
        </is>
      </c>
      <c r="J1332" t="inlineStr">
        <is>
          <t>Negative</t>
        </is>
      </c>
      <c r="K1332" t="inlineStr">
        <is>
          <t>Medium</t>
        </is>
      </c>
      <c r="L1332" t="inlineStr">
        <is>
          <t>Minor Inconvenience</t>
        </is>
      </c>
    </row>
    <row r="1333">
      <c r="A1333" t="inlineStr">
        <is>
          <t>FB-01332</t>
        </is>
      </c>
      <c r="B1333" t="inlineStr">
        <is>
          <t>CUST-0325</t>
        </is>
      </c>
      <c r="C1333" t="inlineStr">
        <is>
          <t>2026-08-29</t>
        </is>
      </c>
      <c r="D1333" t="inlineStr">
        <is>
          <t>Support Ticket</t>
        </is>
      </c>
      <c r="E1333" t="inlineStr">
        <is>
          <t>Starter</t>
        </is>
      </c>
      <c r="F1333" t="inlineStr">
        <is>
          <t>SMB</t>
        </is>
      </c>
      <c r="G1333" t="inlineStr">
        <is>
          <t>Workflow Automation</t>
        </is>
      </c>
      <c r="H1333" t="inlineStr">
        <is>
          <t>Bug</t>
        </is>
      </c>
      <c r="I1333" t="inlineStr">
        <is>
          <t>This has been a recurring problem for us. Several workflow runs failing silently left deals stuck in the wrong stage. We estimate we lose roughly 58 hours a month on this.</t>
        </is>
      </c>
      <c r="J1333" t="inlineStr">
        <is>
          <t>Negative</t>
        </is>
      </c>
      <c r="K1333" t="inlineStr">
        <is>
          <t>Low</t>
        </is>
      </c>
      <c r="L1333" t="inlineStr">
        <is>
          <t>Minor Inconvenience</t>
        </is>
      </c>
    </row>
    <row r="1334">
      <c r="A1334" t="inlineStr">
        <is>
          <t>FB-01333</t>
        </is>
      </c>
      <c r="B1334" t="inlineStr">
        <is>
          <t>CUST-0168</t>
        </is>
      </c>
      <c r="C1334" t="inlineStr">
        <is>
          <t>2026-08-29</t>
        </is>
      </c>
      <c r="D1334" t="inlineStr">
        <is>
          <t>In-App Feedback</t>
        </is>
      </c>
      <c r="E1334" t="inlineStr">
        <is>
          <t>Professional</t>
        </is>
      </c>
      <c r="F1334" t="inlineStr">
        <is>
          <t>Mid-Market</t>
        </is>
      </c>
      <c r="G1334" t="inlineStr">
        <is>
          <t>Lead Management</t>
        </is>
      </c>
      <c r="H1334" t="inlineStr">
        <is>
          <t>Bug</t>
        </is>
      </c>
      <c r="I1334" t="inlineStr">
        <is>
          <t>Frustrated with this one. Web form submissions keep creating lead de-duplication failures, and reps end up calling the same prospect twice. It happens about 11 times a week for our team of 23.</t>
        </is>
      </c>
      <c r="J1334" t="inlineStr">
        <is>
          <t>Negative</t>
        </is>
      </c>
      <c r="K1334" t="inlineStr">
        <is>
          <t>High</t>
        </is>
      </c>
      <c r="L1334" t="inlineStr">
        <is>
          <t>Blocks Key Task</t>
        </is>
      </c>
    </row>
    <row r="1335">
      <c r="A1335" t="inlineStr">
        <is>
          <t>FB-01334</t>
        </is>
      </c>
      <c r="B1335" t="inlineStr">
        <is>
          <t>CUST-0330</t>
        </is>
      </c>
      <c r="C1335" t="inlineStr">
        <is>
          <t>2026-08-29</t>
        </is>
      </c>
      <c r="D1335" t="inlineStr">
        <is>
          <t>Customer Survey</t>
        </is>
      </c>
      <c r="E1335" t="inlineStr">
        <is>
          <t>Professional</t>
        </is>
      </c>
      <c r="F1335" t="inlineStr">
        <is>
          <t>Mid-Market</t>
        </is>
      </c>
      <c r="G1335" t="inlineStr">
        <is>
          <t>Workflow Automation</t>
        </is>
      </c>
      <c r="H1335" t="inlineStr">
        <is>
          <t>Feature Request</t>
        </is>
      </c>
      <c r="I1335" t="inlineStr">
        <is>
          <t>Noting this during onboarding. Adding a discount approval flow is a blocker for our finance team. We estimate we lose roughly 4 hours a month on this.</t>
        </is>
      </c>
      <c r="J1335" t="inlineStr">
        <is>
          <t>Neutral</t>
        </is>
      </c>
      <c r="K1335" t="inlineStr">
        <is>
          <t>Critical</t>
        </is>
      </c>
      <c r="L1335" t="inlineStr">
        <is>
          <t>Workflow Slowdown</t>
        </is>
      </c>
    </row>
    <row r="1336">
      <c r="A1336" t="inlineStr">
        <is>
          <t>FB-01335</t>
        </is>
      </c>
      <c r="B1336" t="inlineStr">
        <is>
          <t>CUST-0074</t>
        </is>
      </c>
      <c r="C1336" t="inlineStr">
        <is>
          <t>2026-08-29</t>
        </is>
      </c>
      <c r="D1336" t="inlineStr">
        <is>
          <t>Customer Survey</t>
        </is>
      </c>
      <c r="E1336" t="inlineStr">
        <is>
          <t>Enterprise</t>
        </is>
      </c>
      <c r="F1336" t="inlineStr">
        <is>
          <t>Mid-Market</t>
        </is>
      </c>
      <c r="G1336" t="inlineStr">
        <is>
          <t>Contact Management</t>
        </is>
      </c>
      <c r="H1336" t="inlineStr">
        <is>
          <t>Performance Issue</t>
        </is>
      </c>
      <c r="I1336" t="inlineStr">
        <is>
          <t>The contact search times out on our largest accounts.</t>
        </is>
      </c>
      <c r="J1336" t="inlineStr">
        <is>
          <t>Negative</t>
        </is>
      </c>
      <c r="K1336" t="inlineStr">
        <is>
          <t>High</t>
        </is>
      </c>
      <c r="L1336" t="inlineStr">
        <is>
          <t>Blocks Key Task</t>
        </is>
      </c>
    </row>
    <row r="1337">
      <c r="A1337" t="inlineStr">
        <is>
          <t>FB-01336</t>
        </is>
      </c>
      <c r="B1337" t="inlineStr">
        <is>
          <t>CUST-0135</t>
        </is>
      </c>
      <c r="C1337" t="inlineStr">
        <is>
          <t>2026-08-29</t>
        </is>
      </c>
      <c r="D1337" t="inlineStr">
        <is>
          <t>In-App Feedback</t>
        </is>
      </c>
      <c r="E1337" t="inlineStr">
        <is>
          <t>Starter</t>
        </is>
      </c>
      <c r="F1337" t="inlineStr">
        <is>
          <t>Mid-Market</t>
        </is>
      </c>
      <c r="G1337" t="inlineStr">
        <is>
          <t>Lead Management</t>
        </is>
      </c>
      <c r="H1337" t="inlineStr">
        <is>
          <t>Usability Issue</t>
        </is>
      </c>
      <c r="I1337" t="inlineStr">
        <is>
          <t>It is hard to understand how round-robin lead assignment decide who owns a lead. It affects our lead handoff process every cycle.</t>
        </is>
      </c>
      <c r="J1337" t="inlineStr">
        <is>
          <t>Negative</t>
        </is>
      </c>
      <c r="K1337" t="inlineStr">
        <is>
          <t>Medium</t>
        </is>
      </c>
      <c r="L1337" t="inlineStr">
        <is>
          <t>Workflow Slowdown</t>
        </is>
      </c>
    </row>
    <row r="1338">
      <c r="A1338" t="inlineStr">
        <is>
          <t>FB-01337</t>
        </is>
      </c>
      <c r="B1338" t="inlineStr">
        <is>
          <t>CUST-0165</t>
        </is>
      </c>
      <c r="C1338" t="inlineStr">
        <is>
          <t>2026-08-29</t>
        </is>
      </c>
      <c r="D1338" t="inlineStr">
        <is>
          <t>Feature Request</t>
        </is>
      </c>
      <c r="E1338" t="inlineStr">
        <is>
          <t>Enterprise</t>
        </is>
      </c>
      <c r="F1338" t="inlineStr">
        <is>
          <t>Mid-Market</t>
        </is>
      </c>
      <c r="G1338" t="inlineStr">
        <is>
          <t>Contact Management</t>
        </is>
      </c>
      <c r="H1338" t="inlineStr">
        <is>
          <t>Feature Request</t>
        </is>
      </c>
      <c r="I1338" t="inlineStr">
        <is>
          <t>Requesting a contact relationship hierarchy so account managers can see who reports to whom. It happens about 22 times a week for our team of 92.</t>
        </is>
      </c>
      <c r="J1338" t="inlineStr">
        <is>
          <t>Neutral</t>
        </is>
      </c>
      <c r="K1338" t="inlineStr">
        <is>
          <t>Low</t>
        </is>
      </c>
      <c r="L1338" t="inlineStr">
        <is>
          <t>Minor Inconvenience</t>
        </is>
      </c>
    </row>
    <row r="1339">
      <c r="A1339" t="inlineStr">
        <is>
          <t>FB-01338</t>
        </is>
      </c>
      <c r="B1339" t="inlineStr">
        <is>
          <t>CUST-0102</t>
        </is>
      </c>
      <c r="C1339" t="inlineStr">
        <is>
          <t>2026-08-29</t>
        </is>
      </c>
      <c r="D1339" t="inlineStr">
        <is>
          <t>Feature Request</t>
        </is>
      </c>
      <c r="E1339" t="inlineStr">
        <is>
          <t>Professional</t>
        </is>
      </c>
      <c r="F1339" t="inlineStr">
        <is>
          <t>Mid-Market</t>
        </is>
      </c>
      <c r="G1339" t="inlineStr">
        <is>
          <t>Contact Management</t>
        </is>
      </c>
      <c r="H1339" t="inlineStr">
        <is>
          <t>Feature Request</t>
        </is>
      </c>
      <c r="I1339" t="inlineStr">
        <is>
          <t>Escalating on behalf of our ops lead. Lacking an account hierarchy view forces us to keep a parallel spreadsheet. It happens about 16 times a week for our team of 89. Please look into it soon.</t>
        </is>
      </c>
      <c r="J1339" t="inlineStr">
        <is>
          <t>Negative</t>
        </is>
      </c>
      <c r="K1339" t="inlineStr">
        <is>
          <t xml:space="preserve">High </t>
        </is>
      </c>
      <c r="L1339" t="inlineStr">
        <is>
          <t>Blocks Key Task</t>
        </is>
      </c>
    </row>
    <row r="1340">
      <c r="A1340" t="inlineStr">
        <is>
          <t>FB-01339</t>
        </is>
      </c>
      <c r="B1340" t="inlineStr">
        <is>
          <t>CUST-0250</t>
        </is>
      </c>
      <c r="C1340" t="inlineStr">
        <is>
          <t>2026-08-29</t>
        </is>
      </c>
      <c r="D1340" t="inlineStr">
        <is>
          <t>Support Ticket</t>
        </is>
      </c>
      <c r="E1340" t="inlineStr">
        <is>
          <t>Professional</t>
        </is>
      </c>
      <c r="F1340" t="inlineStr">
        <is>
          <t>Mid-Market</t>
        </is>
      </c>
      <c r="G1340" t="inlineStr">
        <is>
          <t>Contact Management</t>
        </is>
      </c>
      <c r="H1340" t="inlineStr">
        <is>
          <t>Bug</t>
        </is>
      </c>
      <c r="I1340" t="inlineStr">
        <is>
          <t>The contact CSV import fails halfway through with a generic error and no row-level detail. It happens about 29 times a week for our team of 9.</t>
        </is>
      </c>
      <c r="J1340" t="inlineStr">
        <is>
          <t>Positive</t>
        </is>
      </c>
      <c r="K1340" t="inlineStr">
        <is>
          <t>Medium</t>
        </is>
      </c>
      <c r="L1340" t="inlineStr">
        <is>
          <t>Minor Inconvenience</t>
        </is>
      </c>
    </row>
    <row r="1341">
      <c r="A1341" t="inlineStr">
        <is>
          <t>FB-01340</t>
        </is>
      </c>
      <c r="B1341" t="inlineStr">
        <is>
          <t>CUST-0078</t>
        </is>
      </c>
      <c r="C1341" t="inlineStr">
        <is>
          <t>2026-08-30</t>
        </is>
      </c>
      <c r="D1341" t="inlineStr">
        <is>
          <t>Support Ticket</t>
        </is>
      </c>
      <c r="E1341" t="inlineStr">
        <is>
          <t>Professional</t>
        </is>
      </c>
      <c r="F1341" t="inlineStr">
        <is>
          <t>SMB</t>
        </is>
      </c>
      <c r="G1341" t="inlineStr">
        <is>
          <t>Contact Management</t>
        </is>
      </c>
      <c r="H1341" t="inlineStr">
        <is>
          <t>Bug</t>
        </is>
      </c>
      <c r="I1341" t="inlineStr">
        <is>
          <t>The import field mapping silently skipped rows and we only noticed days later.</t>
        </is>
      </c>
      <c r="J1341" t="inlineStr">
        <is>
          <t>Negative</t>
        </is>
      </c>
      <c r="K1341" t="inlineStr">
        <is>
          <t>Medium</t>
        </is>
      </c>
      <c r="L1341" t="inlineStr">
        <is>
          <t>Workflow Slowdown</t>
        </is>
      </c>
    </row>
    <row r="1342">
      <c r="A1342" t="inlineStr">
        <is>
          <t>FB-01341</t>
        </is>
      </c>
      <c r="B1342" t="inlineStr">
        <is>
          <t>CUST-0220</t>
        </is>
      </c>
      <c r="C1342" t="inlineStr">
        <is>
          <t>2026-08-30</t>
        </is>
      </c>
      <c r="D1342" t="inlineStr">
        <is>
          <t xml:space="preserve">In-App Feedback </t>
        </is>
      </c>
      <c r="E1342" t="inlineStr">
        <is>
          <t>Professional</t>
        </is>
      </c>
      <c r="F1342" t="inlineStr">
        <is>
          <t>Mid-Market</t>
        </is>
      </c>
      <c r="G1342" t="inlineStr">
        <is>
          <t>Contact Management</t>
        </is>
      </c>
      <c r="H1342" t="inlineStr">
        <is>
          <t>Bug</t>
        </is>
      </c>
      <c r="I1342" t="inlineStr">
        <is>
          <t>The contact CSV import fails halfway through with a generic error and no row-level detail. We estimate we lose roughly 26 hours a month on this.</t>
        </is>
      </c>
      <c r="J1342" t="inlineStr">
        <is>
          <t>Negative</t>
        </is>
      </c>
      <c r="K1342" t="inlineStr">
        <is>
          <t>Low</t>
        </is>
      </c>
      <c r="L1342" t="inlineStr">
        <is>
          <t>Minor Inconvenience</t>
        </is>
      </c>
    </row>
    <row r="1343">
      <c r="A1343" t="inlineStr">
        <is>
          <t>FB-01342</t>
        </is>
      </c>
      <c r="B1343" t="inlineStr">
        <is>
          <t>CUST-0232</t>
        </is>
      </c>
      <c r="C1343" t="inlineStr">
        <is>
          <t>2026-08-30</t>
        </is>
      </c>
      <c r="D1343" t="inlineStr">
        <is>
          <t>Support Ticket</t>
        </is>
      </c>
      <c r="E1343" t="inlineStr">
        <is>
          <t>Enterprise</t>
        </is>
      </c>
      <c r="F1343" t="inlineStr">
        <is>
          <t>Mid-Market</t>
        </is>
      </c>
      <c r="G1343" t="inlineStr">
        <is>
          <t>Integrations</t>
        </is>
      </c>
      <c r="H1343" t="inlineStr">
        <is>
          <t>Integration Issue</t>
        </is>
      </c>
      <c r="I1343" t="inlineStr">
        <is>
          <t>Not what we expected for the price. API timeouts is unreliable and there is no retry or log we can inspect. It affects our renewal process every cycle. Please look into it soon.</t>
        </is>
      </c>
      <c r="J1343" t="inlineStr">
        <is>
          <t>Negative</t>
        </is>
      </c>
      <c r="K1343" t="inlineStr">
        <is>
          <t>Medium</t>
        </is>
      </c>
      <c r="L1343" t="inlineStr">
        <is>
          <t>Workflow Slowdown</t>
        </is>
      </c>
    </row>
    <row r="1344">
      <c r="A1344" t="inlineStr">
        <is>
          <t>FB-01343</t>
        </is>
      </c>
      <c r="B1344" t="inlineStr">
        <is>
          <t>CUST-0158</t>
        </is>
      </c>
      <c r="C1344" t="inlineStr">
        <is>
          <t>2026-08-31</t>
        </is>
      </c>
      <c r="D1344" t="inlineStr">
        <is>
          <t>Support Ticket</t>
        </is>
      </c>
      <c r="E1344" t="inlineStr">
        <is>
          <t>Starter</t>
        </is>
      </c>
      <c r="F1344" t="inlineStr">
        <is>
          <t>SMB</t>
        </is>
      </c>
      <c r="G1344" t="inlineStr">
        <is>
          <t>Workflow Automation</t>
        </is>
      </c>
      <c r="H1344" t="inlineStr">
        <is>
          <t>Usability Issue</t>
        </is>
      </c>
      <c r="I1344" t="inlineStr">
        <is>
          <t>Frustrated with this one. Our new admins struggle with the automation canvas; there is no guidance or validation. Please look into it soon.</t>
        </is>
      </c>
      <c r="J1344" t="inlineStr">
        <is>
          <t>Negative</t>
        </is>
      </c>
      <c r="K1344" t="inlineStr">
        <is>
          <t>Low</t>
        </is>
      </c>
      <c r="L1344" t="inlineStr">
        <is>
          <t>Workflow Slowdown</t>
        </is>
      </c>
    </row>
    <row r="1345">
      <c r="A1345" t="inlineStr">
        <is>
          <t>FB-01344</t>
        </is>
      </c>
      <c r="B1345" t="inlineStr">
        <is>
          <t>CUST-0265</t>
        </is>
      </c>
      <c r="C1345" t="inlineStr">
        <is>
          <t>2026-08-31</t>
        </is>
      </c>
      <c r="D1345" t="inlineStr">
        <is>
          <t>Feature Request</t>
        </is>
      </c>
      <c r="E1345" t="inlineStr">
        <is>
          <t>Starter</t>
        </is>
      </c>
      <c r="F1345" t="inlineStr">
        <is>
          <t>SMB</t>
        </is>
      </c>
      <c r="G1345" t="inlineStr">
        <is>
          <t>User Interface</t>
        </is>
      </c>
      <c r="H1345" t="inlineStr">
        <is>
          <t>Feature Request</t>
        </is>
      </c>
      <c r="I1345" t="inlineStr">
        <is>
          <t>We need bulk edit actions to update owners and stages for many records at once. It affects our month-end reporting process every cycle. Keep up the good work.</t>
        </is>
      </c>
      <c r="J1345" t="inlineStr">
        <is>
          <t>Positive</t>
        </is>
      </c>
      <c r="K1345" t="inlineStr">
        <is>
          <t>Low</t>
        </is>
      </c>
      <c r="L1345" t="inlineStr">
        <is>
          <t>Workflow Slowdown</t>
        </is>
      </c>
    </row>
    <row r="1346">
      <c r="A1346" t="inlineStr">
        <is>
          <t>FB-01345</t>
        </is>
      </c>
      <c r="B1346" t="inlineStr">
        <is>
          <t>CUST-0131</t>
        </is>
      </c>
      <c r="C1346" t="inlineStr">
        <is>
          <t>2026-08-31</t>
        </is>
      </c>
      <c r="D1346" t="inlineStr">
        <is>
          <t>Support Ticket</t>
        </is>
      </c>
      <c r="E1346" t="inlineStr">
        <is>
          <t>Starter</t>
        </is>
      </c>
      <c r="F1346" t="inlineStr">
        <is>
          <t>SMB</t>
        </is>
      </c>
      <c r="G1346" t="inlineStr">
        <is>
          <t>Workflow Automation</t>
        </is>
      </c>
      <c r="H1346" t="inlineStr">
        <is>
          <t>Bug</t>
        </is>
      </c>
      <c r="I1346" t="inlineStr">
        <is>
          <t>FYI for the product team. We are hitting workflow failures: emails don't send and nobody gets notified. So far 100 people on our side have reported it.</t>
        </is>
      </c>
      <c r="J1346" t="inlineStr">
        <is>
          <t>Neutral</t>
        </is>
      </c>
      <c r="K1346" t="inlineStr">
        <is>
          <t>Low</t>
        </is>
      </c>
      <c r="L1346" t="inlineStr">
        <is>
          <t>Workflow Slowdown</t>
        </is>
      </c>
    </row>
    <row r="1347">
      <c r="A1347" t="inlineStr">
        <is>
          <t>FB-01346</t>
        </is>
      </c>
      <c r="B1347" t="inlineStr">
        <is>
          <t>CUST-0409</t>
        </is>
      </c>
      <c r="C1347" t="inlineStr">
        <is>
          <t>2026-08-31</t>
        </is>
      </c>
      <c r="D1347" t="inlineStr">
        <is>
          <t>In-App Feedback</t>
        </is>
      </c>
      <c r="E1347" t="inlineStr">
        <is>
          <t>Starter</t>
        </is>
      </c>
      <c r="F1347" t="inlineStr">
        <is>
          <t>SMB</t>
        </is>
      </c>
      <c r="G1347" t="inlineStr">
        <is>
          <t>User Interface</t>
        </is>
      </c>
      <c r="H1347" t="inlineStr">
        <is>
          <t>Feature Request</t>
        </is>
      </c>
      <c r="I1347" t="inlineStr">
        <is>
          <t>Please prioritize offline mobile access; the mobile web view is hard to use. So far 119 people on our side have reported it. Happy to join a feedback call.</t>
        </is>
      </c>
      <c r="J1347" t="inlineStr">
        <is>
          <t>Neutral</t>
        </is>
      </c>
      <c r="K1347" t="inlineStr">
        <is>
          <t>Low</t>
        </is>
      </c>
    </row>
    <row r="1348">
      <c r="A1348" t="inlineStr">
        <is>
          <t>FB-01347</t>
        </is>
      </c>
      <c r="B1348" t="inlineStr">
        <is>
          <t>CUST-0204</t>
        </is>
      </c>
      <c r="C1348" t="inlineStr">
        <is>
          <t>2026-08-31</t>
        </is>
      </c>
      <c r="D1348" t="inlineStr">
        <is>
          <t>Customer Survey</t>
        </is>
      </c>
      <c r="E1348" t="inlineStr">
        <is>
          <t>Enterprise</t>
        </is>
      </c>
      <c r="F1348" t="inlineStr">
        <is>
          <t>Enterprise</t>
        </is>
      </c>
      <c r="G1348" t="inlineStr">
        <is>
          <t>Integrations</t>
        </is>
      </c>
      <c r="H1348" t="inlineStr">
        <is>
          <t>Integration Issue</t>
        </is>
      </c>
      <c r="I1348" t="inlineStr">
        <is>
          <t>Not what we expected for the price. Our Outlook calendar sync keeps disconnecting and activities are missing from the contact timeline. Support suggested logging it here.</t>
        </is>
      </c>
      <c r="J1348" t="inlineStr">
        <is>
          <t>Negative</t>
        </is>
      </c>
      <c r="K1348" t="inlineStr">
        <is>
          <t>High</t>
        </is>
      </c>
      <c r="L1348" t="inlineStr">
        <is>
          <t>Blocks Key Task</t>
        </is>
      </c>
    </row>
    <row r="1349">
      <c r="A1349" t="inlineStr">
        <is>
          <t>FB-01348</t>
        </is>
      </c>
      <c r="B1349" t="inlineStr">
        <is>
          <t>CUST-0175</t>
        </is>
      </c>
      <c r="C1349" t="inlineStr">
        <is>
          <t>2026-08-31</t>
        </is>
      </c>
      <c r="D1349" t="inlineStr">
        <is>
          <t>Feature Request</t>
        </is>
      </c>
      <c r="E1349" t="inlineStr">
        <is>
          <t>Professional</t>
        </is>
      </c>
      <c r="F1349" t="inlineStr">
        <is>
          <t>Mid-Market</t>
        </is>
      </c>
      <c r="G1349" t="inlineStr">
        <is>
          <t>User Interface</t>
        </is>
      </c>
      <c r="H1349" t="inlineStr">
        <is>
          <t>Feature Request</t>
        </is>
      </c>
      <c r="I1349" t="inlineStr">
        <is>
          <t>Sharing this from our team. Please prioritize mobile call logging; the mobile web view is hard to use. Our admin flagged it while onboarding 44 new users. Happy to join a feedback call.</t>
        </is>
      </c>
      <c r="J1349" t="inlineStr">
        <is>
          <t>Neutral</t>
        </is>
      </c>
      <c r="K1349" t="inlineStr">
        <is>
          <t>High</t>
        </is>
      </c>
      <c r="L1349" t="inlineStr">
        <is>
          <t>Workflow Slowdown</t>
        </is>
      </c>
    </row>
    <row r="1350">
      <c r="A1350" t="inlineStr">
        <is>
          <t>FB-01349</t>
        </is>
      </c>
      <c r="B1350" t="inlineStr">
        <is>
          <t>CUST-0021</t>
        </is>
      </c>
      <c r="C1350" t="inlineStr">
        <is>
          <t>2026-08-31</t>
        </is>
      </c>
      <c r="D1350" t="inlineStr">
        <is>
          <t>Feature Request</t>
        </is>
      </c>
      <c r="E1350" t="inlineStr">
        <is>
          <t>Professional</t>
        </is>
      </c>
      <c r="F1350" t="inlineStr">
        <is>
          <t>Mid-Market</t>
        </is>
      </c>
      <c r="G1350" t="inlineStr">
        <is>
          <t>Workflow Automation</t>
        </is>
      </c>
      <c r="H1350" t="inlineStr">
        <is>
          <t>Feature Request</t>
        </is>
      </c>
      <c r="I1350" t="inlineStr">
        <is>
          <t>A library of automation recipes would cut our setup time.</t>
        </is>
      </c>
      <c r="J1350" t="inlineStr">
        <is>
          <t>Neutral</t>
        </is>
      </c>
      <c r="K1350" t="inlineStr">
        <is>
          <t>Low</t>
        </is>
      </c>
      <c r="L1350" t="inlineStr">
        <is>
          <t>Minor Inconvenience</t>
        </is>
      </c>
    </row>
    <row r="1351">
      <c r="A1351" t="inlineStr">
        <is>
          <t>FB-01350</t>
        </is>
      </c>
      <c r="B1351" t="inlineStr">
        <is>
          <t>CUST-0108</t>
        </is>
      </c>
      <c r="C1351" t="inlineStr">
        <is>
          <t>2026-09-01</t>
        </is>
      </c>
      <c r="D1351" t="inlineStr">
        <is>
          <t>In-App Feedback</t>
        </is>
      </c>
      <c r="E1351" t="inlineStr">
        <is>
          <t>Enterprise</t>
        </is>
      </c>
      <c r="F1351" t="inlineStr">
        <is>
          <t>Mid-Market</t>
        </is>
      </c>
      <c r="G1351" t="inlineStr">
        <is>
          <t>Lead Management</t>
        </is>
      </c>
      <c r="H1351" t="inlineStr">
        <is>
          <t>Bug</t>
        </is>
      </c>
      <c r="I1351" t="inlineStr">
        <is>
          <t>After every list import we find lead de-duplication failures that have to be cleaned up by hand.</t>
        </is>
      </c>
      <c r="J1351" t="inlineStr">
        <is>
          <t>Positive</t>
        </is>
      </c>
      <c r="K1351" t="inlineStr">
        <is>
          <t>Medium</t>
        </is>
      </c>
      <c r="L1351" t="inlineStr">
        <is>
          <t>Minor Inconvenience</t>
        </is>
      </c>
    </row>
    <row r="1352">
      <c r="A1352" t="inlineStr">
        <is>
          <t>FB-01351</t>
        </is>
      </c>
      <c r="B1352" t="inlineStr">
        <is>
          <t>CUST-0387</t>
        </is>
      </c>
      <c r="C1352" t="inlineStr">
        <is>
          <t>2026-09-01</t>
        </is>
      </c>
      <c r="D1352" t="inlineStr">
        <is>
          <t>Customer Survey</t>
        </is>
      </c>
      <c r="E1352" t="inlineStr">
        <is>
          <t>Starter</t>
        </is>
      </c>
      <c r="F1352" t="inlineStr">
        <is>
          <t>SMB</t>
        </is>
      </c>
      <c r="G1352" t="inlineStr">
        <is>
          <t>Workflow Automation</t>
        </is>
      </c>
      <c r="H1352" t="inlineStr">
        <is>
          <t>Feature Request</t>
        </is>
      </c>
      <c r="I1352" t="inlineStr">
        <is>
          <t>Our team keeps running into this. Adding approval steps is a blocker for our finance team. Our marketing ops owner flagged it while onboarding 108 new users. We need a fix before renewal.</t>
        </is>
      </c>
      <c r="J1352" t="inlineStr">
        <is>
          <t>Negative</t>
        </is>
      </c>
      <c r="K1352" t="inlineStr">
        <is>
          <t>Low</t>
        </is>
      </c>
      <c r="L1352" t="inlineStr">
        <is>
          <t>Minor Inconvenience</t>
        </is>
      </c>
    </row>
    <row r="1353">
      <c r="A1353" t="inlineStr">
        <is>
          <t>FB-01352</t>
        </is>
      </c>
      <c r="B1353" t="inlineStr">
        <is>
          <t>CUST-0049</t>
        </is>
      </c>
      <c r="C1353" t="inlineStr">
        <is>
          <t>2026-09-01</t>
        </is>
      </c>
      <c r="D1353" t="inlineStr">
        <is>
          <t>In-App Feedback</t>
        </is>
      </c>
      <c r="E1353" t="inlineStr">
        <is>
          <t>Starter</t>
        </is>
      </c>
      <c r="F1353" t="inlineStr">
        <is>
          <t>SMB</t>
        </is>
      </c>
      <c r="G1353" t="inlineStr">
        <is>
          <t>Lead Management</t>
        </is>
      </c>
      <c r="H1353" t="inlineStr">
        <is>
          <t>Performance Issue</t>
        </is>
      </c>
      <c r="I1353" t="inlineStr">
        <is>
          <t>Not what we expected for the price. Reps have stopped using the board because of lead list loading. Our finance analyst flagged it while onboarding 23 new users.</t>
        </is>
      </c>
      <c r="J1353" t="inlineStr">
        <is>
          <t>Negative</t>
        </is>
      </c>
      <c r="K1353" t="inlineStr">
        <is>
          <t>High</t>
        </is>
      </c>
      <c r="L1353" t="inlineStr">
        <is>
          <t>Blocks Key Task</t>
        </is>
      </c>
    </row>
    <row r="1354">
      <c r="A1354" t="inlineStr">
        <is>
          <t>FB-01353</t>
        </is>
      </c>
      <c r="B1354" t="inlineStr">
        <is>
          <t>CUST-0397</t>
        </is>
      </c>
      <c r="C1354" t="inlineStr">
        <is>
          <t>2026-09-01</t>
        </is>
      </c>
      <c r="D1354" t="inlineStr">
        <is>
          <t>Customer Survey</t>
        </is>
      </c>
      <c r="E1354" t="inlineStr">
        <is>
          <t>Starter</t>
        </is>
      </c>
      <c r="F1354" t="inlineStr">
        <is>
          <t>Mid-Market</t>
        </is>
      </c>
      <c r="G1354" t="inlineStr">
        <is>
          <t>Lead Management</t>
        </is>
      </c>
      <c r="H1354" t="inlineStr">
        <is>
          <t>Usability Issue</t>
        </is>
      </c>
      <c r="I1354" t="inlineStr">
        <is>
          <t>Noting this during onboarding. We can't combine region and deal size in the lead routing rules. It happens about 29 times a week for our team of 98.</t>
        </is>
      </c>
      <c r="J1354" t="inlineStr">
        <is>
          <t>Neutral</t>
        </is>
      </c>
      <c r="K1354" t="inlineStr">
        <is>
          <t>Low</t>
        </is>
      </c>
      <c r="L1354" t="inlineStr">
        <is>
          <t>Minor Inconvenience</t>
        </is>
      </c>
    </row>
    <row r="1355">
      <c r="A1355" t="inlineStr">
        <is>
          <t>FB-01354</t>
        </is>
      </c>
      <c r="B1355" t="inlineStr">
        <is>
          <t>CUST-0226</t>
        </is>
      </c>
      <c r="C1355" t="inlineStr">
        <is>
          <t>2026-09-01</t>
        </is>
      </c>
      <c r="D1355" t="inlineStr">
        <is>
          <t>Support Ticket</t>
        </is>
      </c>
      <c r="E1355" t="inlineStr">
        <is>
          <t>PROFESSIONAL</t>
        </is>
      </c>
      <c r="F1355" t="inlineStr">
        <is>
          <t>Enterprise</t>
        </is>
      </c>
      <c r="G1355" t="inlineStr">
        <is>
          <t>Reporting</t>
        </is>
      </c>
      <c r="H1355" t="inlineStr">
        <is>
          <t>Bug</t>
        </is>
      </c>
      <c r="I1355" t="inlineStr">
        <is>
          <t>The CSV export of reports times out for date ranges longer than a quarter. Our admin flagged it while onboarding 35 new users.</t>
        </is>
      </c>
      <c r="J1355" t="inlineStr">
        <is>
          <t>Negative</t>
        </is>
      </c>
      <c r="K1355" t="inlineStr">
        <is>
          <t>High</t>
        </is>
      </c>
      <c r="L1355" t="inlineStr">
        <is>
          <t>Revenue/Operations Risk</t>
        </is>
      </c>
    </row>
    <row r="1356">
      <c r="A1356" t="inlineStr">
        <is>
          <t>FB-01355</t>
        </is>
      </c>
      <c r="B1356" t="inlineStr">
        <is>
          <t>CUST-0322</t>
        </is>
      </c>
      <c r="C1356" t="inlineStr">
        <is>
          <t>2026-09-02</t>
        </is>
      </c>
      <c r="D1356" t="inlineStr">
        <is>
          <t>Feature Request</t>
        </is>
      </c>
      <c r="E1356" t="inlineStr">
        <is>
          <t>Starter</t>
        </is>
      </c>
      <c r="F1356" t="inlineStr">
        <is>
          <t>SMB</t>
        </is>
      </c>
      <c r="G1356" t="inlineStr">
        <is>
          <t>User Interface</t>
        </is>
      </c>
      <c r="H1356" t="inlineStr">
        <is>
          <t>Feature Request</t>
        </is>
      </c>
      <c r="I1356" t="inlineStr">
        <is>
          <t>Recent updates have been a nice improvement. Please prioritize offline mobile access; the mobile web view is hard to use. So far 113 people on our side have reported it. Keep up the good work.</t>
        </is>
      </c>
      <c r="J1356" t="inlineStr">
        <is>
          <t>Positive</t>
        </is>
      </c>
      <c r="K1356" t="inlineStr">
        <is>
          <t>Low</t>
        </is>
      </c>
      <c r="L1356" t="inlineStr">
        <is>
          <t>Workflow Slowdown</t>
        </is>
      </c>
    </row>
    <row r="1357">
      <c r="A1357" t="inlineStr">
        <is>
          <t>FB-01356</t>
        </is>
      </c>
      <c r="B1357" t="inlineStr">
        <is>
          <t>CUST-0210</t>
        </is>
      </c>
      <c r="C1357" t="inlineStr">
        <is>
          <t>2026-09-02</t>
        </is>
      </c>
      <c r="D1357" t="inlineStr">
        <is>
          <t>Customer Survey</t>
        </is>
      </c>
      <c r="E1357" t="inlineStr">
        <is>
          <t>Professional</t>
        </is>
      </c>
      <c r="F1357" t="inlineStr">
        <is>
          <t>Mid-Market</t>
        </is>
      </c>
      <c r="G1357" t="inlineStr">
        <is>
          <t>Integrations</t>
        </is>
      </c>
      <c r="H1357" t="inlineStr">
        <is>
          <t>Feature Request</t>
        </is>
      </c>
      <c r="I1357" t="inlineStr">
        <is>
          <t>Sharing this from our team. Our security team requires SSO support before we can expand seats. We estimate we lose roughly 14 hours a month on this. Happy to join a feedback call.</t>
        </is>
      </c>
      <c r="J1357" t="inlineStr">
        <is>
          <t>Neutral</t>
        </is>
      </c>
      <c r="K1357" t="inlineStr">
        <is>
          <t xml:space="preserve"> Medium</t>
        </is>
      </c>
      <c r="L1357" t="inlineStr">
        <is>
          <t>Minor Inconvenience</t>
        </is>
      </c>
    </row>
    <row r="1358">
      <c r="A1358" t="inlineStr">
        <is>
          <t>FB-01357</t>
        </is>
      </c>
      <c r="B1358" t="inlineStr">
        <is>
          <t>CUST-0367</t>
        </is>
      </c>
      <c r="C1358" t="inlineStr">
        <is>
          <t>2026-09-03</t>
        </is>
      </c>
      <c r="D1358" t="inlineStr">
        <is>
          <t>Customer Survey</t>
        </is>
      </c>
      <c r="E1358" t="inlineStr">
        <is>
          <t>Enterprise</t>
        </is>
      </c>
      <c r="F1358" t="inlineStr">
        <is>
          <t>Mid-Market</t>
        </is>
      </c>
      <c r="G1358" t="inlineStr">
        <is>
          <t>Workflow Automation</t>
        </is>
      </c>
      <c r="H1358" t="inlineStr">
        <is>
          <t>Feature Request</t>
        </is>
      </c>
      <c r="I1358" t="inlineStr">
        <is>
          <t>Adding approval steps is a blocker for our finance team. Our admin flagged it while onboarding 80 new users.</t>
        </is>
      </c>
      <c r="J1358" t="inlineStr">
        <is>
          <t>Positive</t>
        </is>
      </c>
      <c r="K1358" t="inlineStr">
        <is>
          <t>Low</t>
        </is>
      </c>
      <c r="L1358" t="inlineStr">
        <is>
          <t>Minor Inconvenience</t>
        </is>
      </c>
    </row>
    <row r="1359">
      <c r="A1359" t="inlineStr">
        <is>
          <t>FB-01358</t>
        </is>
      </c>
      <c r="B1359" t="inlineStr">
        <is>
          <t>CUST-0196</t>
        </is>
      </c>
      <c r="C1359" t="inlineStr">
        <is>
          <t>2026-09-03</t>
        </is>
      </c>
      <c r="D1359" t="inlineStr">
        <is>
          <t>Support Ticket</t>
        </is>
      </c>
      <c r="E1359" t="inlineStr">
        <is>
          <t>Enterprise</t>
        </is>
      </c>
      <c r="F1359" t="inlineStr">
        <is>
          <t>Enterprise</t>
        </is>
      </c>
      <c r="G1359" t="inlineStr">
        <is>
          <t>User Interface</t>
        </is>
      </c>
      <c r="H1359" t="inlineStr">
        <is>
          <t>Feature Request</t>
        </is>
      </c>
      <c r="I1359" t="inlineStr">
        <is>
          <t>We lose notes whenever reps are away from a desk without offline mobile access. It affects our month-end reporting process every cycle.</t>
        </is>
      </c>
      <c r="J1359" t="inlineStr">
        <is>
          <t>Neutral</t>
        </is>
      </c>
      <c r="K1359" t="inlineStr">
        <is>
          <t>Critical</t>
        </is>
      </c>
      <c r="L1359" t="inlineStr">
        <is>
          <t>Blocks Key Task</t>
        </is>
      </c>
    </row>
    <row r="1360">
      <c r="A1360" t="inlineStr">
        <is>
          <t>FB-01359</t>
        </is>
      </c>
      <c r="B1360" t="inlineStr">
        <is>
          <t>CUST-0309</t>
        </is>
      </c>
      <c r="C1360" t="inlineStr">
        <is>
          <t>2026-09-03</t>
        </is>
      </c>
      <c r="D1360" t="inlineStr">
        <is>
          <t>Support Ticket</t>
        </is>
      </c>
      <c r="E1360" t="inlineStr">
        <is>
          <t>Starter</t>
        </is>
      </c>
      <c r="F1360" t="inlineStr">
        <is>
          <t>SMB</t>
        </is>
      </c>
      <c r="G1360" t="inlineStr">
        <is>
          <t>Contact Management</t>
        </is>
      </c>
      <c r="H1360" t="inlineStr">
        <is>
          <t>Bug</t>
        </is>
      </c>
      <c r="I1360" t="inlineStr">
        <is>
          <t>Our team keeps running into this. The spreadsheet import rejects files with accented characters in names. So far 96 people on our side have reported it. Please look into it soon.</t>
        </is>
      </c>
      <c r="J1360" t="inlineStr">
        <is>
          <t>Negative</t>
        </is>
      </c>
      <c r="K1360" t="inlineStr">
        <is>
          <t>High</t>
        </is>
      </c>
      <c r="L1360" t="inlineStr">
        <is>
          <t>Revenue/Operations Risk</t>
        </is>
      </c>
    </row>
    <row r="1361">
      <c r="A1361" t="inlineStr">
        <is>
          <t>FB-01360</t>
        </is>
      </c>
      <c r="B1361" t="inlineStr">
        <is>
          <t>CUST-0176</t>
        </is>
      </c>
      <c r="C1361" t="inlineStr">
        <is>
          <t>2026-09-04</t>
        </is>
      </c>
      <c r="D1361" t="inlineStr">
        <is>
          <t>Support Ticket</t>
        </is>
      </c>
      <c r="E1361" t="inlineStr">
        <is>
          <t>Starter</t>
        </is>
      </c>
      <c r="F1361" t="inlineStr">
        <is>
          <t>SMB</t>
        </is>
      </c>
      <c r="G1361" t="inlineStr">
        <is>
          <t>Lead Management</t>
        </is>
      </c>
      <c r="H1361" t="inlineStr">
        <is>
          <t>Bug</t>
        </is>
      </c>
      <c r="I1361" t="inlineStr">
        <is>
          <t>Feedback from our monthly review. There are lead de-duplication failures across our pipeline views and nobody knows which record is the source of truth. It affects our quarterly planning process every cycle.</t>
        </is>
      </c>
      <c r="J1361" t="inlineStr">
        <is>
          <t>Neutral</t>
        </is>
      </c>
      <c r="K1361" t="inlineStr">
        <is>
          <t>Medium</t>
        </is>
      </c>
      <c r="L1361" t="inlineStr">
        <is>
          <t>Minor Inconvenience</t>
        </is>
      </c>
    </row>
    <row r="1362">
      <c r="A1362" t="inlineStr">
        <is>
          <t>FB-01361</t>
        </is>
      </c>
      <c r="B1362" t="inlineStr">
        <is>
          <t>CUST-0210</t>
        </is>
      </c>
      <c r="C1362" t="inlineStr">
        <is>
          <t>2026-09-04</t>
        </is>
      </c>
      <c r="D1362" t="inlineStr">
        <is>
          <t>In-App Feedback</t>
        </is>
      </c>
      <c r="E1362" t="inlineStr">
        <is>
          <t>Professional</t>
        </is>
      </c>
      <c r="F1362" t="inlineStr">
        <is>
          <t>Mid-Market</t>
        </is>
      </c>
      <c r="G1362" t="inlineStr">
        <is>
          <t>Integrations</t>
        </is>
      </c>
      <c r="H1362" t="inlineStr">
        <is>
          <t>Integration Issue</t>
        </is>
      </c>
      <c r="I1362" t="inlineStr">
        <is>
          <t>This has been a recurring problem for us. Hard to debug: API timeouts fail with vague error codes. It affects our weekly pipeline review process every cycle. We need a fix before renewal.</t>
        </is>
      </c>
      <c r="J1362" t="inlineStr">
        <is>
          <t>Negative</t>
        </is>
      </c>
      <c r="K1362" t="inlineStr">
        <is>
          <t>High</t>
        </is>
      </c>
      <c r="L1362" t="inlineStr">
        <is>
          <t>Blocks Key Task</t>
        </is>
      </c>
    </row>
    <row r="1363">
      <c r="A1363" t="inlineStr">
        <is>
          <t>FB-01362</t>
        </is>
      </c>
      <c r="B1363" t="inlineStr">
        <is>
          <t>CUST-0406</t>
        </is>
      </c>
      <c r="C1363" t="inlineStr">
        <is>
          <t>2026-09-04</t>
        </is>
      </c>
      <c r="D1363" t="inlineStr">
        <is>
          <t>Customer Survey</t>
        </is>
      </c>
      <c r="E1363" t="inlineStr">
        <is>
          <t>Professional</t>
        </is>
      </c>
      <c r="F1363" t="inlineStr">
        <is>
          <t>Mid-Market</t>
        </is>
      </c>
      <c r="G1363" t="inlineStr">
        <is>
          <t>Workflow Automation</t>
        </is>
      </c>
      <c r="H1363" t="inlineStr">
        <is>
          <t>Usability Issue</t>
        </is>
      </c>
      <c r="I1363" t="inlineStr">
        <is>
          <t>Escalating on behalf of our ops lead. Our new admins struggle with the workflow editor; there is no guidance or validation. It happens about 8 times a week for our team of 91.</t>
        </is>
      </c>
      <c r="J1363" t="inlineStr">
        <is>
          <t>Negative</t>
        </is>
      </c>
      <c r="K1363" t="inlineStr">
        <is>
          <t>Medium</t>
        </is>
      </c>
      <c r="L1363" t="inlineStr">
        <is>
          <t>Minor Inconvenience</t>
        </is>
      </c>
    </row>
    <row r="1364">
      <c r="A1364" t="inlineStr">
        <is>
          <t>FB-01363</t>
        </is>
      </c>
      <c r="B1364" t="inlineStr">
        <is>
          <t>CUST-0324</t>
        </is>
      </c>
      <c r="C1364" t="inlineStr">
        <is>
          <t>04-Sep-2026</t>
        </is>
      </c>
      <c r="D1364" t="inlineStr">
        <is>
          <t>Support Ticket</t>
        </is>
      </c>
      <c r="E1364" t="inlineStr">
        <is>
          <t>Starter</t>
        </is>
      </c>
      <c r="F1364" t="inlineStr">
        <is>
          <t>SMB</t>
        </is>
      </c>
      <c r="G1364" t="inlineStr">
        <is>
          <t>Lead Management</t>
        </is>
      </c>
      <c r="H1364" t="inlineStr">
        <is>
          <t>Bug</t>
        </is>
      </c>
      <c r="I1364" t="inlineStr">
        <is>
          <t>Raising this again after our last business review. Web form submissions keep creating duplicate lead records, and reps end up calling the same prospect twice. We estimate we lose roughly 27 hours a month on this. Is there a workaround?</t>
        </is>
      </c>
      <c r="J1364" t="inlineStr">
        <is>
          <t>Negative</t>
        </is>
      </c>
      <c r="K1364" t="inlineStr">
        <is>
          <t>Medium</t>
        </is>
      </c>
      <c r="L1364" t="inlineStr">
        <is>
          <t>Minor Inconvenience</t>
        </is>
      </c>
    </row>
    <row r="1365">
      <c r="A1365" t="inlineStr">
        <is>
          <t>FB-01364</t>
        </is>
      </c>
      <c r="B1365" t="inlineStr">
        <is>
          <t>CUST-0409</t>
        </is>
      </c>
      <c r="C1365" t="inlineStr">
        <is>
          <t>2026-09-04</t>
        </is>
      </c>
      <c r="D1365" t="inlineStr">
        <is>
          <t>In-App Feedback</t>
        </is>
      </c>
      <c r="E1365" t="inlineStr">
        <is>
          <t>Starter</t>
        </is>
      </c>
      <c r="F1365" t="inlineStr">
        <is>
          <t>SMB</t>
        </is>
      </c>
      <c r="G1365" t="inlineStr">
        <is>
          <t>Lead Management</t>
        </is>
      </c>
      <c r="H1365" t="inlineStr">
        <is>
          <t>Bug</t>
        </is>
      </c>
      <c r="I1365" t="inlineStr">
        <is>
          <t>There are duplicated leads across our pipeline views and nobody knows which record is the source of truth. So far 5 people on our side have reported it.</t>
        </is>
      </c>
      <c r="J1365" t="inlineStr">
        <is>
          <t>Negative</t>
        </is>
      </c>
      <c r="K1365" t="inlineStr">
        <is>
          <t>Critical</t>
        </is>
      </c>
    </row>
    <row r="1366">
      <c r="A1366" t="inlineStr">
        <is>
          <t>FB-01365</t>
        </is>
      </c>
      <c r="B1366" t="inlineStr">
        <is>
          <t>CUST-0214</t>
        </is>
      </c>
      <c r="C1366" t="inlineStr">
        <is>
          <t>2026-09-05</t>
        </is>
      </c>
      <c r="D1366" t="inlineStr">
        <is>
          <t>In-App Feedback</t>
        </is>
      </c>
      <c r="E1366" t="inlineStr">
        <is>
          <t>Starter</t>
        </is>
      </c>
      <c r="F1366" t="inlineStr">
        <is>
          <t>SMB</t>
        </is>
      </c>
      <c r="G1366" t="inlineStr">
        <is>
          <t>Contact Management</t>
        </is>
      </c>
      <c r="H1366" t="inlineStr">
        <is>
          <t>Bug</t>
        </is>
      </c>
      <c r="I1366" t="inlineStr">
        <is>
          <t>The contact CSV import rejects files with accented characters in names. So far 13 people on our side have reported it. Happy to join a feedback call.</t>
        </is>
      </c>
      <c r="J1366" t="inlineStr">
        <is>
          <t>Neutral</t>
        </is>
      </c>
      <c r="K1366" t="inlineStr">
        <is>
          <t>Critical</t>
        </is>
      </c>
      <c r="L1366" t="inlineStr">
        <is>
          <t>Revenue/Operations Risk</t>
        </is>
      </c>
    </row>
    <row r="1367">
      <c r="A1367" t="inlineStr">
        <is>
          <t>FB-01366</t>
        </is>
      </c>
      <c r="B1367" t="inlineStr">
        <is>
          <t>CUST-0408</t>
        </is>
      </c>
      <c r="C1367" t="inlineStr">
        <is>
          <t>2026-09-05</t>
        </is>
      </c>
      <c r="D1367" t="inlineStr">
        <is>
          <t>Support Ticket</t>
        </is>
      </c>
      <c r="E1367" t="inlineStr">
        <is>
          <t>Starter</t>
        </is>
      </c>
      <c r="F1367" t="inlineStr">
        <is>
          <t>SMB</t>
        </is>
      </c>
      <c r="G1367" t="inlineStr">
        <is>
          <t xml:space="preserve">Contact Management </t>
        </is>
      </c>
      <c r="H1367" t="inlineStr">
        <is>
          <t>Feature Request</t>
        </is>
      </c>
      <c r="I1367" t="inlineStr">
        <is>
          <t>Noting this during onboarding. Requesting an account hierarchy view so account managers can see who reports to whom. It happens about 20 times a week for our team of 79.</t>
        </is>
      </c>
      <c r="J1367" t="inlineStr">
        <is>
          <t>Neutral</t>
        </is>
      </c>
      <c r="K1367" t="inlineStr">
        <is>
          <t>Low</t>
        </is>
      </c>
      <c r="L1367" t="inlineStr">
        <is>
          <t>Minor Inconvenience</t>
        </is>
      </c>
    </row>
    <row r="1368">
      <c r="A1368" t="inlineStr">
        <is>
          <t>FB-01367</t>
        </is>
      </c>
      <c r="B1368" t="inlineStr">
        <is>
          <t>CUST-0002</t>
        </is>
      </c>
      <c r="C1368" t="inlineStr">
        <is>
          <t>2026-09-05</t>
        </is>
      </c>
      <c r="D1368" t="inlineStr">
        <is>
          <t>Support Ticket</t>
        </is>
      </c>
      <c r="E1368" t="inlineStr">
        <is>
          <t>Starter</t>
        </is>
      </c>
      <c r="F1368" t="inlineStr">
        <is>
          <t>SMB</t>
        </is>
      </c>
      <c r="G1368" t="inlineStr">
        <is>
          <t>Integrations</t>
        </is>
      </c>
      <c r="H1368" t="inlineStr">
        <is>
          <t>Integration Issue</t>
        </is>
      </c>
      <c r="I1368" t="inlineStr">
        <is>
          <t>Reps no longer trust Gmail sync, so they log activity by hand. It happens about 39 times a week for our team of 92.</t>
        </is>
      </c>
      <c r="J1368" t="inlineStr">
        <is>
          <t>Neutral</t>
        </is>
      </c>
      <c r="K1368" t="inlineStr">
        <is>
          <t>High</t>
        </is>
      </c>
      <c r="L1368" t="inlineStr">
        <is>
          <t>Workflow Slowdown</t>
        </is>
      </c>
    </row>
    <row r="1369">
      <c r="A1369" t="inlineStr">
        <is>
          <t>FB-01368</t>
        </is>
      </c>
      <c r="B1369" t="inlineStr">
        <is>
          <t>CUST-0210</t>
        </is>
      </c>
      <c r="C1369" t="inlineStr">
        <is>
          <t>2026-09-05</t>
        </is>
      </c>
      <c r="D1369" t="inlineStr">
        <is>
          <t>In-App Feedback</t>
        </is>
      </c>
      <c r="E1369" t="inlineStr">
        <is>
          <t>Professional</t>
        </is>
      </c>
      <c r="F1369" t="inlineStr">
        <is>
          <t>Mid-Market</t>
        </is>
      </c>
      <c r="G1369" t="inlineStr">
        <is>
          <t>Integrations</t>
        </is>
      </c>
      <c r="H1369" t="inlineStr">
        <is>
          <t>Feature Request</t>
        </is>
      </c>
      <c r="I1369" t="inlineStr">
        <is>
          <t>Happy with most of the product. Requesting a native accounting integration to remove manual re-entry. We estimate we lose roughly 29 hours a month on this.</t>
        </is>
      </c>
      <c r="J1369" t="inlineStr">
        <is>
          <t>Positive</t>
        </is>
      </c>
      <c r="K1369" t="inlineStr">
        <is>
          <t>Low</t>
        </is>
      </c>
      <c r="L1369" t="inlineStr">
        <is>
          <t>Workflow Slowdown</t>
        </is>
      </c>
    </row>
    <row r="1370">
      <c r="A1370" t="inlineStr">
        <is>
          <t>FB-01369</t>
        </is>
      </c>
      <c r="B1370" t="inlineStr">
        <is>
          <t>CUST-0248</t>
        </is>
      </c>
      <c r="C1370" t="inlineStr">
        <is>
          <t>2026-09-05</t>
        </is>
      </c>
      <c r="D1370" t="inlineStr">
        <is>
          <t>Customer Survey</t>
        </is>
      </c>
      <c r="E1370" t="inlineStr">
        <is>
          <t>Starter</t>
        </is>
      </c>
      <c r="F1370" t="inlineStr">
        <is>
          <t>SMB</t>
        </is>
      </c>
      <c r="G1370" t="inlineStr">
        <is>
          <t>User Interface</t>
        </is>
      </c>
      <c r="H1370" t="inlineStr">
        <is>
          <t>Feature Request</t>
        </is>
      </c>
      <c r="I1370" t="inlineStr">
        <is>
          <t>FYI for the product team. Requesting a mobile app so reps can log activity right after a meeting. It affects our month-end reporting process every cycle.</t>
        </is>
      </c>
      <c r="J1370" t="inlineStr">
        <is>
          <t>Neutral</t>
        </is>
      </c>
      <c r="K1370" t="inlineStr">
        <is>
          <t>Low</t>
        </is>
      </c>
      <c r="L1370" t="inlineStr">
        <is>
          <t>Minor Inconvenience</t>
        </is>
      </c>
    </row>
    <row r="1371">
      <c r="A1371" t="inlineStr">
        <is>
          <t>FB-01370</t>
        </is>
      </c>
      <c r="B1371" t="inlineStr">
        <is>
          <t>CUST-0276</t>
        </is>
      </c>
      <c r="C1371" t="inlineStr">
        <is>
          <t>2026-09-06</t>
        </is>
      </c>
      <c r="D1371" t="inlineStr">
        <is>
          <t>Feature Request</t>
        </is>
      </c>
      <c r="E1371" t="inlineStr">
        <is>
          <t>Professional</t>
        </is>
      </c>
      <c r="F1371" t="inlineStr">
        <is>
          <t>SMB</t>
        </is>
      </c>
      <c r="G1371" t="inlineStr">
        <is>
          <t>User Interface</t>
        </is>
      </c>
      <c r="H1371" t="inlineStr">
        <is>
          <t>Feature Request</t>
        </is>
      </c>
      <c r="I1371" t="inlineStr">
        <is>
          <t>Feedback from our monthly review. Our field reps need a mobile app to update deals between visits. Our admin flagged it while onboarding 86 new users.</t>
        </is>
      </c>
      <c r="J1371" t="inlineStr">
        <is>
          <t>Neutral</t>
        </is>
      </c>
      <c r="K1371" t="inlineStr">
        <is>
          <t>Low</t>
        </is>
      </c>
      <c r="L1371" t="inlineStr">
        <is>
          <t>Minor Inconvenience</t>
        </is>
      </c>
    </row>
    <row r="1372">
      <c r="A1372" t="inlineStr">
        <is>
          <t>FB-01371</t>
        </is>
      </c>
      <c r="B1372" t="inlineStr">
        <is>
          <t>CUST-0080</t>
        </is>
      </c>
      <c r="C1372" t="inlineStr">
        <is>
          <t>2026-09-06</t>
        </is>
      </c>
      <c r="D1372" t="inlineStr">
        <is>
          <t>In-App Feedback</t>
        </is>
      </c>
      <c r="E1372" t="inlineStr">
        <is>
          <t>Professional</t>
        </is>
      </c>
      <c r="F1372" t="inlineStr">
        <is>
          <t>Mid-Market</t>
        </is>
      </c>
      <c r="G1372" t="inlineStr">
        <is>
          <t>Integrations</t>
        </is>
      </c>
      <c r="H1372" t="inlineStr">
        <is>
          <t>Feature Request</t>
        </is>
      </c>
      <c r="I1372" t="inlineStr">
        <is>
          <t>Quick note from our admin. We would pay for a native accounting integration instead of maintaining Zapier chains. Happy to join a feedback call.</t>
        </is>
      </c>
      <c r="J1372" t="inlineStr">
        <is>
          <t>Neutral</t>
        </is>
      </c>
      <c r="K1372" t="inlineStr">
        <is>
          <t>Low</t>
        </is>
      </c>
      <c r="L1372" t="inlineStr">
        <is>
          <t>Minor Inconvenience</t>
        </is>
      </c>
    </row>
    <row r="1373">
      <c r="A1373" t="inlineStr">
        <is>
          <t>FB-01372</t>
        </is>
      </c>
      <c r="B1373" t="inlineStr">
        <is>
          <t>CUST-0282</t>
        </is>
      </c>
      <c r="C1373" t="inlineStr">
        <is>
          <t>2026-09-06</t>
        </is>
      </c>
      <c r="D1373" t="inlineStr">
        <is>
          <t>Support Ticket</t>
        </is>
      </c>
      <c r="E1373" t="inlineStr">
        <is>
          <t>Starter</t>
        </is>
      </c>
      <c r="F1373" t="inlineStr">
        <is>
          <t>SMB</t>
        </is>
      </c>
      <c r="G1373" t="inlineStr">
        <is>
          <t>Contact Management</t>
        </is>
      </c>
      <c r="H1373" t="inlineStr">
        <is>
          <t>Bug</t>
        </is>
      </c>
      <c r="I1373" t="inlineStr">
        <is>
          <t>Our import field mapping scrambles phone and email columns even after we map them correctly. It affects our weekly pipeline review process every cycle. Please look into it soon.</t>
        </is>
      </c>
      <c r="J1373" t="inlineStr">
        <is>
          <t>Negative</t>
        </is>
      </c>
      <c r="K1373" t="inlineStr">
        <is>
          <t>Low</t>
        </is>
      </c>
      <c r="L1373" t="inlineStr">
        <is>
          <t>Minor Inconvenience</t>
        </is>
      </c>
    </row>
    <row r="1374">
      <c r="A1374" t="inlineStr">
        <is>
          <t>FB-01373</t>
        </is>
      </c>
      <c r="B1374" t="inlineStr">
        <is>
          <t>CUST-0211</t>
        </is>
      </c>
      <c r="C1374" t="inlineStr">
        <is>
          <t>2026-09-06</t>
        </is>
      </c>
      <c r="D1374" t="inlineStr">
        <is>
          <t>FEATURE REQUEST</t>
        </is>
      </c>
      <c r="E1374" t="inlineStr">
        <is>
          <t>Enterprise</t>
        </is>
      </c>
      <c r="F1374" t="inlineStr">
        <is>
          <t>Mid-Market</t>
        </is>
      </c>
      <c r="G1374" t="inlineStr">
        <is>
          <t>Integrations</t>
        </is>
      </c>
      <c r="H1374" t="inlineStr">
        <is>
          <t>Feature Request</t>
        </is>
      </c>
      <c r="I1374" t="inlineStr">
        <is>
          <t>Great support experience recently. Requesting SAML login for our compliance audit. It happens about 30 times a week for our team of 6. Happy to beta test.</t>
        </is>
      </c>
      <c r="J1374" t="inlineStr">
        <is>
          <t>Positive</t>
        </is>
      </c>
      <c r="K1374" t="inlineStr">
        <is>
          <t>Low</t>
        </is>
      </c>
      <c r="L1374" t="inlineStr">
        <is>
          <t>Minor Inconvenience</t>
        </is>
      </c>
    </row>
    <row r="1375">
      <c r="A1375" t="inlineStr">
        <is>
          <t>FB-01374</t>
        </is>
      </c>
      <c r="B1375" t="inlineStr">
        <is>
          <t>CUST-0049</t>
        </is>
      </c>
      <c r="C1375" t="inlineStr">
        <is>
          <t>2026-09-06</t>
        </is>
      </c>
      <c r="D1375" t="inlineStr">
        <is>
          <t>Support Ticket</t>
        </is>
      </c>
      <c r="E1375" t="inlineStr">
        <is>
          <t>Starter</t>
        </is>
      </c>
      <c r="F1375" t="inlineStr">
        <is>
          <t>SMB</t>
        </is>
      </c>
      <c r="G1375" t="inlineStr">
        <is>
          <t>Integrations</t>
        </is>
      </c>
      <c r="H1375" t="inlineStr">
        <is>
          <t>Integration Issue</t>
        </is>
      </c>
      <c r="I1375" t="inlineStr">
        <is>
          <t>Raising this again after our last business review. Our Outlook calendar sync keeps disconnecting and activities are missing from the contact timeline. It happens about 32 times a week for our team of 114.</t>
        </is>
      </c>
      <c r="J1375" t="inlineStr">
        <is>
          <t>Negative</t>
        </is>
      </c>
      <c r="K1375" t="inlineStr">
        <is>
          <t>High</t>
        </is>
      </c>
      <c r="L1375" t="inlineStr">
        <is>
          <t>Workflow Slowdown</t>
        </is>
      </c>
    </row>
    <row r="1376">
      <c r="A1376" t="inlineStr">
        <is>
          <t>FB-01375</t>
        </is>
      </c>
      <c r="B1376" t="inlineStr">
        <is>
          <t>CUST-0051</t>
        </is>
      </c>
      <c r="C1376" t="inlineStr">
        <is>
          <t>2026-09-06</t>
        </is>
      </c>
      <c r="D1376" t="inlineStr">
        <is>
          <t>Feature Request</t>
        </is>
      </c>
      <c r="E1376" t="inlineStr">
        <is>
          <t>Enterprise</t>
        </is>
      </c>
      <c r="F1376" t="inlineStr">
        <is>
          <t>Enterprise</t>
        </is>
      </c>
      <c r="G1376" t="inlineStr">
        <is>
          <t>Integrations</t>
        </is>
      </c>
      <c r="H1376" t="inlineStr">
        <is>
          <t>Feature Request</t>
        </is>
      </c>
      <c r="I1376" t="inlineStr">
        <is>
          <t>Our security team requires SCIM provisioning before we can expand seats. Our marketing ops owner flagged it while onboarding 105 new users. Let us know if you need examples.</t>
        </is>
      </c>
      <c r="J1376" t="inlineStr">
        <is>
          <t>Neutral</t>
        </is>
      </c>
      <c r="K1376" t="inlineStr">
        <is>
          <t>Low</t>
        </is>
      </c>
      <c r="L1376" t="inlineStr">
        <is>
          <t>Minor Inconvenience</t>
        </is>
      </c>
    </row>
    <row r="1377">
      <c r="A1377" t="inlineStr">
        <is>
          <t>FB-01376</t>
        </is>
      </c>
      <c r="B1377" t="inlineStr">
        <is>
          <t>CUST-0210</t>
        </is>
      </c>
      <c r="C1377" t="inlineStr">
        <is>
          <t>2026-09-06</t>
        </is>
      </c>
      <c r="D1377" t="inlineStr">
        <is>
          <t>Customer Survey</t>
        </is>
      </c>
      <c r="E1377" t="inlineStr">
        <is>
          <t>Professional</t>
        </is>
      </c>
      <c r="F1377" t="inlineStr">
        <is>
          <t>Mid-Market</t>
        </is>
      </c>
      <c r="G1377" t="inlineStr">
        <is>
          <t>User Interface</t>
        </is>
      </c>
      <c r="H1377" t="inlineStr">
        <is>
          <t>Usability Issue</t>
        </is>
      </c>
      <c r="I1377" t="inlineStr">
        <is>
          <t>Frustrated with this one. The navigation menu changed and nobody told us where things moved. It affects our renewal process every cycle.</t>
        </is>
      </c>
      <c r="J1377" t="inlineStr">
        <is>
          <t>Negative</t>
        </is>
      </c>
      <c r="K1377" t="inlineStr">
        <is>
          <t>Medium</t>
        </is>
      </c>
      <c r="L1377" t="inlineStr">
        <is>
          <t>Workflow Slowdown</t>
        </is>
      </c>
    </row>
    <row r="1378">
      <c r="A1378" t="inlineStr">
        <is>
          <t>FB-01377</t>
        </is>
      </c>
      <c r="B1378" t="inlineStr">
        <is>
          <t>CUST-0126</t>
        </is>
      </c>
      <c r="C1378" t="inlineStr">
        <is>
          <t>2026-09-06</t>
        </is>
      </c>
      <c r="D1378" t="inlineStr">
        <is>
          <t>In-App Feedback</t>
        </is>
      </c>
      <c r="E1378" t="inlineStr">
        <is>
          <t>Professional</t>
        </is>
      </c>
      <c r="F1378" t="inlineStr">
        <is>
          <t>Mid-Market</t>
        </is>
      </c>
      <c r="G1378" t="inlineStr">
        <is>
          <t>Contact Management</t>
        </is>
      </c>
      <c r="H1378" t="inlineStr">
        <is>
          <t>Bug</t>
        </is>
      </c>
      <c r="I1378" t="inlineStr">
        <is>
          <t>Sharing this from our team. Our spreadsheet import scrambles phone and email columns even after we map them correctly. So far 46 people on our side have reported it.</t>
        </is>
      </c>
      <c r="J1378" t="inlineStr">
        <is>
          <t>Neutral</t>
        </is>
      </c>
      <c r="K1378" t="inlineStr">
        <is>
          <t>Critical</t>
        </is>
      </c>
      <c r="L1378" t="inlineStr">
        <is>
          <t>Workflow Slowdown</t>
        </is>
      </c>
    </row>
    <row r="1379">
      <c r="A1379" t="inlineStr">
        <is>
          <t>FB-01378</t>
        </is>
      </c>
      <c r="B1379" t="inlineStr">
        <is>
          <t>CUST-0080</t>
        </is>
      </c>
      <c r="C1379" t="inlineStr">
        <is>
          <t>2026-09-06</t>
        </is>
      </c>
      <c r="D1379" t="inlineStr">
        <is>
          <t>Feature Request</t>
        </is>
      </c>
      <c r="E1379" t="inlineStr">
        <is>
          <t>Professional</t>
        </is>
      </c>
      <c r="F1379" t="inlineStr">
        <is>
          <t>Mid-Market</t>
        </is>
      </c>
      <c r="G1379" t="inlineStr">
        <is>
          <t>Reporting</t>
        </is>
      </c>
      <c r="H1379" t="inlineStr">
        <is>
          <t>Feature Request</t>
        </is>
      </c>
      <c r="I1379" t="inlineStr">
        <is>
          <t>FYI for the product team. Requesting forecast rollups that updates as deal stages change. We estimate we lose roughly 45 hours a month on this.</t>
        </is>
      </c>
      <c r="J1379" t="inlineStr">
        <is>
          <t>Neutral</t>
        </is>
      </c>
      <c r="K1379" t="inlineStr">
        <is>
          <t>Medium</t>
        </is>
      </c>
      <c r="L1379" t="inlineStr">
        <is>
          <t>Workflow Slowdown</t>
        </is>
      </c>
    </row>
    <row r="1380">
      <c r="A1380" t="inlineStr">
        <is>
          <t>FB-01379</t>
        </is>
      </c>
      <c r="B1380" t="inlineStr">
        <is>
          <t>CUST-0378</t>
        </is>
      </c>
      <c r="C1380" t="inlineStr">
        <is>
          <t>2026-09-06</t>
        </is>
      </c>
      <c r="D1380" t="inlineStr">
        <is>
          <t>In-App Feedback</t>
        </is>
      </c>
      <c r="E1380" t="inlineStr">
        <is>
          <t>Starter</t>
        </is>
      </c>
      <c r="F1380" t="inlineStr">
        <is>
          <t>smb</t>
        </is>
      </c>
      <c r="G1380" t="inlineStr">
        <is>
          <t>Lead Management</t>
        </is>
      </c>
      <c r="H1380" t="inlineStr">
        <is>
          <t>Bug</t>
        </is>
      </c>
      <c r="I1380" t="inlineStr">
        <is>
          <t>We are seeing duplicated leads when a lead arrives from both the website and a trade-show list. It happens about 38 times a week for our team of 21. Is there a workaround?</t>
        </is>
      </c>
      <c r="J1380" t="inlineStr">
        <is>
          <t>Negative</t>
        </is>
      </c>
      <c r="K1380" t="inlineStr">
        <is>
          <t>High</t>
        </is>
      </c>
      <c r="L1380" t="inlineStr">
        <is>
          <t>Blocks Key Task</t>
        </is>
      </c>
    </row>
    <row r="1381">
      <c r="A1381" t="inlineStr">
        <is>
          <t>FB-01380</t>
        </is>
      </c>
      <c r="B1381" t="inlineStr">
        <is>
          <t>CUST-0054</t>
        </is>
      </c>
      <c r="C1381" t="inlineStr">
        <is>
          <t>2026-09-06</t>
        </is>
      </c>
      <c r="D1381" t="inlineStr">
        <is>
          <t>Support Ticket</t>
        </is>
      </c>
      <c r="E1381" t="inlineStr">
        <is>
          <t>Enterprise</t>
        </is>
      </c>
      <c r="F1381" t="inlineStr">
        <is>
          <t>Enterprise</t>
        </is>
      </c>
      <c r="G1381" t="inlineStr">
        <is>
          <t>Lead Management</t>
        </is>
      </c>
      <c r="H1381" t="inlineStr">
        <is>
          <t>Performance Issue</t>
        </is>
      </c>
      <c r="I1381" t="inlineStr">
        <is>
          <t>Our lead list loading regularly exceeds ten seconds on Monday mornings. Support suggested logging it here.</t>
        </is>
      </c>
      <c r="J1381" t="inlineStr">
        <is>
          <t>Negative</t>
        </is>
      </c>
      <c r="K1381" t="inlineStr">
        <is>
          <t>Low</t>
        </is>
      </c>
      <c r="L1381" t="inlineStr">
        <is>
          <t>Minor Inconvenience</t>
        </is>
      </c>
    </row>
    <row r="1382">
      <c r="A1382" t="inlineStr">
        <is>
          <t>FB-01381</t>
        </is>
      </c>
      <c r="B1382" t="inlineStr">
        <is>
          <t>CUST-0137</t>
        </is>
      </c>
      <c r="C1382" t="inlineStr">
        <is>
          <t>2026-09-07</t>
        </is>
      </c>
      <c r="D1382" t="inlineStr">
        <is>
          <t>Support Ticket</t>
        </is>
      </c>
      <c r="E1382" t="inlineStr">
        <is>
          <t>Starter</t>
        </is>
      </c>
      <c r="F1382" t="inlineStr">
        <is>
          <t>SMB</t>
        </is>
      </c>
      <c r="G1382" t="inlineStr">
        <is>
          <t>Workflow Automation</t>
        </is>
      </c>
      <c r="H1382" t="inlineStr">
        <is>
          <t>Bug</t>
        </is>
      </c>
      <c r="I1382" t="inlineStr">
        <is>
          <t>This has been a recurring problem for us. Several automation misfires left deals stuck in the wrong stage. Our admin flagged it while onboarding 36 new users.</t>
        </is>
      </c>
      <c r="J1382" t="inlineStr">
        <is>
          <t>Negative</t>
        </is>
      </c>
      <c r="K1382" t="inlineStr">
        <is>
          <t>Medium</t>
        </is>
      </c>
      <c r="L1382" t="inlineStr">
        <is>
          <t>Workflow Slowdown</t>
        </is>
      </c>
    </row>
    <row r="1383">
      <c r="A1383" t="inlineStr">
        <is>
          <t>FB-01382</t>
        </is>
      </c>
      <c r="B1383" t="inlineStr">
        <is>
          <t>CUST-0057</t>
        </is>
      </c>
      <c r="C1383" t="inlineStr">
        <is>
          <t>2026-09-07</t>
        </is>
      </c>
      <c r="D1383" t="inlineStr">
        <is>
          <t>Support Ticket</t>
        </is>
      </c>
      <c r="E1383" t="inlineStr">
        <is>
          <t>Professional</t>
        </is>
      </c>
      <c r="F1383" t="inlineStr">
        <is>
          <t>SMB</t>
        </is>
      </c>
      <c r="G1383" t="inlineStr">
        <is>
          <t>Lead Management</t>
        </is>
      </c>
      <c r="H1383" t="inlineStr">
        <is>
          <t>Bug</t>
        </is>
      </c>
      <c r="I1383" t="inlineStr">
        <is>
          <t>FYI for the product team. There are duplicate lead records across our pipeline views and nobody knows which record is the source of truth. So far 47 people on our side have reported it. Let us know if you need examples.</t>
        </is>
      </c>
      <c r="J1383" t="inlineStr">
        <is>
          <t>Neutral</t>
        </is>
      </c>
      <c r="K1383" t="inlineStr">
        <is>
          <t>High</t>
        </is>
      </c>
      <c r="L1383" t="inlineStr">
        <is>
          <t>Revenue/Operations Risk</t>
        </is>
      </c>
    </row>
    <row r="1384">
      <c r="A1384" t="inlineStr">
        <is>
          <t>FB-01383</t>
        </is>
      </c>
      <c r="B1384" t="inlineStr">
        <is>
          <t>CUST-0157</t>
        </is>
      </c>
      <c r="C1384" t="inlineStr">
        <is>
          <t>2026-09-07</t>
        </is>
      </c>
      <c r="D1384" t="inlineStr">
        <is>
          <t>In-App Feedback</t>
        </is>
      </c>
      <c r="E1384" t="inlineStr">
        <is>
          <t>Starter</t>
        </is>
      </c>
      <c r="F1384" t="inlineStr">
        <is>
          <t>SMB</t>
        </is>
      </c>
      <c r="G1384" t="inlineStr">
        <is>
          <t>Integrations</t>
        </is>
      </c>
      <c r="H1384" t="inlineStr">
        <is>
          <t>Feature Request</t>
        </is>
      </c>
      <c r="I1384" t="inlineStr">
        <is>
          <t>Noting this during onboarding. Please build a native Slack integration; our team copies data across systems daily.</t>
        </is>
      </c>
      <c r="J1384" t="inlineStr">
        <is>
          <t>Neutral</t>
        </is>
      </c>
      <c r="K1384" t="inlineStr">
        <is>
          <t>Low</t>
        </is>
      </c>
      <c r="L1384" t="inlineStr">
        <is>
          <t>Workflow Slowdown</t>
        </is>
      </c>
    </row>
    <row r="1385">
      <c r="A1385" t="inlineStr">
        <is>
          <t>FB-01384</t>
        </is>
      </c>
      <c r="B1385" t="inlineStr">
        <is>
          <t>CUST-0011</t>
        </is>
      </c>
      <c r="C1385" t="inlineStr">
        <is>
          <t>2026-09-07</t>
        </is>
      </c>
      <c r="D1385" t="inlineStr">
        <is>
          <t xml:space="preserve"> Support Ticket</t>
        </is>
      </c>
      <c r="E1385" t="inlineStr">
        <is>
          <t>Starter</t>
        </is>
      </c>
      <c r="F1385" t="inlineStr">
        <is>
          <t>SMB</t>
        </is>
      </c>
      <c r="G1385" t="inlineStr">
        <is>
          <t>Contact Management</t>
        </is>
      </c>
      <c r="H1385" t="inlineStr">
        <is>
          <t>Bug</t>
        </is>
      </c>
      <c r="I1385" t="inlineStr">
        <is>
          <t>Frustrated with this one. The contact CSV import fails halfway through with a generic error and no row-level detail. We estimate we lose roughly 7 hours a month on this. We need a fix before renewal.</t>
        </is>
      </c>
      <c r="J1385" t="inlineStr">
        <is>
          <t>Negative</t>
        </is>
      </c>
      <c r="K1385" t="inlineStr">
        <is>
          <t>Low</t>
        </is>
      </c>
      <c r="L1385" t="inlineStr">
        <is>
          <t>Minor Inconvenience</t>
        </is>
      </c>
    </row>
    <row r="1386">
      <c r="A1386" t="inlineStr">
        <is>
          <t>FB-01385</t>
        </is>
      </c>
      <c r="B1386" t="inlineStr">
        <is>
          <t>CUST-0027</t>
        </is>
      </c>
      <c r="C1386" t="inlineStr">
        <is>
          <t>2026-09-08</t>
        </is>
      </c>
      <c r="D1386" t="inlineStr">
        <is>
          <t>Support Ticket</t>
        </is>
      </c>
      <c r="E1386" t="inlineStr">
        <is>
          <t>Professional</t>
        </is>
      </c>
      <c r="F1386" t="inlineStr">
        <is>
          <t>SMB</t>
        </is>
      </c>
      <c r="G1386" t="inlineStr">
        <is>
          <t>Lead Management</t>
        </is>
      </c>
      <c r="H1386" t="inlineStr">
        <is>
          <t>Performance Issue</t>
        </is>
      </c>
      <c r="I1386" t="inlineStr">
        <is>
          <t>Our team keeps running into this. The lead list loading gets very slow once we pass a few thousand open leads. It happens about 5 times a week for our team of 18. Please look into it soon.</t>
        </is>
      </c>
      <c r="J1386" t="inlineStr">
        <is>
          <t>Negative</t>
        </is>
      </c>
      <c r="K1386" t="inlineStr">
        <is>
          <t>Low</t>
        </is>
      </c>
      <c r="L1386" t="inlineStr">
        <is>
          <t>Minor Inconvenience</t>
        </is>
      </c>
    </row>
    <row r="1387">
      <c r="A1387" t="inlineStr">
        <is>
          <t>FB-01386</t>
        </is>
      </c>
      <c r="B1387" t="inlineStr">
        <is>
          <t>CUST-0176</t>
        </is>
      </c>
      <c r="C1387" t="inlineStr">
        <is>
          <t>2026-09-08</t>
        </is>
      </c>
      <c r="D1387" t="inlineStr">
        <is>
          <t>Feature Request</t>
        </is>
      </c>
      <c r="E1387" t="inlineStr">
        <is>
          <t>Starter</t>
        </is>
      </c>
      <c r="F1387" t="inlineStr">
        <is>
          <t>SMB</t>
        </is>
      </c>
      <c r="G1387" t="inlineStr">
        <is>
          <t>Reporting</t>
        </is>
      </c>
      <c r="H1387" t="inlineStr">
        <is>
          <t>Feature Request</t>
        </is>
      </c>
      <c r="I1387" t="inlineStr">
        <is>
          <t>Noting this during onboarding. Please add quota tracking; managers keep a separate spreadsheet. It happens about 37 times a week for our team of 103.</t>
        </is>
      </c>
      <c r="J1387" t="inlineStr">
        <is>
          <t>Neutral</t>
        </is>
      </c>
      <c r="K1387" t="inlineStr">
        <is>
          <t>Medium</t>
        </is>
      </c>
      <c r="L1387" t="inlineStr">
        <is>
          <t>Workflow Slowdown</t>
        </is>
      </c>
    </row>
    <row r="1388">
      <c r="A1388" t="inlineStr">
        <is>
          <t>FB-01387</t>
        </is>
      </c>
      <c r="B1388" t="inlineStr">
        <is>
          <t>CUST-0216</t>
        </is>
      </c>
      <c r="C1388" t="inlineStr">
        <is>
          <t>2026-09-08</t>
        </is>
      </c>
      <c r="D1388" t="inlineStr">
        <is>
          <t>Support Ticket</t>
        </is>
      </c>
      <c r="E1388" t="inlineStr">
        <is>
          <t>Starter</t>
        </is>
      </c>
      <c r="F1388" t="inlineStr">
        <is>
          <t>Mid-Market</t>
        </is>
      </c>
      <c r="G1388" t="inlineStr">
        <is>
          <t>Lead Management</t>
        </is>
      </c>
      <c r="H1388" t="inlineStr">
        <is>
          <t>Performance Issue</t>
        </is>
      </c>
      <c r="I1388" t="inlineStr">
        <is>
          <t>Not what we expected for the price. Reps have stopped using the board because of lead view load times. Please look into it soon.</t>
        </is>
      </c>
      <c r="J1388" t="inlineStr">
        <is>
          <t>Negative</t>
        </is>
      </c>
      <c r="K1388" t="inlineStr">
        <is>
          <t>Low</t>
        </is>
      </c>
      <c r="L1388" t="inlineStr">
        <is>
          <t>Minor Inconvenience</t>
        </is>
      </c>
    </row>
    <row r="1389">
      <c r="A1389" t="inlineStr">
        <is>
          <t>FB-01388</t>
        </is>
      </c>
      <c r="B1389" t="inlineStr">
        <is>
          <t>CUST-0245</t>
        </is>
      </c>
      <c r="C1389" t="inlineStr">
        <is>
          <t>2026-09-09</t>
        </is>
      </c>
      <c r="D1389" t="inlineStr">
        <is>
          <t>In-App Feedback</t>
        </is>
      </c>
      <c r="E1389" t="inlineStr">
        <is>
          <t>Starter</t>
        </is>
      </c>
      <c r="F1389" t="inlineStr">
        <is>
          <t>Mid-Market</t>
        </is>
      </c>
      <c r="G1389" t="inlineStr">
        <is>
          <t>User Interface</t>
        </is>
      </c>
      <c r="H1389" t="inlineStr">
        <is>
          <t>Performance Issue</t>
        </is>
      </c>
      <c r="I1389" t="inlineStr">
        <is>
          <t>Page lag makes data entry frustrating during live calls. It affects our renewal process every cycle. Please look into it soon.</t>
        </is>
      </c>
      <c r="J1389" t="inlineStr">
        <is>
          <t>Negative</t>
        </is>
      </c>
      <c r="K1389" t="inlineStr">
        <is>
          <t>Low</t>
        </is>
      </c>
      <c r="L1389" t="inlineStr">
        <is>
          <t>Workflow Slowdown</t>
        </is>
      </c>
    </row>
    <row r="1390">
      <c r="A1390" t="inlineStr">
        <is>
          <t>FB-01389</t>
        </is>
      </c>
      <c r="B1390" t="inlineStr">
        <is>
          <t>CUST-0137</t>
        </is>
      </c>
      <c r="C1390" t="inlineStr">
        <is>
          <t>09-Sep-2026</t>
        </is>
      </c>
      <c r="D1390" t="inlineStr">
        <is>
          <t>In-App Feedback</t>
        </is>
      </c>
      <c r="E1390" t="inlineStr">
        <is>
          <t>Starter</t>
        </is>
      </c>
      <c r="F1390" t="inlineStr">
        <is>
          <t>SMB</t>
        </is>
      </c>
      <c r="G1390" t="inlineStr">
        <is>
          <t>User Interface</t>
        </is>
      </c>
      <c r="H1390" t="inlineStr">
        <is>
          <t>Feature Request</t>
        </is>
      </c>
      <c r="I1390" t="inlineStr">
        <is>
          <t>Requesting a mobile app so reps can log activity right after a meeting. So far 50 people on our side have reported it.</t>
        </is>
      </c>
      <c r="J1390" t="inlineStr">
        <is>
          <t>Positive</t>
        </is>
      </c>
      <c r="K1390" t="inlineStr">
        <is>
          <t>Low</t>
        </is>
      </c>
      <c r="L1390" t="inlineStr">
        <is>
          <t>Minor Inconvenience</t>
        </is>
      </c>
    </row>
    <row r="1391">
      <c r="A1391" t="inlineStr">
        <is>
          <t>FB-01390</t>
        </is>
      </c>
      <c r="B1391" t="inlineStr">
        <is>
          <t>CUST-0123</t>
        </is>
      </c>
      <c r="C1391" t="inlineStr">
        <is>
          <t>2026-09-09</t>
        </is>
      </c>
      <c r="D1391" t="inlineStr">
        <is>
          <t>Support Ticket</t>
        </is>
      </c>
      <c r="E1391" t="inlineStr">
        <is>
          <t>Professional</t>
        </is>
      </c>
      <c r="F1391" t="inlineStr">
        <is>
          <t>Mid-Market</t>
        </is>
      </c>
      <c r="G1391" t="inlineStr">
        <is>
          <t>Workflow Automation</t>
        </is>
      </c>
      <c r="H1391" t="inlineStr">
        <is>
          <t>Bug</t>
        </is>
      </c>
      <c r="I1391" t="inlineStr">
        <is>
          <t>Not what we expected for the price. We found automation misfires only because a customer complained. We need a fix before renewal.</t>
        </is>
      </c>
      <c r="J1391" t="inlineStr">
        <is>
          <t>Negative</t>
        </is>
      </c>
      <c r="K1391" t="inlineStr">
        <is>
          <t>Low</t>
        </is>
      </c>
      <c r="L1391" t="inlineStr">
        <is>
          <t>Minor Inconvenience</t>
        </is>
      </c>
    </row>
    <row r="1392">
      <c r="A1392" t="inlineStr">
        <is>
          <t>FB-01391</t>
        </is>
      </c>
      <c r="B1392" t="inlineStr">
        <is>
          <t>CUST-0386</t>
        </is>
      </c>
      <c r="C1392" t="inlineStr">
        <is>
          <t>2026-09-10</t>
        </is>
      </c>
      <c r="D1392" t="inlineStr">
        <is>
          <t>Customer Survey</t>
        </is>
      </c>
      <c r="E1392" t="inlineStr">
        <is>
          <t>Starter</t>
        </is>
      </c>
      <c r="F1392" t="inlineStr">
        <is>
          <t>Mid-Market</t>
        </is>
      </c>
      <c r="G1392" t="inlineStr">
        <is>
          <t>Contact Management</t>
        </is>
      </c>
      <c r="H1392" t="inlineStr">
        <is>
          <t>Feature Request</t>
        </is>
      </c>
      <c r="I1392" t="inlineStr">
        <is>
          <t>Sharing this from our team. We need a contact relationship hierarchy to reflect parent companies and subsidiaries. Our customer success lead flagged it while onboarding 10 new users. Happy to join a feedback call.</t>
        </is>
      </c>
      <c r="J1392" t="inlineStr">
        <is>
          <t>Neutral</t>
        </is>
      </c>
      <c r="K1392" t="inlineStr">
        <is>
          <t>Low</t>
        </is>
      </c>
      <c r="L1392" t="inlineStr">
        <is>
          <t>Minor Inconvenience</t>
        </is>
      </c>
    </row>
    <row r="1393">
      <c r="A1393" t="inlineStr">
        <is>
          <t>FB-01392</t>
        </is>
      </c>
      <c r="B1393" t="inlineStr">
        <is>
          <t>CUST-0054</t>
        </is>
      </c>
      <c r="C1393" t="inlineStr">
        <is>
          <t>2026-09-10</t>
        </is>
      </c>
      <c r="D1393" t="inlineStr">
        <is>
          <t>Support Ticket</t>
        </is>
      </c>
      <c r="E1393" t="inlineStr">
        <is>
          <t>Enterprise</t>
        </is>
      </c>
      <c r="F1393" t="inlineStr">
        <is>
          <t>Enterprise</t>
        </is>
      </c>
      <c r="G1393" t="inlineStr">
        <is>
          <t>Contact Management</t>
        </is>
      </c>
      <c r="H1393" t="inlineStr">
        <is>
          <t>Bug</t>
        </is>
      </c>
      <c r="I1393" t="inlineStr">
        <is>
          <t>Quick note from our admin. Our import field mapping scrambles phone and email columns even after we map them correctly. We estimate we lose roughly 26 hours a month on this.</t>
        </is>
      </c>
      <c r="J1393" t="inlineStr">
        <is>
          <t>Neutral</t>
        </is>
      </c>
      <c r="K1393" t="inlineStr">
        <is>
          <t>Critical</t>
        </is>
      </c>
      <c r="L1393" t="inlineStr">
        <is>
          <t>Blocks Key Task</t>
        </is>
      </c>
    </row>
    <row r="1394">
      <c r="A1394" t="inlineStr">
        <is>
          <t>FB-01393</t>
        </is>
      </c>
      <c r="B1394" t="inlineStr">
        <is>
          <t>CUST-0049</t>
        </is>
      </c>
      <c r="C1394" t="inlineStr">
        <is>
          <t>2026-09-10</t>
        </is>
      </c>
      <c r="D1394" t="inlineStr">
        <is>
          <t>Support Ticket</t>
        </is>
      </c>
      <c r="E1394" t="inlineStr">
        <is>
          <t>Starter</t>
        </is>
      </c>
      <c r="F1394" t="inlineStr">
        <is>
          <t>SMB</t>
        </is>
      </c>
      <c r="G1394" t="inlineStr">
        <is>
          <t>Lead Management</t>
        </is>
      </c>
      <c r="H1394" t="inlineStr">
        <is>
          <t>Bug</t>
        </is>
      </c>
      <c r="I1394" t="inlineStr">
        <is>
          <t>After every list import we find lead de-duplication failures that have to be cleaned up by hand. Our marketing ops owner flagged it while onboarding 82 new users. Is there a workaround?</t>
        </is>
      </c>
      <c r="J1394" t="inlineStr">
        <is>
          <t>Negative</t>
        </is>
      </c>
      <c r="K1394" t="inlineStr">
        <is>
          <t>Critical</t>
        </is>
      </c>
      <c r="L1394" t="inlineStr">
        <is>
          <t>Revenue/Operations Risk</t>
        </is>
      </c>
    </row>
    <row r="1395">
      <c r="A1395" t="inlineStr">
        <is>
          <t>FB-01394</t>
        </is>
      </c>
      <c r="B1395" t="inlineStr">
        <is>
          <t>CUST-0028</t>
        </is>
      </c>
      <c r="C1395" t="inlineStr">
        <is>
          <t>2026-09-10</t>
        </is>
      </c>
      <c r="D1395" t="inlineStr">
        <is>
          <t>In-App Feedback</t>
        </is>
      </c>
      <c r="E1395" t="inlineStr">
        <is>
          <t>Enterprise</t>
        </is>
      </c>
      <c r="F1395" t="inlineStr">
        <is>
          <t>Enterprise</t>
        </is>
      </c>
      <c r="G1395" t="inlineStr">
        <is>
          <t>Reporting</t>
        </is>
      </c>
      <c r="H1395" t="inlineStr">
        <is>
          <t>Bug</t>
        </is>
      </c>
      <c r="I1395" t="inlineStr">
        <is>
          <t>This has been a recurring problem for us. The report export times out for date ranges longer than a quarter. It happens about 10 times a week for our team of 88.</t>
        </is>
      </c>
      <c r="J1395" t="inlineStr">
        <is>
          <t>Negative</t>
        </is>
      </c>
      <c r="K1395" t="inlineStr">
        <is>
          <t>High</t>
        </is>
      </c>
      <c r="L1395" t="inlineStr">
        <is>
          <t>Workflow Slowdown</t>
        </is>
      </c>
    </row>
    <row r="1396">
      <c r="A1396" t="inlineStr">
        <is>
          <t>FB-01395</t>
        </is>
      </c>
      <c r="B1396" t="inlineStr">
        <is>
          <t>CUST-0325</t>
        </is>
      </c>
      <c r="C1396" t="inlineStr">
        <is>
          <t>2026-09-10</t>
        </is>
      </c>
      <c r="D1396" t="inlineStr">
        <is>
          <t>Customer Survey</t>
        </is>
      </c>
      <c r="E1396" t="inlineStr">
        <is>
          <t>Starter</t>
        </is>
      </c>
      <c r="F1396" t="inlineStr">
        <is>
          <t>SMB</t>
        </is>
      </c>
      <c r="G1396" t="inlineStr">
        <is>
          <t>Contact Management</t>
        </is>
      </c>
      <c r="H1396" t="inlineStr">
        <is>
          <t>Feature Request</t>
        </is>
      </c>
      <c r="I1396" t="inlineStr">
        <is>
          <t>We need contact de-duplication tooling because our database has years of overlapping records. Our sales manager flagged it while onboarding 15 new users. Let us know if you need examples.</t>
        </is>
      </c>
      <c r="J1396" t="inlineStr">
        <is>
          <t>Neutral</t>
        </is>
      </c>
      <c r="K1396" t="inlineStr">
        <is>
          <t>Medium</t>
        </is>
      </c>
      <c r="L1396" t="inlineStr">
        <is>
          <t>Blocks Key Task</t>
        </is>
      </c>
    </row>
    <row r="1397">
      <c r="A1397" t="inlineStr">
        <is>
          <t>FB-01396</t>
        </is>
      </c>
      <c r="B1397" t="inlineStr">
        <is>
          <t>CUST-0137</t>
        </is>
      </c>
      <c r="C1397" t="inlineStr">
        <is>
          <t>2026-09-11</t>
        </is>
      </c>
      <c r="D1397" t="inlineStr">
        <is>
          <t>Support Ticket</t>
        </is>
      </c>
      <c r="E1397" t="inlineStr">
        <is>
          <t>Starter</t>
        </is>
      </c>
      <c r="F1397" t="inlineStr">
        <is>
          <t>SMB</t>
        </is>
      </c>
      <c r="G1397" t="inlineStr">
        <is>
          <t>Contact Management</t>
        </is>
      </c>
      <c r="H1397" t="inlineStr">
        <is>
          <t>Performance Issue</t>
        </is>
      </c>
      <c r="I1397" t="inlineStr">
        <is>
          <t>Combining several conditions in contact search makes the page hang.</t>
        </is>
      </c>
      <c r="J1397" t="inlineStr">
        <is>
          <t>Negative</t>
        </is>
      </c>
      <c r="K1397" t="inlineStr">
        <is>
          <t>High</t>
        </is>
      </c>
      <c r="L1397" t="inlineStr">
        <is>
          <t>Blocks Key Task</t>
        </is>
      </c>
    </row>
    <row r="1398">
      <c r="A1398" t="inlineStr">
        <is>
          <t>FB-01397</t>
        </is>
      </c>
      <c r="B1398" t="inlineStr">
        <is>
          <t>CUST-0193</t>
        </is>
      </c>
      <c r="C1398" t="inlineStr">
        <is>
          <t>2026-09-11</t>
        </is>
      </c>
      <c r="D1398" t="inlineStr">
        <is>
          <t>Support Ticket</t>
        </is>
      </c>
      <c r="E1398" t="inlineStr">
        <is>
          <t>Starter</t>
        </is>
      </c>
      <c r="F1398" t="inlineStr">
        <is>
          <t>SMB</t>
        </is>
      </c>
      <c r="G1398" t="inlineStr">
        <is>
          <t>Lead Management</t>
        </is>
      </c>
      <c r="H1398" t="inlineStr">
        <is>
          <t>Bug</t>
        </is>
      </c>
      <c r="I1398" t="inlineStr">
        <is>
          <t>Not what we expected for the price. Web form submissions keep creating duplicated leads, and reps end up calling the same prospect twice.</t>
        </is>
      </c>
      <c r="J1398" t="inlineStr">
        <is>
          <t>Negative</t>
        </is>
      </c>
      <c r="K1398" t="inlineStr">
        <is>
          <t>Medium</t>
        </is>
      </c>
    </row>
    <row r="1399">
      <c r="A1399" t="inlineStr">
        <is>
          <t>FB-01398</t>
        </is>
      </c>
      <c r="B1399" t="inlineStr">
        <is>
          <t>CUST-0139</t>
        </is>
      </c>
      <c r="C1399" t="inlineStr">
        <is>
          <t>2026-09-11</t>
        </is>
      </c>
      <c r="D1399" t="inlineStr">
        <is>
          <t>Customer Survey</t>
        </is>
      </c>
      <c r="E1399" t="inlineStr">
        <is>
          <t>Professional</t>
        </is>
      </c>
      <c r="F1399" t="inlineStr">
        <is>
          <t>Mid-Market</t>
        </is>
      </c>
      <c r="G1399" t="inlineStr">
        <is>
          <t>Lead Management</t>
        </is>
      </c>
      <c r="H1399" t="inlineStr">
        <is>
          <t>Feature Request</t>
        </is>
      </c>
      <c r="I1399" t="inlineStr">
        <is>
          <t>Happy with most of the product. Please add automated lead scoring based on engagement, company size and recent activity. Our finance analyst flagged it while onboarding 76 new users. Thanks to the team.</t>
        </is>
      </c>
      <c r="J1399" t="inlineStr">
        <is>
          <t>Positive</t>
        </is>
      </c>
      <c r="K1399" t="inlineStr">
        <is>
          <t>Low</t>
        </is>
      </c>
      <c r="L1399" t="inlineStr">
        <is>
          <t>Minor Inconvenience</t>
        </is>
      </c>
    </row>
    <row r="1400">
      <c r="A1400" t="inlineStr">
        <is>
          <t>FB-01399</t>
        </is>
      </c>
      <c r="B1400" t="inlineStr">
        <is>
          <t>CUST-0090</t>
        </is>
      </c>
      <c r="C1400" t="inlineStr">
        <is>
          <t>2026-09-12</t>
        </is>
      </c>
      <c r="D1400" t="inlineStr">
        <is>
          <t>Customer Survey</t>
        </is>
      </c>
      <c r="E1400" t="inlineStr">
        <is>
          <t>Professional</t>
        </is>
      </c>
      <c r="F1400" t="inlineStr">
        <is>
          <t>SMB</t>
        </is>
      </c>
      <c r="G1400" t="inlineStr">
        <is>
          <t>Workflow Automation</t>
        </is>
      </c>
      <c r="H1400" t="inlineStr">
        <is>
          <t>Usability Issue</t>
        </is>
      </c>
      <c r="I1400" t="inlineStr">
        <is>
          <t>Our new admins struggle with the workflow editor; there is no guidance or validation. We estimate we lose roughly 31 hours a month on this. Happy to join a feedback call.</t>
        </is>
      </c>
      <c r="J1400" t="inlineStr">
        <is>
          <t>Neutral</t>
        </is>
      </c>
      <c r="K1400" t="inlineStr">
        <is>
          <t>High</t>
        </is>
      </c>
      <c r="L1400" t="inlineStr">
        <is>
          <t>Blocks Key Task</t>
        </is>
      </c>
    </row>
    <row r="1401">
      <c r="A1401" t="inlineStr">
        <is>
          <t>FB-01400</t>
        </is>
      </c>
      <c r="B1401" t="inlineStr">
        <is>
          <t>CUST-0291</t>
        </is>
      </c>
      <c r="C1401" t="inlineStr">
        <is>
          <t>2026-09-12</t>
        </is>
      </c>
      <c r="D1401" t="inlineStr">
        <is>
          <t>Customer Survey</t>
        </is>
      </c>
      <c r="E1401" t="inlineStr">
        <is>
          <t>Starter</t>
        </is>
      </c>
      <c r="F1401" t="inlineStr">
        <is>
          <t>SMB</t>
        </is>
      </c>
      <c r="G1401" t="inlineStr">
        <is>
          <t>Workflow Automation</t>
        </is>
      </c>
      <c r="H1401" t="inlineStr">
        <is>
          <t>Feature Request</t>
        </is>
      </c>
      <c r="I1401" t="inlineStr">
        <is>
          <t>A library of automation recipes would cut our setup time. Our sales manager flagged it while onboarding 52 new users. Happy to join a feedback call.</t>
        </is>
      </c>
      <c r="J1401" t="inlineStr">
        <is>
          <t>Neutral</t>
        </is>
      </c>
      <c r="K1401" t="inlineStr">
        <is>
          <t>Medium</t>
        </is>
      </c>
      <c r="L1401" t="inlineStr">
        <is>
          <t>Workflow Slowdown</t>
        </is>
      </c>
    </row>
    <row r="1402">
      <c r="A1402" t="inlineStr">
        <is>
          <t>FB-01401</t>
        </is>
      </c>
      <c r="B1402" t="inlineStr">
        <is>
          <t>CUST-0334</t>
        </is>
      </c>
      <c r="C1402" t="inlineStr">
        <is>
          <t>2026-09-12</t>
        </is>
      </c>
      <c r="D1402" t="inlineStr">
        <is>
          <t>Feature Request</t>
        </is>
      </c>
      <c r="E1402" t="inlineStr">
        <is>
          <t>Enterprise</t>
        </is>
      </c>
      <c r="F1402" t="inlineStr">
        <is>
          <t>SMB</t>
        </is>
      </c>
      <c r="G1402" t="inlineStr">
        <is>
          <t>User Interface</t>
        </is>
      </c>
      <c r="H1402" t="inlineStr">
        <is>
          <t>Feature Request</t>
        </is>
      </c>
      <c r="I1402" t="inlineStr">
        <is>
          <t>Please prioritize a mobile app; the mobile web view is hard to use. Support suggested logging it here.</t>
        </is>
      </c>
      <c r="J1402" t="inlineStr">
        <is>
          <t>Negative</t>
        </is>
      </c>
      <c r="K1402" t="inlineStr">
        <is>
          <t>High</t>
        </is>
      </c>
      <c r="L1402" t="inlineStr">
        <is>
          <t>Blocks Key Task</t>
        </is>
      </c>
    </row>
    <row r="1403">
      <c r="A1403" t="inlineStr">
        <is>
          <t>FB-01402</t>
        </is>
      </c>
      <c r="B1403" t="inlineStr">
        <is>
          <t>CUST-0315</t>
        </is>
      </c>
      <c r="C1403" t="inlineStr">
        <is>
          <t>2026-09-12</t>
        </is>
      </c>
      <c r="D1403" t="inlineStr">
        <is>
          <t>Customer Survey</t>
        </is>
      </c>
      <c r="E1403" t="inlineStr">
        <is>
          <t>Professional</t>
        </is>
      </c>
      <c r="F1403" t="inlineStr">
        <is>
          <t>SMB</t>
        </is>
      </c>
      <c r="G1403" t="inlineStr">
        <is>
          <t>Workflow Automation</t>
        </is>
      </c>
      <c r="H1403" t="inlineStr">
        <is>
          <t>Feature Request</t>
        </is>
      </c>
      <c r="I1403" t="inlineStr">
        <is>
          <t>Great support experience recently. We'd adopt automation faster with automation recipes we could customize. We estimate we lose roughly 37 hours a month on this.</t>
        </is>
      </c>
      <c r="J1403" t="inlineStr">
        <is>
          <t>Positive</t>
        </is>
      </c>
      <c r="K1403" t="inlineStr">
        <is>
          <t>Low</t>
        </is>
      </c>
      <c r="L1403" t="inlineStr">
        <is>
          <t>Blocks Key Task</t>
        </is>
      </c>
    </row>
    <row r="1404">
      <c r="A1404" t="inlineStr">
        <is>
          <t>FB-01403</t>
        </is>
      </c>
      <c r="B1404" t="inlineStr">
        <is>
          <t>CUST-0178</t>
        </is>
      </c>
      <c r="C1404" t="inlineStr">
        <is>
          <t>2026-09-12</t>
        </is>
      </c>
      <c r="D1404" t="inlineStr">
        <is>
          <t>Feature Request</t>
        </is>
      </c>
      <c r="E1404" t="inlineStr">
        <is>
          <t>Starter</t>
        </is>
      </c>
      <c r="F1404" t="inlineStr">
        <is>
          <t>SMB</t>
        </is>
      </c>
      <c r="G1404" t="inlineStr">
        <is>
          <t>Contact Management</t>
        </is>
      </c>
      <c r="H1404" t="inlineStr">
        <is>
          <t>Feature Request</t>
        </is>
      </c>
      <c r="I1404" t="inlineStr">
        <is>
          <t>Quick note from our admin. Is there any plan for a bulk contact merge? Merging one record at a time is not realistic. So far 39 people on our side have reported it. Happy to join a feedback call.</t>
        </is>
      </c>
      <c r="J1404" t="inlineStr">
        <is>
          <t>Neutral</t>
        </is>
      </c>
      <c r="K1404" t="inlineStr">
        <is>
          <t>Medium</t>
        </is>
      </c>
      <c r="L1404" t="inlineStr">
        <is>
          <t>Workflow Slowdown</t>
        </is>
      </c>
    </row>
    <row r="1405">
      <c r="A1405" t="inlineStr">
        <is>
          <t>FB-01404</t>
        </is>
      </c>
      <c r="B1405" t="inlineStr">
        <is>
          <t>CUST-0292</t>
        </is>
      </c>
      <c r="C1405" t="inlineStr">
        <is>
          <t>12-Sep-2026</t>
        </is>
      </c>
      <c r="D1405" t="inlineStr">
        <is>
          <t>Feature Request</t>
        </is>
      </c>
      <c r="E1405" t="inlineStr">
        <is>
          <t>Professional</t>
        </is>
      </c>
      <c r="F1405" t="inlineStr">
        <is>
          <t>Mid-Market</t>
        </is>
      </c>
      <c r="G1405" t="inlineStr">
        <is>
          <t>User Interface</t>
        </is>
      </c>
      <c r="H1405" t="inlineStr">
        <is>
          <t>Feature Request</t>
        </is>
      </c>
      <c r="I1405" t="inlineStr">
        <is>
          <t>Admins ask for bulk edit actions every time we reorganize territories. So far 6 people on our side have reported it. Happy to join a feedback call.</t>
        </is>
      </c>
      <c r="J1405" t="inlineStr">
        <is>
          <t>Neutral</t>
        </is>
      </c>
      <c r="K1405" t="inlineStr">
        <is>
          <t>Low</t>
        </is>
      </c>
      <c r="L1405" t="inlineStr">
        <is>
          <t>Minor Inconvenience</t>
        </is>
      </c>
    </row>
    <row r="1406">
      <c r="A1406" t="inlineStr">
        <is>
          <t>FB-01405</t>
        </is>
      </c>
      <c r="B1406" t="inlineStr">
        <is>
          <t>CUST-0284</t>
        </is>
      </c>
      <c r="C1406" t="inlineStr">
        <is>
          <t>2026-09-12</t>
        </is>
      </c>
      <c r="D1406" t="inlineStr">
        <is>
          <t>Support Ticket</t>
        </is>
      </c>
      <c r="E1406" t="inlineStr">
        <is>
          <t>Enterprise</t>
        </is>
      </c>
      <c r="F1406" t="inlineStr">
        <is>
          <t>Enterprise</t>
        </is>
      </c>
      <c r="G1406" t="inlineStr">
        <is>
          <t>Lead Management</t>
        </is>
      </c>
      <c r="H1406" t="inlineStr">
        <is>
          <t>Bug</t>
        </is>
      </c>
      <c r="I1406" t="inlineStr">
        <is>
          <t>Not what we expected for the price. We are seeing duplicated leads when a lead arrives from both the website and a trade-show list. Our finance analyst flagged it while onboarding 78 new users. Support suggested logging it here.</t>
        </is>
      </c>
      <c r="J1406" t="inlineStr">
        <is>
          <t>Negative</t>
        </is>
      </c>
      <c r="K1406" t="inlineStr">
        <is>
          <t>High</t>
        </is>
      </c>
      <c r="L1406" t="inlineStr">
        <is>
          <t>Workflow Slowdown</t>
        </is>
      </c>
    </row>
    <row r="1407">
      <c r="A1407" t="inlineStr">
        <is>
          <t>FB-01406</t>
        </is>
      </c>
      <c r="B1407" t="inlineStr">
        <is>
          <t>CUST-0128</t>
        </is>
      </c>
      <c r="C1407" t="inlineStr">
        <is>
          <t>2026-09-12</t>
        </is>
      </c>
      <c r="D1407" t="inlineStr">
        <is>
          <t>Customer Survey</t>
        </is>
      </c>
      <c r="E1407" t="inlineStr">
        <is>
          <t>Professional</t>
        </is>
      </c>
      <c r="F1407" t="inlineStr">
        <is>
          <t>SMB</t>
        </is>
      </c>
      <c r="G1407" t="inlineStr">
        <is>
          <t>Contact Management</t>
        </is>
      </c>
      <c r="H1407" t="inlineStr">
        <is>
          <t>Bug</t>
        </is>
      </c>
      <c r="I1407" t="inlineStr">
        <is>
          <t>Noting this during onboarding. Our import field mapping scrambles phone and email columns even after we map them correctly.</t>
        </is>
      </c>
      <c r="J1407" t="inlineStr">
        <is>
          <t>Neutral</t>
        </is>
      </c>
      <c r="K1407" t="inlineStr">
        <is>
          <t>Low</t>
        </is>
      </c>
      <c r="L1407" t="inlineStr">
        <is>
          <t>Minor Inconvenience</t>
        </is>
      </c>
    </row>
    <row r="1408">
      <c r="A1408" t="inlineStr">
        <is>
          <t>FB-01407</t>
        </is>
      </c>
      <c r="B1408" t="inlineStr">
        <is>
          <t>CUST-0236</t>
        </is>
      </c>
      <c r="C1408" t="inlineStr">
        <is>
          <t>2026-09-12</t>
        </is>
      </c>
      <c r="D1408" t="inlineStr">
        <is>
          <t>Customer Survey</t>
        </is>
      </c>
      <c r="E1408" t="inlineStr">
        <is>
          <t>Starter</t>
        </is>
      </c>
      <c r="F1408" t="inlineStr">
        <is>
          <t>SMB</t>
        </is>
      </c>
      <c r="G1408" t="inlineStr">
        <is>
          <t>User Interface</t>
        </is>
      </c>
      <c r="H1408" t="inlineStr">
        <is>
          <t>Usability Issue</t>
        </is>
      </c>
      <c r="I1408" t="inlineStr">
        <is>
          <t>Escalating on behalf of our ops lead. New hires get lost in the navigation menu; it takes weeks to learn. It affects our renewal process every cycle. Please look into it soon.</t>
        </is>
      </c>
      <c r="J1408" t="inlineStr">
        <is>
          <t>Negative</t>
        </is>
      </c>
      <c r="K1408" t="inlineStr">
        <is>
          <t>Low</t>
        </is>
      </c>
      <c r="L1408" t="inlineStr">
        <is>
          <t>Minor Inconvenience</t>
        </is>
      </c>
    </row>
    <row r="1409">
      <c r="A1409" t="inlineStr">
        <is>
          <t>FB-01408</t>
        </is>
      </c>
      <c r="B1409" t="inlineStr">
        <is>
          <t>CUST-0035</t>
        </is>
      </c>
      <c r="C1409" t="inlineStr">
        <is>
          <t>2026-09-13</t>
        </is>
      </c>
      <c r="D1409" t="inlineStr">
        <is>
          <t>Feature Request</t>
        </is>
      </c>
      <c r="E1409" t="inlineStr">
        <is>
          <t>Professional</t>
        </is>
      </c>
      <c r="F1409" t="inlineStr">
        <is>
          <t>Enterprise</t>
        </is>
      </c>
      <c r="G1409" t="inlineStr">
        <is>
          <t>Contact Management</t>
        </is>
      </c>
      <c r="H1409" t="inlineStr">
        <is>
          <t>Feature Request</t>
        </is>
      </c>
      <c r="I1409" t="inlineStr">
        <is>
          <t>We need a contact relationship hierarchy to reflect parent companies and subsidiaries. Our finance analyst flagged it while onboarding 98 new users.</t>
        </is>
      </c>
      <c r="J1409" t="inlineStr">
        <is>
          <t>Neutral</t>
        </is>
      </c>
      <c r="K1409" t="inlineStr">
        <is>
          <t>Low</t>
        </is>
      </c>
      <c r="L1409" t="inlineStr">
        <is>
          <t>Minor Inconvenience</t>
        </is>
      </c>
    </row>
    <row r="1410">
      <c r="A1410" t="inlineStr">
        <is>
          <t>FB-01409</t>
        </is>
      </c>
      <c r="B1410" t="inlineStr">
        <is>
          <t>CUST-0245</t>
        </is>
      </c>
      <c r="C1410" t="inlineStr">
        <is>
          <t>2026-09-13</t>
        </is>
      </c>
      <c r="D1410" t="inlineStr">
        <is>
          <t>Support Ticket</t>
        </is>
      </c>
      <c r="E1410" t="inlineStr">
        <is>
          <t>Starter</t>
        </is>
      </c>
      <c r="F1410" t="inlineStr">
        <is>
          <t>Mid-Market</t>
        </is>
      </c>
      <c r="G1410" t="inlineStr">
        <is>
          <t>Workflow Automation</t>
        </is>
      </c>
      <c r="H1410" t="inlineStr">
        <is>
          <t>Usability Issue</t>
        </is>
      </c>
      <c r="I1410" t="inlineStr">
        <is>
          <t>Not what we expected for the price. Our new admins struggle with the automation canvas; there is no guidance or validation. Is there a workaround?</t>
        </is>
      </c>
      <c r="J1410" t="inlineStr">
        <is>
          <t>Negative</t>
        </is>
      </c>
      <c r="K1410" t="inlineStr">
        <is>
          <t>Low</t>
        </is>
      </c>
      <c r="L1410" t="inlineStr">
        <is>
          <t>Minor Inconvenience</t>
        </is>
      </c>
    </row>
    <row r="1411">
      <c r="A1411" t="inlineStr">
        <is>
          <t>FB-01410</t>
        </is>
      </c>
      <c r="B1411" t="inlineStr">
        <is>
          <t>CUST-0284</t>
        </is>
      </c>
      <c r="C1411" t="inlineStr">
        <is>
          <t>2026-09-13</t>
        </is>
      </c>
      <c r="D1411" t="inlineStr">
        <is>
          <t>Feature Request</t>
        </is>
      </c>
      <c r="E1411" t="inlineStr">
        <is>
          <t>Enterprise</t>
        </is>
      </c>
      <c r="F1411" t="inlineStr">
        <is>
          <t>Enterprise</t>
        </is>
      </c>
      <c r="G1411" t="inlineStr">
        <is>
          <t>Reporting</t>
        </is>
      </c>
      <c r="H1411" t="inlineStr">
        <is>
          <t>Feature Request</t>
        </is>
      </c>
      <c r="I1411" t="inlineStr">
        <is>
          <t>Please add report scheduling; today an analyst rebuilds the same report every week. Keep up the good work.</t>
        </is>
      </c>
      <c r="J1411" t="inlineStr">
        <is>
          <t>Positive</t>
        </is>
      </c>
      <c r="K1411" t="inlineStr">
        <is>
          <t>Low</t>
        </is>
      </c>
      <c r="L1411" t="inlineStr">
        <is>
          <t>Workflow Slowdown</t>
        </is>
      </c>
    </row>
    <row r="1412">
      <c r="A1412" t="inlineStr">
        <is>
          <t>FB-01411</t>
        </is>
      </c>
      <c r="B1412" t="inlineStr">
        <is>
          <t>CUST-0276</t>
        </is>
      </c>
      <c r="C1412" t="inlineStr">
        <is>
          <t>2026-09-13</t>
        </is>
      </c>
      <c r="D1412" t="inlineStr">
        <is>
          <t>In-App Feedback</t>
        </is>
      </c>
      <c r="E1412" t="inlineStr">
        <is>
          <t>Professional</t>
        </is>
      </c>
      <c r="F1412" t="inlineStr">
        <is>
          <t>SMB</t>
        </is>
      </c>
      <c r="G1412" t="inlineStr">
        <is>
          <t>Lead Management</t>
        </is>
      </c>
      <c r="H1412" t="inlineStr">
        <is>
          <t>Usability Issue</t>
        </is>
      </c>
      <c r="I1412" t="inlineStr">
        <is>
          <t>It is hard to understand how lead routing rules decide who owns a lead. We estimate we lose roughly 45 hours a month on this.</t>
        </is>
      </c>
      <c r="J1412" t="inlineStr">
        <is>
          <t>Neutral</t>
        </is>
      </c>
      <c r="K1412" t="inlineStr">
        <is>
          <t>Low</t>
        </is>
      </c>
      <c r="L1412" t="inlineStr">
        <is>
          <t>Minor Inconvenience</t>
        </is>
      </c>
    </row>
    <row r="1413">
      <c r="A1413" t="inlineStr">
        <is>
          <t>FB-01412</t>
        </is>
      </c>
      <c r="B1413" t="inlineStr">
        <is>
          <t>CUST-0253</t>
        </is>
      </c>
      <c r="C1413" t="inlineStr">
        <is>
          <t>2026-09-14</t>
        </is>
      </c>
      <c r="D1413" t="inlineStr">
        <is>
          <t>Support Ticket</t>
        </is>
      </c>
      <c r="E1413" t="inlineStr">
        <is>
          <t>Professional</t>
        </is>
      </c>
      <c r="F1413" t="inlineStr">
        <is>
          <t>SMB</t>
        </is>
      </c>
      <c r="G1413" t="inlineStr">
        <is>
          <t>Reporting</t>
        </is>
      </c>
      <c r="H1413" t="inlineStr">
        <is>
          <t>Bug</t>
        </is>
      </c>
      <c r="I1413" t="inlineStr">
        <is>
          <t>This has been a recurring problem for us. Finance can't rely on the Excel export; totals don't match the screen. We estimate we lose roughly 58 hours a month on this. Is there a workaround?</t>
        </is>
      </c>
      <c r="J1413" t="inlineStr">
        <is>
          <t>Negative</t>
        </is>
      </c>
      <c r="K1413" t="inlineStr">
        <is>
          <t>High</t>
        </is>
      </c>
      <c r="L1413" t="inlineStr">
        <is>
          <t>Blocks Key Task</t>
        </is>
      </c>
    </row>
    <row r="1414">
      <c r="A1414" t="inlineStr">
        <is>
          <t>FB-01413</t>
        </is>
      </c>
      <c r="B1414" t="inlineStr">
        <is>
          <t>CUST-0413</t>
        </is>
      </c>
      <c r="C1414" t="inlineStr">
        <is>
          <t>2026-09-14</t>
        </is>
      </c>
      <c r="D1414" t="inlineStr">
        <is>
          <t>In-App Feedback</t>
        </is>
      </c>
      <c r="E1414" t="inlineStr">
        <is>
          <t>Professional</t>
        </is>
      </c>
      <c r="F1414" t="inlineStr">
        <is>
          <t>SMB</t>
        </is>
      </c>
      <c r="G1414" t="inlineStr">
        <is>
          <t>User Interface</t>
        </is>
      </c>
      <c r="H1414" t="inlineStr">
        <is>
          <t>Usability Issue</t>
        </is>
      </c>
      <c r="I1414" t="inlineStr">
        <is>
          <t>Raising this again after our last business review. New hires get lost in the navigation menu; it takes weeks to learn. We estimate we lose roughly 16 hours a month on this. Support suggested logging it here.</t>
        </is>
      </c>
      <c r="J1414" t="inlineStr">
        <is>
          <t>Negative</t>
        </is>
      </c>
      <c r="K1414" t="inlineStr">
        <is>
          <t>High</t>
        </is>
      </c>
      <c r="L1414" t="inlineStr">
        <is>
          <t>Blocks Key Task</t>
        </is>
      </c>
    </row>
    <row r="1415">
      <c r="A1415" t="inlineStr">
        <is>
          <t>FB-01414</t>
        </is>
      </c>
      <c r="B1415" t="inlineStr">
        <is>
          <t>CUST-0278</t>
        </is>
      </c>
      <c r="C1415" t="inlineStr">
        <is>
          <t>2026-09-14</t>
        </is>
      </c>
      <c r="D1415" t="inlineStr">
        <is>
          <t>Support Ticket</t>
        </is>
      </c>
      <c r="E1415" t="inlineStr">
        <is>
          <t>Professional</t>
        </is>
      </c>
      <c r="F1415" t="inlineStr">
        <is>
          <t>Mid-Market</t>
        </is>
      </c>
      <c r="G1415" t="inlineStr">
        <is>
          <t>Integrations</t>
        </is>
      </c>
      <c r="H1415" t="inlineStr">
        <is>
          <t>Integration Issue</t>
        </is>
      </c>
      <c r="I1415" t="inlineStr">
        <is>
          <t>Escalating on behalf of our ops lead. Our integration partner flagged webhook delivery as a risk for the project.</t>
        </is>
      </c>
      <c r="J1415" t="inlineStr">
        <is>
          <t>Negative</t>
        </is>
      </c>
      <c r="K1415" t="inlineStr">
        <is>
          <t>Critical</t>
        </is>
      </c>
      <c r="L1415" t="inlineStr">
        <is>
          <t>Revenue/Operations Risk</t>
        </is>
      </c>
    </row>
    <row r="1416">
      <c r="A1416" t="inlineStr">
        <is>
          <t>FB-01415</t>
        </is>
      </c>
      <c r="B1416" t="inlineStr">
        <is>
          <t>CUST-0072</t>
        </is>
      </c>
      <c r="C1416" t="inlineStr">
        <is>
          <t>2026-09-14</t>
        </is>
      </c>
      <c r="D1416" t="inlineStr">
        <is>
          <t>Feature Request</t>
        </is>
      </c>
      <c r="E1416" t="inlineStr">
        <is>
          <t>Starter</t>
        </is>
      </c>
      <c r="F1416" t="inlineStr">
        <is>
          <t>SMB</t>
        </is>
      </c>
      <c r="G1416" t="inlineStr">
        <is>
          <t>User Interface</t>
        </is>
      </c>
      <c r="H1416" t="inlineStr">
        <is>
          <t>Feature Request</t>
        </is>
      </c>
      <c r="I1416" t="inlineStr">
        <is>
          <t>Requesting offline mobile access so reps can log activity right after a meeting. We estimate we lose roughly 55 hours a month on this. Happy to beta test.</t>
        </is>
      </c>
      <c r="J1416" t="inlineStr">
        <is>
          <t>Positive</t>
        </is>
      </c>
      <c r="K1416" t="inlineStr">
        <is>
          <t>Medium</t>
        </is>
      </c>
      <c r="L1416" t="inlineStr">
        <is>
          <t>Revenue/Operations Risk</t>
        </is>
      </c>
    </row>
    <row r="1417">
      <c r="A1417" t="inlineStr">
        <is>
          <t>FB-01416</t>
        </is>
      </c>
      <c r="B1417" t="inlineStr">
        <is>
          <t>CUST-0322</t>
        </is>
      </c>
      <c r="C1417" t="inlineStr">
        <is>
          <t>2026-09-14</t>
        </is>
      </c>
      <c r="D1417" t="inlineStr">
        <is>
          <t>Customer Survey</t>
        </is>
      </c>
      <c r="E1417" t="inlineStr">
        <is>
          <t>Starter</t>
        </is>
      </c>
      <c r="F1417" t="inlineStr">
        <is>
          <t>SMB</t>
        </is>
      </c>
      <c r="G1417" t="inlineStr">
        <is>
          <t>User Interface</t>
        </is>
      </c>
      <c r="H1417" t="inlineStr">
        <is>
          <t>Feature Request</t>
        </is>
      </c>
      <c r="I1417" t="inlineStr">
        <is>
          <t>Requesting bulk actions on lists across every list view. Happy to join a feedback call.</t>
        </is>
      </c>
      <c r="J1417" t="inlineStr">
        <is>
          <t>Neutral</t>
        </is>
      </c>
      <c r="K1417" t="inlineStr">
        <is>
          <t>Medium</t>
        </is>
      </c>
      <c r="L1417" t="inlineStr">
        <is>
          <t>Workflow Slowdown</t>
        </is>
      </c>
    </row>
    <row r="1418">
      <c r="A1418" t="inlineStr">
        <is>
          <t>FB-01417</t>
        </is>
      </c>
      <c r="B1418" t="inlineStr">
        <is>
          <t>CUST-0202</t>
        </is>
      </c>
      <c r="C1418" t="inlineStr">
        <is>
          <t>2026-09-14</t>
        </is>
      </c>
      <c r="D1418" t="inlineStr">
        <is>
          <t>Feature Request</t>
        </is>
      </c>
      <c r="E1418" t="inlineStr">
        <is>
          <t>Enterprise</t>
        </is>
      </c>
      <c r="F1418" t="inlineStr">
        <is>
          <t>Enterprise</t>
        </is>
      </c>
      <c r="G1418" t="inlineStr">
        <is>
          <t>Integrations</t>
        </is>
      </c>
      <c r="H1418" t="inlineStr">
        <is>
          <t>Feature Request</t>
        </is>
      </c>
      <c r="I1418" t="inlineStr">
        <is>
          <t>Our security team requires SAML login before we can expand seats. Our sales manager flagged it while onboarding 87 new users.</t>
        </is>
      </c>
      <c r="J1418" t="inlineStr">
        <is>
          <t>neutral</t>
        </is>
      </c>
      <c r="K1418" t="inlineStr">
        <is>
          <t>Low</t>
        </is>
      </c>
      <c r="L1418" t="inlineStr">
        <is>
          <t>Minor Inconvenience</t>
        </is>
      </c>
    </row>
    <row r="1419">
      <c r="A1419" t="inlineStr">
        <is>
          <t>FB-01418</t>
        </is>
      </c>
      <c r="B1419" t="inlineStr">
        <is>
          <t>CUST-0354</t>
        </is>
      </c>
      <c r="C1419" t="inlineStr">
        <is>
          <t>2026-09-14</t>
        </is>
      </c>
      <c r="D1419" t="inlineStr">
        <is>
          <t>Support Ticket</t>
        </is>
      </c>
      <c r="E1419" t="inlineStr">
        <is>
          <t>Enterprise</t>
        </is>
      </c>
      <c r="F1419" t="inlineStr">
        <is>
          <t>Mid-Market</t>
        </is>
      </c>
      <c r="G1419" t="inlineStr">
        <is>
          <t>Integrations</t>
        </is>
      </c>
      <c r="H1419" t="inlineStr">
        <is>
          <t>Integration Issue</t>
        </is>
      </c>
      <c r="I1419" t="inlineStr">
        <is>
          <t>The email sync duplicates meetings and misses replies. It happens about 30 times a week for our team of 41.</t>
        </is>
      </c>
      <c r="J1419" t="inlineStr">
        <is>
          <t>Neutral</t>
        </is>
      </c>
      <c r="K1419" t="inlineStr">
        <is>
          <t>High</t>
        </is>
      </c>
      <c r="L1419" t="inlineStr">
        <is>
          <t>Blocks Key Task</t>
        </is>
      </c>
    </row>
    <row r="1420">
      <c r="A1420" t="inlineStr">
        <is>
          <t>FB-01419</t>
        </is>
      </c>
      <c r="B1420" t="inlineStr">
        <is>
          <t>CUST-0293</t>
        </is>
      </c>
      <c r="C1420" t="inlineStr">
        <is>
          <t>2026-09-15</t>
        </is>
      </c>
      <c r="D1420" t="inlineStr">
        <is>
          <t>Customer Survey</t>
        </is>
      </c>
      <c r="E1420" t="inlineStr">
        <is>
          <t>Enterprise</t>
        </is>
      </c>
      <c r="F1420" t="inlineStr">
        <is>
          <t>Enterprise</t>
        </is>
      </c>
      <c r="G1420" t="inlineStr">
        <is>
          <t>Contact Management</t>
        </is>
      </c>
      <c r="H1420" t="inlineStr">
        <is>
          <t>Feature Request</t>
        </is>
      </c>
      <c r="I1420" t="inlineStr">
        <is>
          <t>Please extend custom contact fields; the current limit is too small for our use case. It affects our lead handoff process every cycle.</t>
        </is>
      </c>
      <c r="J1420" t="inlineStr">
        <is>
          <t>Neutral</t>
        </is>
      </c>
      <c r="K1420" t="inlineStr">
        <is>
          <t>Medium</t>
        </is>
      </c>
      <c r="L1420" t="inlineStr">
        <is>
          <t>Blocks Key Task</t>
        </is>
      </c>
    </row>
    <row r="1421">
      <c r="A1421" t="inlineStr">
        <is>
          <t>FB-01420</t>
        </is>
      </c>
      <c r="B1421" t="inlineStr">
        <is>
          <t>CUST-0293</t>
        </is>
      </c>
      <c r="C1421" t="inlineStr">
        <is>
          <t>2026-09-15</t>
        </is>
      </c>
      <c r="D1421" t="inlineStr">
        <is>
          <t>Support Ticket</t>
        </is>
      </c>
      <c r="E1421" t="inlineStr">
        <is>
          <t>Enterprise</t>
        </is>
      </c>
      <c r="F1421" t="inlineStr">
        <is>
          <t>Enterprise</t>
        </is>
      </c>
      <c r="G1421" t="inlineStr">
        <is>
          <t>Workflow Automation</t>
        </is>
      </c>
      <c r="H1421" t="inlineStr">
        <is>
          <t>Bug</t>
        </is>
      </c>
      <c r="I1421" t="inlineStr">
        <is>
          <t>We are hitting workflow runs failing silently: emails don't send and nobody gets notified. Is there a workaround?</t>
        </is>
      </c>
      <c r="J1421" t="inlineStr">
        <is>
          <t>Negative</t>
        </is>
      </c>
      <c r="K1421" t="inlineStr">
        <is>
          <t>High</t>
        </is>
      </c>
      <c r="L1421" t="inlineStr">
        <is>
          <t>Revenue/Operations Risk</t>
        </is>
      </c>
    </row>
    <row r="1422">
      <c r="A1422" t="inlineStr">
        <is>
          <t>FB-01421</t>
        </is>
      </c>
      <c r="B1422" t="inlineStr">
        <is>
          <t>CUST-0361</t>
        </is>
      </c>
      <c r="C1422" t="inlineStr">
        <is>
          <t>2026-09-15</t>
        </is>
      </c>
      <c r="D1422" t="inlineStr">
        <is>
          <t>Feature Request</t>
        </is>
      </c>
      <c r="E1422" t="inlineStr">
        <is>
          <t>Professional</t>
        </is>
      </c>
      <c r="F1422" t="inlineStr">
        <is>
          <t>Mid-Market</t>
        </is>
      </c>
      <c r="G1422" t="inlineStr">
        <is>
          <t>Lead Management</t>
        </is>
      </c>
      <c r="H1422" t="inlineStr">
        <is>
          <t>Feature Request</t>
        </is>
      </c>
      <c r="I1422" t="inlineStr">
        <is>
          <t>Happy with most of the product. Right now reps rank leads by gut feel; a lead score model would fix that. We estimate we lose roughly 44 hours a month on this. Keep up the good work.</t>
        </is>
      </c>
      <c r="J1422" t="inlineStr">
        <is>
          <t>Positive</t>
        </is>
      </c>
      <c r="K1422" t="inlineStr">
        <is>
          <t>Low</t>
        </is>
      </c>
      <c r="L1422" t="inlineStr">
        <is>
          <t>Minor Inconvenience</t>
        </is>
      </c>
    </row>
    <row r="1423">
      <c r="A1423" t="inlineStr">
        <is>
          <t>FB-01422</t>
        </is>
      </c>
      <c r="B1423" t="inlineStr">
        <is>
          <t>CUST-0227</t>
        </is>
      </c>
      <c r="C1423" t="inlineStr">
        <is>
          <t>2026-09-15</t>
        </is>
      </c>
      <c r="D1423" t="inlineStr">
        <is>
          <t>Feature Request</t>
        </is>
      </c>
      <c r="E1423" t="inlineStr">
        <is>
          <t>Enterprise</t>
        </is>
      </c>
      <c r="F1423" t="inlineStr">
        <is>
          <t>Enterprise</t>
        </is>
      </c>
      <c r="G1423" t="inlineStr">
        <is>
          <t>Lead Management</t>
        </is>
      </c>
      <c r="H1423" t="inlineStr">
        <is>
          <t>Feature Request</t>
        </is>
      </c>
      <c r="I1423" t="inlineStr">
        <is>
          <t>Noting this during onboarding. We need automated lead scoring so reps can focus on the prospects most likely to close. So far 6 people on our side have reported it.</t>
        </is>
      </c>
      <c r="J1423" t="inlineStr">
        <is>
          <t>Neutral</t>
        </is>
      </c>
      <c r="K1423" t="inlineStr">
        <is>
          <t>Medium</t>
        </is>
      </c>
      <c r="L1423" t="inlineStr">
        <is>
          <t>Blocks Key Task</t>
        </is>
      </c>
    </row>
    <row r="1424">
      <c r="A1424" t="inlineStr">
        <is>
          <t>FB-01423</t>
        </is>
      </c>
      <c r="B1424" t="inlineStr">
        <is>
          <t>CUST-0367</t>
        </is>
      </c>
      <c r="C1424" t="inlineStr">
        <is>
          <t>2026-09-15</t>
        </is>
      </c>
      <c r="D1424" t="inlineStr">
        <is>
          <t>Customer Survey</t>
        </is>
      </c>
      <c r="E1424" t="inlineStr">
        <is>
          <t>Enterprise</t>
        </is>
      </c>
      <c r="F1424" t="inlineStr">
        <is>
          <t>Mid-Market</t>
        </is>
      </c>
      <c r="G1424" t="inlineStr">
        <is>
          <t>Integrations</t>
        </is>
      </c>
      <c r="H1424" t="inlineStr">
        <is>
          <t>Feature Request</t>
        </is>
      </c>
      <c r="I1424" t="inlineStr">
        <is>
          <t>Feedback from our monthly review. Requesting a native accounting integration to remove manual re-entry. So far 55 people on our side have reported it. Let us know if you need examples.</t>
        </is>
      </c>
      <c r="J1424" t="inlineStr">
        <is>
          <t>Neutral</t>
        </is>
      </c>
      <c r="K1424" t="inlineStr">
        <is>
          <t>High</t>
        </is>
      </c>
      <c r="L1424" t="inlineStr">
        <is>
          <t>Blocks Key Task</t>
        </is>
      </c>
    </row>
    <row r="1425">
      <c r="A1425" t="inlineStr">
        <is>
          <t>FB-01424</t>
        </is>
      </c>
      <c r="B1425" t="inlineStr">
        <is>
          <t>CUST-0028</t>
        </is>
      </c>
      <c r="C1425" t="inlineStr">
        <is>
          <t>2026-09-16</t>
        </is>
      </c>
      <c r="D1425" t="inlineStr">
        <is>
          <t>Support Ticket</t>
        </is>
      </c>
      <c r="E1425" t="inlineStr">
        <is>
          <t>Enterprise</t>
        </is>
      </c>
      <c r="F1425" t="inlineStr">
        <is>
          <t>Enterprise</t>
        </is>
      </c>
      <c r="G1425" t="inlineStr">
        <is>
          <t>Integrations</t>
        </is>
      </c>
      <c r="H1425" t="inlineStr">
        <is>
          <t>Integration Issue</t>
        </is>
      </c>
      <c r="I1425" t="inlineStr">
        <is>
          <t>Raising this again after our last business review. Our email sync keeps disconnecting and activities are missing from the contact timeline. So far 90 people on our side have reported it. We need a fix before renewal.</t>
        </is>
      </c>
      <c r="J1425" t="inlineStr">
        <is>
          <t>Negative</t>
        </is>
      </c>
      <c r="K1425" t="inlineStr">
        <is>
          <t>Low</t>
        </is>
      </c>
      <c r="L1425" t="inlineStr">
        <is>
          <t>Minor Inconvenience</t>
        </is>
      </c>
    </row>
    <row r="1426">
      <c r="A1426" t="inlineStr">
        <is>
          <t>FB-01425</t>
        </is>
      </c>
      <c r="B1426" t="inlineStr">
        <is>
          <t>CUST-0196</t>
        </is>
      </c>
      <c r="C1426" t="inlineStr">
        <is>
          <t>2026-09-16</t>
        </is>
      </c>
      <c r="D1426" t="inlineStr">
        <is>
          <t>Customer Survey</t>
        </is>
      </c>
      <c r="E1426" t="inlineStr">
        <is>
          <t>Enterprise</t>
        </is>
      </c>
      <c r="F1426" t="inlineStr">
        <is>
          <t>Enterprise</t>
        </is>
      </c>
      <c r="G1426" t="inlineStr">
        <is>
          <t>Reporting</t>
        </is>
      </c>
      <c r="H1426" t="inlineStr">
        <is>
          <t>Feature Request</t>
        </is>
      </c>
      <c r="I1426" t="inlineStr">
        <is>
          <t>Without scheduled report emails we export raw data and rebuild everything elsewhere.</t>
        </is>
      </c>
      <c r="J1426" t="inlineStr">
        <is>
          <t>Positive</t>
        </is>
      </c>
      <c r="K1426" t="inlineStr">
        <is>
          <t>Low</t>
        </is>
      </c>
      <c r="L1426" t="inlineStr">
        <is>
          <t>Minor Inconvenience</t>
        </is>
      </c>
    </row>
    <row r="1427">
      <c r="A1427" t="inlineStr">
        <is>
          <t>FB-01426</t>
        </is>
      </c>
      <c r="B1427" t="inlineStr">
        <is>
          <t>CUST-0411</t>
        </is>
      </c>
      <c r="C1427" t="inlineStr">
        <is>
          <t>2026-09-16</t>
        </is>
      </c>
      <c r="D1427" t="inlineStr">
        <is>
          <t>Support Ticket</t>
        </is>
      </c>
      <c r="E1427" t="inlineStr">
        <is>
          <t>Starter</t>
        </is>
      </c>
      <c r="F1427" t="inlineStr">
        <is>
          <t>SMB</t>
        </is>
      </c>
      <c r="G1427" t="inlineStr">
        <is>
          <t>Integrations</t>
        </is>
      </c>
      <c r="H1427" t="inlineStr">
        <is>
          <t>Integration Issue</t>
        </is>
      </c>
      <c r="I1427" t="inlineStr">
        <is>
          <t>Our team keeps running into this. Hard to debug: API timeouts fail with vague error codes. We estimate we lose roughly 53 hours a month on this. Support suggested logging it here.</t>
        </is>
      </c>
      <c r="J1427" t="inlineStr">
        <is>
          <t>Negative</t>
        </is>
      </c>
      <c r="K1427" t="inlineStr">
        <is>
          <t>High</t>
        </is>
      </c>
      <c r="L1427" t="inlineStr">
        <is>
          <t>Workflow Slowdown</t>
        </is>
      </c>
    </row>
    <row r="1428">
      <c r="A1428" t="inlineStr">
        <is>
          <t>FB-01427</t>
        </is>
      </c>
      <c r="B1428" t="inlineStr">
        <is>
          <t>CUST-0108</t>
        </is>
      </c>
      <c r="C1428" t="inlineStr">
        <is>
          <t>2026-09-16</t>
        </is>
      </c>
      <c r="D1428" t="inlineStr">
        <is>
          <t>Customer Survey</t>
        </is>
      </c>
      <c r="E1428" t="inlineStr">
        <is>
          <t>Enterprise</t>
        </is>
      </c>
      <c r="F1428" t="inlineStr">
        <is>
          <t>Mid-Market</t>
        </is>
      </c>
      <c r="G1428" t="inlineStr">
        <is>
          <t>Integrations</t>
        </is>
      </c>
      <c r="H1428" t="inlineStr">
        <is>
          <t>Feature Request</t>
        </is>
      </c>
      <c r="I1428" t="inlineStr">
        <is>
          <t>Recent updates have been a nice improvement. Lack of a marketing automation connector is a gap versus other CRMs we evaluated. It happens about 12 times a week for our team of 115. Keep up the good work.</t>
        </is>
      </c>
      <c r="J1428" t="inlineStr">
        <is>
          <t>Positive</t>
        </is>
      </c>
      <c r="K1428" t="inlineStr">
        <is>
          <t>Low</t>
        </is>
      </c>
      <c r="L1428" t="inlineStr">
        <is>
          <t>Minor Inconvenience</t>
        </is>
      </c>
    </row>
    <row r="1429">
      <c r="A1429" t="inlineStr">
        <is>
          <t>FB-01428</t>
        </is>
      </c>
      <c r="B1429" t="inlineStr">
        <is>
          <t>CUST-0154</t>
        </is>
      </c>
      <c r="C1429" t="inlineStr">
        <is>
          <t>2026-09-17</t>
        </is>
      </c>
      <c r="D1429" t="inlineStr">
        <is>
          <t>Support Ticket</t>
        </is>
      </c>
      <c r="E1429" t="inlineStr">
        <is>
          <t>Professional</t>
        </is>
      </c>
      <c r="F1429" t="inlineStr">
        <is>
          <t>SMB</t>
        </is>
      </c>
      <c r="G1429" t="inlineStr">
        <is>
          <t>Contact Management</t>
        </is>
      </c>
      <c r="H1429" t="inlineStr">
        <is>
          <t>Bug</t>
        </is>
      </c>
      <c r="I1429" t="inlineStr">
        <is>
          <t>FYI for the product team. The contact CSV import fails halfway through with a generic error and no row-level detail. Let us know if you need examples.</t>
        </is>
      </c>
      <c r="J1429" t="inlineStr">
        <is>
          <t>Neutral</t>
        </is>
      </c>
      <c r="K1429" t="inlineStr">
        <is>
          <t>High</t>
        </is>
      </c>
      <c r="L1429" t="inlineStr">
        <is>
          <t>Workflow Slowdown</t>
        </is>
      </c>
    </row>
    <row r="1430">
      <c r="A1430" t="inlineStr">
        <is>
          <t>FB-01429</t>
        </is>
      </c>
      <c r="B1430" t="inlineStr">
        <is>
          <t>CUST-0178</t>
        </is>
      </c>
      <c r="C1430" t="inlineStr">
        <is>
          <t>2026-09-17</t>
        </is>
      </c>
      <c r="D1430" t="inlineStr">
        <is>
          <t>In-App Feedback</t>
        </is>
      </c>
      <c r="E1430" t="inlineStr">
        <is>
          <t>Starter</t>
        </is>
      </c>
      <c r="F1430" t="inlineStr">
        <is>
          <t>SMB</t>
        </is>
      </c>
      <c r="G1430" t="inlineStr">
        <is>
          <t>Contact Management</t>
        </is>
      </c>
      <c r="H1430" t="inlineStr">
        <is>
          <t>Bug</t>
        </is>
      </c>
      <c r="I1430" t="inlineStr">
        <is>
          <t>Our team keeps running into this. The import field mapping rejects files with accented characters in names. It affects our renewal process every cycle. Is there a workaround?</t>
        </is>
      </c>
      <c r="J1430" t="inlineStr">
        <is>
          <t>Negative</t>
        </is>
      </c>
      <c r="K1430" t="inlineStr">
        <is>
          <t>Critical</t>
        </is>
      </c>
      <c r="L1430" t="inlineStr">
        <is>
          <t>Revenue/Operations Risk</t>
        </is>
      </c>
    </row>
    <row r="1431">
      <c r="A1431" t="inlineStr">
        <is>
          <t>FB-01430</t>
        </is>
      </c>
      <c r="B1431" t="inlineStr">
        <is>
          <t>CUST-0091</t>
        </is>
      </c>
      <c r="C1431" t="inlineStr">
        <is>
          <t>2026-09-17</t>
        </is>
      </c>
      <c r="D1431" t="inlineStr">
        <is>
          <t>Customer Survey</t>
        </is>
      </c>
      <c r="E1431" t="inlineStr">
        <is>
          <t>Professional</t>
        </is>
      </c>
      <c r="F1431" t="inlineStr">
        <is>
          <t>SMB</t>
        </is>
      </c>
      <c r="G1431" t="inlineStr">
        <is>
          <t>User Interface</t>
        </is>
      </c>
      <c r="H1431" t="inlineStr">
        <is>
          <t>Usability Issue</t>
        </is>
      </c>
      <c r="I1431" t="inlineStr">
        <is>
          <t>Raising this again after our last business review. The settings navigation changed and nobody told us where things moved.</t>
        </is>
      </c>
      <c r="J1431" t="inlineStr">
        <is>
          <t>Negative</t>
        </is>
      </c>
      <c r="K1431" t="inlineStr">
        <is>
          <t>Medium</t>
        </is>
      </c>
      <c r="L1431" t="inlineStr">
        <is>
          <t>Minor Inconvenience</t>
        </is>
      </c>
    </row>
    <row r="1432">
      <c r="A1432" t="inlineStr">
        <is>
          <t>FB-01431</t>
        </is>
      </c>
      <c r="B1432" t="inlineStr">
        <is>
          <t>CUST-0239</t>
        </is>
      </c>
      <c r="C1432" t="inlineStr">
        <is>
          <t>2026-09-17</t>
        </is>
      </c>
      <c r="D1432" t="inlineStr">
        <is>
          <t>Customer Survey</t>
        </is>
      </c>
      <c r="E1432" t="inlineStr">
        <is>
          <t>Professional</t>
        </is>
      </c>
      <c r="F1432" t="inlineStr">
        <is>
          <t>Mid-Market</t>
        </is>
      </c>
      <c r="G1432" t="inlineStr">
        <is>
          <t>Contact Management</t>
        </is>
      </c>
      <c r="H1432" t="inlineStr">
        <is>
          <t>Feature Request</t>
        </is>
      </c>
      <c r="I1432" t="inlineStr">
        <is>
          <t>Sharing this from our team. Lacking a contact relationship hierarchy forces us to keep a parallel spreadsheet.</t>
        </is>
      </c>
      <c r="J1432" t="inlineStr">
        <is>
          <t>Neutral</t>
        </is>
      </c>
      <c r="K1432" t="inlineStr">
        <is>
          <t>Critical</t>
        </is>
      </c>
      <c r="L1432" t="inlineStr">
        <is>
          <t>Revenue/Operations Risk</t>
        </is>
      </c>
    </row>
    <row r="1433">
      <c r="A1433" t="inlineStr">
        <is>
          <t>FB-01432</t>
        </is>
      </c>
      <c r="B1433" t="inlineStr">
        <is>
          <t>CUST-0261</t>
        </is>
      </c>
      <c r="C1433" t="inlineStr">
        <is>
          <t>2026-09-17</t>
        </is>
      </c>
      <c r="D1433" t="inlineStr">
        <is>
          <t>Feature Request</t>
        </is>
      </c>
      <c r="E1433" t="inlineStr">
        <is>
          <t>Professional</t>
        </is>
      </c>
      <c r="F1433" t="inlineStr">
        <is>
          <t>Enterprise</t>
        </is>
      </c>
      <c r="G1433" t="inlineStr">
        <is>
          <t>User Interface</t>
        </is>
      </c>
      <c r="H1433" t="inlineStr">
        <is>
          <t>Usability Issue</t>
        </is>
      </c>
      <c r="I1433" t="inlineStr">
        <is>
          <t>Too many clicks to reach common screens because of the settings navigation. We estimate we lose roughly 7 hours a month on this.</t>
        </is>
      </c>
      <c r="J1433" t="inlineStr">
        <is>
          <t>Negative</t>
        </is>
      </c>
      <c r="K1433" t="inlineStr">
        <is>
          <t>Low</t>
        </is>
      </c>
      <c r="L1433" t="inlineStr">
        <is>
          <t>Minor Inconvenience</t>
        </is>
      </c>
    </row>
    <row r="1434">
      <c r="A1434" t="inlineStr">
        <is>
          <t>FB-01433</t>
        </is>
      </c>
      <c r="B1434" t="inlineStr">
        <is>
          <t>CUST-0204</t>
        </is>
      </c>
      <c r="C1434" t="inlineStr">
        <is>
          <t>2026-09-17</t>
        </is>
      </c>
      <c r="D1434" t="inlineStr">
        <is>
          <t>Support Ticket</t>
        </is>
      </c>
      <c r="E1434" t="inlineStr">
        <is>
          <t>Enterprise</t>
        </is>
      </c>
      <c r="F1434" t="inlineStr">
        <is>
          <t>Enterprise</t>
        </is>
      </c>
      <c r="G1434" t="inlineStr">
        <is>
          <t>Lead Management</t>
        </is>
      </c>
      <c r="H1434" t="inlineStr">
        <is>
          <t>Bug</t>
        </is>
      </c>
      <c r="I1434" t="inlineStr">
        <is>
          <t>FYI for the product team. After every list import we find duplicated leads that have to be cleaned up by hand. Our sales manager flagged it while onboarding 52 new users.</t>
        </is>
      </c>
      <c r="J1434" t="inlineStr">
        <is>
          <t>Neutral</t>
        </is>
      </c>
      <c r="K1434" t="inlineStr">
        <is>
          <t>Medium</t>
        </is>
      </c>
      <c r="L1434" t="inlineStr">
        <is>
          <t>Workflow Slowdown</t>
        </is>
      </c>
    </row>
    <row r="1435">
      <c r="A1435" t="inlineStr">
        <is>
          <t>FB-01434</t>
        </is>
      </c>
      <c r="B1435" t="inlineStr">
        <is>
          <t>CUST-0147</t>
        </is>
      </c>
      <c r="C1435" t="inlineStr">
        <is>
          <t>2026-09-18</t>
        </is>
      </c>
      <c r="D1435" t="inlineStr">
        <is>
          <t>Customer Survey</t>
        </is>
      </c>
      <c r="E1435" t="inlineStr">
        <is>
          <t>Enterprise</t>
        </is>
      </c>
      <c r="F1435" t="inlineStr">
        <is>
          <t>Enterprise</t>
        </is>
      </c>
      <c r="G1435" t="inlineStr">
        <is>
          <t>Integrations</t>
        </is>
      </c>
      <c r="H1435" t="inlineStr">
        <is>
          <t>Feature Request</t>
        </is>
      </c>
      <c r="I1435" t="inlineStr">
        <is>
          <t>Our security team requires SCIM provisioning before we can expand seats. Our RevOps lead flagged it while onboarding 37 new users. Keep up the good work.</t>
        </is>
      </c>
      <c r="J1435" t="inlineStr">
        <is>
          <t>Positive</t>
        </is>
      </c>
      <c r="K1435" t="inlineStr">
        <is>
          <t>Medium</t>
        </is>
      </c>
      <c r="L1435" t="inlineStr">
        <is>
          <t>Workflow Slowdown</t>
        </is>
      </c>
    </row>
    <row r="1436">
      <c r="A1436" t="inlineStr">
        <is>
          <t>FB-01435</t>
        </is>
      </c>
      <c r="B1436" t="inlineStr">
        <is>
          <t>CUST-0069</t>
        </is>
      </c>
      <c r="C1436" t="inlineStr">
        <is>
          <t>2026-09-18</t>
        </is>
      </c>
      <c r="D1436" t="inlineStr">
        <is>
          <t>Support Ticket</t>
        </is>
      </c>
      <c r="E1436" t="inlineStr">
        <is>
          <t>Starter</t>
        </is>
      </c>
      <c r="F1436" t="inlineStr">
        <is>
          <t>Mid-Market</t>
        </is>
      </c>
      <c r="G1436" t="inlineStr">
        <is>
          <t>Lead Management</t>
        </is>
      </c>
      <c r="H1436" t="inlineStr">
        <is>
          <t>Bug</t>
        </is>
      </c>
      <c r="I1436" t="inlineStr">
        <is>
          <t>Web form submissions keep creating duplicate lead records, and reps end up calling the same prospect twice. Our admin flagged it while onboarding 25 new users. Is there a workaround?</t>
        </is>
      </c>
      <c r="J1436" t="inlineStr">
        <is>
          <t>Negative</t>
        </is>
      </c>
      <c r="K1436" t="inlineStr">
        <is>
          <t>Critical</t>
        </is>
      </c>
      <c r="L1436" t="inlineStr">
        <is>
          <t>Revenue/Operations Risk</t>
        </is>
      </c>
    </row>
    <row r="1437">
      <c r="A1437" t="inlineStr">
        <is>
          <t>FB-01436</t>
        </is>
      </c>
      <c r="B1437" t="inlineStr">
        <is>
          <t>CUST-0293</t>
        </is>
      </c>
      <c r="C1437" t="inlineStr">
        <is>
          <t>2026-09-18</t>
        </is>
      </c>
      <c r="D1437" t="inlineStr">
        <is>
          <t>In-App Feedback</t>
        </is>
      </c>
      <c r="E1437" t="inlineStr">
        <is>
          <t>Enterprise</t>
        </is>
      </c>
      <c r="F1437" t="inlineStr">
        <is>
          <t>Enterprise</t>
        </is>
      </c>
      <c r="G1437" t="inlineStr">
        <is>
          <t>Integrations</t>
        </is>
      </c>
      <c r="H1437" t="inlineStr">
        <is>
          <t>Feature Request</t>
        </is>
      </c>
      <c r="I1437" t="inlineStr">
        <is>
          <t>Not what we expected for the price. Our security team requires SAML login before we can expand seats. It happens about 38 times a week for our team of 53. Support suggested logging it here.</t>
        </is>
      </c>
      <c r="J1437" t="inlineStr">
        <is>
          <t>Negative</t>
        </is>
      </c>
      <c r="K1437" t="inlineStr">
        <is>
          <t>Medium</t>
        </is>
      </c>
      <c r="L1437" t="inlineStr">
        <is>
          <t>Blocks Key Task</t>
        </is>
      </c>
    </row>
    <row r="1438">
      <c r="A1438" t="inlineStr">
        <is>
          <t>FB-01437</t>
        </is>
      </c>
      <c r="B1438" t="inlineStr">
        <is>
          <t>CUST-0276</t>
        </is>
      </c>
      <c r="C1438" t="inlineStr">
        <is>
          <t>2026-09-18</t>
        </is>
      </c>
      <c r="D1438" t="inlineStr">
        <is>
          <t>Customer Survey</t>
        </is>
      </c>
      <c r="E1438" t="inlineStr">
        <is>
          <t>Professional</t>
        </is>
      </c>
      <c r="F1438" t="inlineStr">
        <is>
          <t>SMB</t>
        </is>
      </c>
      <c r="G1438" t="inlineStr">
        <is>
          <t>Workflow Automation</t>
        </is>
      </c>
      <c r="H1438" t="inlineStr">
        <is>
          <t>Feature Request</t>
        </is>
      </c>
      <c r="I1438" t="inlineStr">
        <is>
          <t>Noting this during onboarding. Competitors ship automation recipes; we are rebuilding the same flows from scratch. Our customer success lead flagged it while onboarding 92 new users.</t>
        </is>
      </c>
      <c r="J1438" t="inlineStr">
        <is>
          <t>Neutral</t>
        </is>
      </c>
      <c r="K1438" t="inlineStr">
        <is>
          <t>Medium</t>
        </is>
      </c>
      <c r="L1438" t="inlineStr">
        <is>
          <t>Workflow Slowdown</t>
        </is>
      </c>
    </row>
    <row r="1439">
      <c r="A1439" t="inlineStr">
        <is>
          <t>FB-01438</t>
        </is>
      </c>
      <c r="B1439" t="inlineStr">
        <is>
          <t>CUST-0080</t>
        </is>
      </c>
      <c r="C1439" t="inlineStr">
        <is>
          <t>2026-09-19</t>
        </is>
      </c>
      <c r="D1439" t="inlineStr">
        <is>
          <t>Feature Request</t>
        </is>
      </c>
      <c r="E1439" t="inlineStr">
        <is>
          <t>Professional</t>
        </is>
      </c>
      <c r="F1439" t="inlineStr">
        <is>
          <t>Mid-Market</t>
        </is>
      </c>
      <c r="G1439" t="inlineStr">
        <is>
          <t>Workflow Automation</t>
        </is>
      </c>
      <c r="H1439" t="inlineStr">
        <is>
          <t>Feature Request</t>
        </is>
      </c>
      <c r="I1439" t="inlineStr">
        <is>
          <t>We need a discount approval flow in workflows so managers can sign off on discounts. It affects our renewal process every cycle.</t>
        </is>
      </c>
      <c r="J1439" t="inlineStr">
        <is>
          <t>Neutral</t>
        </is>
      </c>
      <c r="K1439" t="inlineStr">
        <is>
          <t>Low</t>
        </is>
      </c>
      <c r="L1439" t="inlineStr">
        <is>
          <t>Workflow Slowdown</t>
        </is>
      </c>
    </row>
    <row r="1440">
      <c r="A1440" t="inlineStr">
        <is>
          <t>FB-01439</t>
        </is>
      </c>
      <c r="B1440" t="inlineStr">
        <is>
          <t>CUST-0284</t>
        </is>
      </c>
      <c r="C1440" t="inlineStr">
        <is>
          <t>2026-09-19</t>
        </is>
      </c>
      <c r="D1440" t="inlineStr">
        <is>
          <t>Feature Request</t>
        </is>
      </c>
      <c r="E1440" t="inlineStr">
        <is>
          <t>Enterprise</t>
        </is>
      </c>
      <c r="F1440" t="inlineStr">
        <is>
          <t>Enterprise</t>
        </is>
      </c>
      <c r="G1440" t="inlineStr">
        <is>
          <t>Integrations</t>
        </is>
      </c>
      <c r="H1440" t="inlineStr">
        <is>
          <t>Feature Request</t>
        </is>
      </c>
      <c r="I1440" t="inlineStr">
        <is>
          <t>Feedback from our monthly review. Please add SSO support; managing users by hand does not scale. We estimate we lose roughly 29 hours a month on this.</t>
        </is>
      </c>
      <c r="J1440" t="inlineStr">
        <is>
          <t>Neutral</t>
        </is>
      </c>
      <c r="K1440" t="inlineStr">
        <is>
          <t>Medium</t>
        </is>
      </c>
      <c r="L1440" t="inlineStr">
        <is>
          <t>Workflow Slowdown</t>
        </is>
      </c>
    </row>
    <row r="1441">
      <c r="A1441" t="inlineStr">
        <is>
          <t>FB-01440</t>
        </is>
      </c>
      <c r="B1441" t="inlineStr">
        <is>
          <t>CUST-0347</t>
        </is>
      </c>
      <c r="C1441" t="inlineStr">
        <is>
          <t>2026-09-19</t>
        </is>
      </c>
      <c r="D1441" t="inlineStr">
        <is>
          <t>Feature Request</t>
        </is>
      </c>
      <c r="E1441" t="inlineStr">
        <is>
          <t>Starter</t>
        </is>
      </c>
      <c r="F1441" t="inlineStr">
        <is>
          <t>SMB</t>
        </is>
      </c>
      <c r="G1441" t="inlineStr">
        <is>
          <t>Lead Management</t>
        </is>
      </c>
      <c r="H1441" t="inlineStr">
        <is>
          <t>Feature Request</t>
        </is>
      </c>
      <c r="I1441" t="inlineStr">
        <is>
          <t>FYI for the product team. Right now reps rank leads by gut feel; a lead score model would fix that. We estimate we lose roughly 43 hours a month on this.</t>
        </is>
      </c>
      <c r="J1441" t="inlineStr">
        <is>
          <t>Neutral</t>
        </is>
      </c>
      <c r="K1441" t="inlineStr">
        <is>
          <t>High</t>
        </is>
      </c>
      <c r="L1441" t="inlineStr">
        <is>
          <t>Blocks Key Task</t>
        </is>
      </c>
    </row>
    <row r="1442">
      <c r="A1442" t="inlineStr">
        <is>
          <t>FB-01441</t>
        </is>
      </c>
      <c r="B1442" t="inlineStr">
        <is>
          <t>CUST-0420</t>
        </is>
      </c>
      <c r="C1442" t="inlineStr">
        <is>
          <t>2026-09-19</t>
        </is>
      </c>
      <c r="D1442" t="inlineStr">
        <is>
          <t>Customer Survey</t>
        </is>
      </c>
      <c r="E1442" t="inlineStr">
        <is>
          <t>Enterprise</t>
        </is>
      </c>
      <c r="F1442" t="inlineStr">
        <is>
          <t>Enterprise</t>
        </is>
      </c>
      <c r="G1442" t="inlineStr">
        <is>
          <t>Lead Management</t>
        </is>
      </c>
      <c r="H1442" t="inlineStr">
        <is>
          <t>Usability Issue</t>
        </is>
      </c>
      <c r="I1442" t="inlineStr">
        <is>
          <t>Feedback from our monthly review. The round-robin lead assignment are confusing and new leads sometimes sit unassigned over weekends. It happens about 18 times a week for our team of 6.</t>
        </is>
      </c>
      <c r="J1442" t="inlineStr">
        <is>
          <t>Neutral</t>
        </is>
      </c>
      <c r="K1442" t="inlineStr">
        <is>
          <t>High</t>
        </is>
      </c>
      <c r="L1442" t="inlineStr">
        <is>
          <t>Blocks Key Task</t>
        </is>
      </c>
    </row>
    <row r="1443">
      <c r="A1443" t="inlineStr">
        <is>
          <t>FB-01442</t>
        </is>
      </c>
      <c r="B1443" t="inlineStr">
        <is>
          <t>CUST-0336</t>
        </is>
      </c>
      <c r="C1443" t="inlineStr">
        <is>
          <t>2026-09-19</t>
        </is>
      </c>
      <c r="D1443" t="inlineStr">
        <is>
          <t>Customer Survey</t>
        </is>
      </c>
      <c r="E1443" t="inlineStr">
        <is>
          <t>Professional</t>
        </is>
      </c>
      <c r="F1443" t="inlineStr">
        <is>
          <t>Mid-Market</t>
        </is>
      </c>
      <c r="G1443" t="inlineStr">
        <is>
          <t>Contact Management</t>
        </is>
      </c>
      <c r="H1443" t="inlineStr">
        <is>
          <t>Bug</t>
        </is>
      </c>
      <c r="I1443" t="inlineStr">
        <is>
          <t>Escalating on behalf of our ops lead. The spreadsheet import rejects files with accented characters in names. We need a fix before renewal.</t>
        </is>
      </c>
      <c r="J1443" t="inlineStr">
        <is>
          <t>Negative</t>
        </is>
      </c>
      <c r="K1443" t="inlineStr">
        <is>
          <t>Medium</t>
        </is>
      </c>
      <c r="L1443" t="inlineStr">
        <is>
          <t>Workflow Slowdown</t>
        </is>
      </c>
    </row>
    <row r="1444">
      <c r="A1444" t="inlineStr">
        <is>
          <t>FB-01443</t>
        </is>
      </c>
      <c r="B1444" t="inlineStr">
        <is>
          <t>CUST-0197</t>
        </is>
      </c>
      <c r="C1444" t="inlineStr">
        <is>
          <t>2026-09-19</t>
        </is>
      </c>
      <c r="D1444" t="inlineStr">
        <is>
          <t>In-App Feedback</t>
        </is>
      </c>
      <c r="E1444" t="inlineStr">
        <is>
          <t>Professional</t>
        </is>
      </c>
      <c r="F1444" t="inlineStr">
        <is>
          <t>Mid-Market</t>
        </is>
      </c>
      <c r="G1444" t="inlineStr">
        <is>
          <t>Lead Management</t>
        </is>
      </c>
      <c r="H1444" t="inlineStr">
        <is>
          <t>Bug</t>
        </is>
      </c>
      <c r="I1444" t="inlineStr">
        <is>
          <t>There are duplicate lead records across our pipeline views and nobody knows which record is the source of truth. So far 93 people on our side have reported it.</t>
        </is>
      </c>
      <c r="J1444" t="inlineStr">
        <is>
          <t>Neutral</t>
        </is>
      </c>
      <c r="K1444" t="inlineStr">
        <is>
          <t>Low</t>
        </is>
      </c>
      <c r="L1444" t="inlineStr">
        <is>
          <t>Minor Inconvenience</t>
        </is>
      </c>
    </row>
    <row r="1445">
      <c r="A1445" t="inlineStr">
        <is>
          <t>FB-01444</t>
        </is>
      </c>
      <c r="B1445" t="inlineStr">
        <is>
          <t>CUST-0174</t>
        </is>
      </c>
      <c r="C1445" t="inlineStr">
        <is>
          <t>2026-09-20</t>
        </is>
      </c>
      <c r="D1445" t="inlineStr">
        <is>
          <t>In-App Feedback</t>
        </is>
      </c>
      <c r="E1445" t="inlineStr">
        <is>
          <t>Professional</t>
        </is>
      </c>
      <c r="F1445" t="inlineStr">
        <is>
          <t>Mid-Market</t>
        </is>
      </c>
      <c r="G1445" t="inlineStr">
        <is>
          <t>Integrations</t>
        </is>
      </c>
      <c r="H1445" t="inlineStr">
        <is>
          <t>Integration Issue</t>
        </is>
      </c>
      <c r="I1445" t="inlineStr">
        <is>
          <t>After the token expires, email sync stops with no warning. It happens about 33 times a week for our team of 58.</t>
        </is>
      </c>
      <c r="J1445" t="inlineStr">
        <is>
          <t>neutral</t>
        </is>
      </c>
      <c r="K1445" t="inlineStr">
        <is>
          <t>Medium</t>
        </is>
      </c>
      <c r="L1445" t="inlineStr">
        <is>
          <t>Minor Inconvenience</t>
        </is>
      </c>
    </row>
    <row r="1446">
      <c r="A1446" t="inlineStr">
        <is>
          <t>FB-01445</t>
        </is>
      </c>
      <c r="B1446" t="inlineStr">
        <is>
          <t>CUST-0105</t>
        </is>
      </c>
      <c r="C1446" t="inlineStr">
        <is>
          <t>2026-09-20</t>
        </is>
      </c>
      <c r="D1446" t="inlineStr">
        <is>
          <t>In-App Feedback</t>
        </is>
      </c>
      <c r="E1446" t="inlineStr">
        <is>
          <t>Professional</t>
        </is>
      </c>
      <c r="F1446" t="inlineStr">
        <is>
          <t>Mid-Market</t>
        </is>
      </c>
      <c r="G1446" t="inlineStr">
        <is>
          <t>Integrations</t>
        </is>
      </c>
      <c r="H1446" t="inlineStr">
        <is>
          <t>Integration Issue</t>
        </is>
      </c>
      <c r="I1446" t="inlineStr">
        <is>
          <t>We keep hitting webhook delivery during nightly syncs with our data warehouse. It affects our renewal process every cycle. Is there a workaround?</t>
        </is>
      </c>
      <c r="J1446" t="inlineStr">
        <is>
          <t>Negative</t>
        </is>
      </c>
      <c r="K1446" t="inlineStr">
        <is>
          <t>High</t>
        </is>
      </c>
      <c r="L1446" t="inlineStr">
        <is>
          <t>Workflow Slowdown</t>
        </is>
      </c>
    </row>
    <row r="1447">
      <c r="A1447" t="inlineStr">
        <is>
          <t>FB-01446</t>
        </is>
      </c>
      <c r="B1447" t="inlineStr">
        <is>
          <t>CUST-0174</t>
        </is>
      </c>
      <c r="C1447" t="inlineStr">
        <is>
          <t>2026-09-20</t>
        </is>
      </c>
      <c r="D1447" t="inlineStr">
        <is>
          <t>In-App Feedback</t>
        </is>
      </c>
      <c r="E1447" t="inlineStr">
        <is>
          <t>Professional</t>
        </is>
      </c>
      <c r="F1447" t="inlineStr">
        <is>
          <t>Mid-Market</t>
        </is>
      </c>
      <c r="G1447" t="inlineStr">
        <is>
          <t>Contact Management</t>
        </is>
      </c>
      <c r="H1447" t="inlineStr">
        <is>
          <t>Bug</t>
        </is>
      </c>
      <c r="I1447" t="inlineStr">
        <is>
          <t>Our team keeps running into this. Our contact CSV import scrambles phone and email columns even after we map them correctly. It happens about 35 times a week for our team of 44.</t>
        </is>
      </c>
      <c r="J1447" t="inlineStr">
        <is>
          <t>Negative</t>
        </is>
      </c>
      <c r="K1447" t="inlineStr">
        <is>
          <t>Medium</t>
        </is>
      </c>
      <c r="L1447" t="inlineStr">
        <is>
          <t>Workflow Slowdown</t>
        </is>
      </c>
    </row>
    <row r="1448">
      <c r="A1448" t="inlineStr">
        <is>
          <t>FB-01447</t>
        </is>
      </c>
      <c r="B1448" t="inlineStr">
        <is>
          <t>CUST-0030</t>
        </is>
      </c>
      <c r="C1448" t="inlineStr">
        <is>
          <t>2026-09-20</t>
        </is>
      </c>
      <c r="D1448" t="inlineStr">
        <is>
          <t>Support Ticket</t>
        </is>
      </c>
      <c r="E1448" t="inlineStr">
        <is>
          <t>Professional</t>
        </is>
      </c>
      <c r="F1448" t="inlineStr">
        <is>
          <t>Mid-Market</t>
        </is>
      </c>
      <c r="G1448" t="inlineStr">
        <is>
          <t>Reporting</t>
        </is>
      </c>
      <c r="H1448" t="inlineStr">
        <is>
          <t>Bug</t>
        </is>
      </c>
      <c r="I1448" t="inlineStr">
        <is>
          <t>Our team keeps running into this. The report export cuts off rows after a few thousand records. It affects our month-end reporting process every cycle. Is there a workaround?</t>
        </is>
      </c>
      <c r="J1448" t="inlineStr">
        <is>
          <t>Negative</t>
        </is>
      </c>
      <c r="K1448" t="inlineStr">
        <is>
          <t>Medium</t>
        </is>
      </c>
      <c r="L1448" t="inlineStr">
        <is>
          <t>Workflow Slowdown</t>
        </is>
      </c>
    </row>
    <row r="1449">
      <c r="A1449" t="inlineStr">
        <is>
          <t>FB-01448</t>
        </is>
      </c>
      <c r="B1449" t="inlineStr">
        <is>
          <t>CUST-0355</t>
        </is>
      </c>
      <c r="C1449" t="inlineStr">
        <is>
          <t>2026-09-21</t>
        </is>
      </c>
      <c r="D1449" t="inlineStr">
        <is>
          <t>In-App Feedback</t>
        </is>
      </c>
      <c r="E1449" t="inlineStr">
        <is>
          <t>Starter</t>
        </is>
      </c>
      <c r="F1449" t="inlineStr">
        <is>
          <t>Mid-Market</t>
        </is>
      </c>
      <c r="G1449" t="inlineStr">
        <is>
          <t>Integrations</t>
        </is>
      </c>
      <c r="H1449" t="inlineStr">
        <is>
          <t>Integration Issue</t>
        </is>
      </c>
      <c r="I1449" t="inlineStr">
        <is>
          <t>Reps no longer trust Outlook calendar sync, so they log activity by hand.</t>
        </is>
      </c>
      <c r="J1449" t="inlineStr">
        <is>
          <t>Negative</t>
        </is>
      </c>
      <c r="K1449" t="inlineStr">
        <is>
          <t>High</t>
        </is>
      </c>
      <c r="L1449" t="inlineStr">
        <is>
          <t>Revenue/Operations Risk</t>
        </is>
      </c>
    </row>
    <row r="1450">
      <c r="A1450" t="inlineStr">
        <is>
          <t>FB-01449</t>
        </is>
      </c>
      <c r="B1450" t="inlineStr">
        <is>
          <t>CUST-0046</t>
        </is>
      </c>
      <c r="C1450" t="inlineStr">
        <is>
          <t>2026-09-21</t>
        </is>
      </c>
      <c r="D1450" t="inlineStr">
        <is>
          <t>In-App Feedback</t>
        </is>
      </c>
      <c r="E1450" t="inlineStr">
        <is>
          <t>Professional</t>
        </is>
      </c>
      <c r="F1450" t="inlineStr">
        <is>
          <t>Mid-Market</t>
        </is>
      </c>
      <c r="G1450" t="inlineStr">
        <is>
          <t>Reporting</t>
        </is>
      </c>
      <c r="H1450" t="inlineStr">
        <is>
          <t>Performance Issue</t>
        </is>
      </c>
      <c r="I1450" t="inlineStr">
        <is>
          <t>This has been a recurring problem for us. Dashboard refresh got noticeably worse over the last few months. So far 44 people on our side have reported it.</t>
        </is>
      </c>
      <c r="J1450" t="inlineStr">
        <is>
          <t>Negative</t>
        </is>
      </c>
      <c r="K1450" t="inlineStr">
        <is>
          <t>Medium</t>
        </is>
      </c>
      <c r="L1450" t="inlineStr">
        <is>
          <t>Minor Inconvenience</t>
        </is>
      </c>
    </row>
    <row r="1451">
      <c r="A1451" t="inlineStr">
        <is>
          <t>FB-01450</t>
        </is>
      </c>
      <c r="B1451" t="inlineStr">
        <is>
          <t>CUST-0284</t>
        </is>
      </c>
      <c r="C1451" t="inlineStr">
        <is>
          <t>2026-09-21</t>
        </is>
      </c>
      <c r="D1451" t="inlineStr">
        <is>
          <t>Feature Request</t>
        </is>
      </c>
      <c r="E1451" t="inlineStr">
        <is>
          <t>Enterprise</t>
        </is>
      </c>
      <c r="F1451" t="inlineStr">
        <is>
          <t>Enterprise</t>
        </is>
      </c>
      <c r="G1451" t="inlineStr">
        <is>
          <t>Reporting</t>
        </is>
      </c>
      <c r="H1451" t="inlineStr">
        <is>
          <t>Feature Request</t>
        </is>
      </c>
      <c r="I1451" t="inlineStr">
        <is>
          <t>Happy with most of the product. Requesting forecast rollups that updates as deal stages change. Thanks to the team.</t>
        </is>
      </c>
      <c r="J1451" t="inlineStr">
        <is>
          <t>Positive</t>
        </is>
      </c>
      <c r="K1451" t="inlineStr">
        <is>
          <t>Medium</t>
        </is>
      </c>
      <c r="L1451" t="inlineStr">
        <is>
          <t>Minor Inconvenience</t>
        </is>
      </c>
    </row>
    <row r="1452">
      <c r="A1452" t="inlineStr">
        <is>
          <t>FB-01451</t>
        </is>
      </c>
      <c r="B1452" t="inlineStr">
        <is>
          <t>CUST-0257</t>
        </is>
      </c>
      <c r="C1452" t="inlineStr">
        <is>
          <t>2026-09-21</t>
        </is>
      </c>
      <c r="D1452" t="inlineStr">
        <is>
          <t>Customer Survey</t>
        </is>
      </c>
      <c r="E1452" t="inlineStr">
        <is>
          <t>Enterprise</t>
        </is>
      </c>
      <c r="F1452" t="inlineStr">
        <is>
          <t>Mid-Market</t>
        </is>
      </c>
      <c r="G1452" t="inlineStr">
        <is>
          <t>Integrations</t>
        </is>
      </c>
      <c r="H1452" t="inlineStr">
        <is>
          <t>Feature Request</t>
        </is>
      </c>
      <c r="I1452" t="inlineStr">
        <is>
          <t>FYI for the product team. Please add SSO support; managing users by hand does not scale. So far 90 people on our side have reported it. Happy to join a feedback call.</t>
        </is>
      </c>
      <c r="J1452" t="inlineStr">
        <is>
          <t>Neutral</t>
        </is>
      </c>
      <c r="K1452" t="inlineStr">
        <is>
          <t>Low</t>
        </is>
      </c>
      <c r="L1452" t="inlineStr">
        <is>
          <t>Minor Inconvenience</t>
        </is>
      </c>
    </row>
    <row r="1453">
      <c r="A1453" t="inlineStr">
        <is>
          <t>FB-01452</t>
        </is>
      </c>
      <c r="B1453" t="inlineStr">
        <is>
          <t>CUST-0202</t>
        </is>
      </c>
      <c r="C1453" t="inlineStr">
        <is>
          <t>2026-09-22</t>
        </is>
      </c>
      <c r="D1453" t="inlineStr">
        <is>
          <t>Support Ticket</t>
        </is>
      </c>
      <c r="E1453" t="inlineStr">
        <is>
          <t>Enterprise</t>
        </is>
      </c>
      <c r="F1453" t="inlineStr">
        <is>
          <t xml:space="preserve">Enterprise </t>
        </is>
      </c>
      <c r="G1453" t="inlineStr">
        <is>
          <t>Integrations</t>
        </is>
      </c>
      <c r="H1453" t="inlineStr">
        <is>
          <t>Integration Issue</t>
        </is>
      </c>
      <c r="I1453" t="inlineStr">
        <is>
          <t>This has been a recurring problem for us. After the token expires, email sync stops with no warning. So far 80 people on our side have reported it. We need a fix before renewal.</t>
        </is>
      </c>
      <c r="J1453" t="inlineStr">
        <is>
          <t>Negative</t>
        </is>
      </c>
      <c r="K1453" t="inlineStr">
        <is>
          <t>High</t>
        </is>
      </c>
      <c r="L1453" t="inlineStr">
        <is>
          <t>Workflow Slowdown</t>
        </is>
      </c>
    </row>
    <row r="1454">
      <c r="A1454" t="inlineStr">
        <is>
          <t>FB-01453</t>
        </is>
      </c>
      <c r="B1454" t="inlineStr">
        <is>
          <t>CUST-0234</t>
        </is>
      </c>
      <c r="C1454" t="inlineStr">
        <is>
          <t>2026-09-22</t>
        </is>
      </c>
      <c r="D1454" t="inlineStr">
        <is>
          <t>Customer Survey</t>
        </is>
      </c>
      <c r="E1454" t="inlineStr">
        <is>
          <t>Enterprise</t>
        </is>
      </c>
      <c r="F1454" t="inlineStr">
        <is>
          <t>SMB</t>
        </is>
      </c>
      <c r="G1454" t="inlineStr">
        <is>
          <t>Integrations</t>
        </is>
      </c>
      <c r="H1454" t="inlineStr">
        <is>
          <t>Feature Request</t>
        </is>
      </c>
      <c r="I1454" t="inlineStr">
        <is>
          <t>Noting this during onboarding. Requesting a native Slack integration to remove manual re-entry. It happens about 7 times a week for our team of 32.</t>
        </is>
      </c>
      <c r="J1454" t="inlineStr">
        <is>
          <t>Neutral</t>
        </is>
      </c>
      <c r="K1454" t="inlineStr">
        <is>
          <t>Medium</t>
        </is>
      </c>
      <c r="L1454" t="inlineStr">
        <is>
          <t>Workflow Slowdown</t>
        </is>
      </c>
    </row>
    <row r="1455">
      <c r="A1455" t="inlineStr">
        <is>
          <t>FB-01454</t>
        </is>
      </c>
      <c r="B1455" t="inlineStr">
        <is>
          <t>CUST-0349</t>
        </is>
      </c>
      <c r="C1455" t="inlineStr">
        <is>
          <t>2026-09-22</t>
        </is>
      </c>
      <c r="D1455" t="inlineStr">
        <is>
          <t>Support Ticket</t>
        </is>
      </c>
      <c r="E1455" t="inlineStr">
        <is>
          <t>Professional</t>
        </is>
      </c>
      <c r="F1455" t="inlineStr">
        <is>
          <t>Mid-Market</t>
        </is>
      </c>
      <c r="G1455" t="inlineStr">
        <is>
          <t>Reporting</t>
        </is>
      </c>
      <c r="H1455" t="inlineStr">
        <is>
          <t>Bug</t>
        </is>
      </c>
      <c r="I1455" t="inlineStr">
        <is>
          <t>Escalating on behalf of our ops lead. Finance can't rely on the CSV export of reports; totals don't match the screen. So far 3 people on our side have reported it. Is there a workaround?</t>
        </is>
      </c>
      <c r="J1455" t="inlineStr">
        <is>
          <t>Negative</t>
        </is>
      </c>
      <c r="K1455" t="inlineStr">
        <is>
          <t>High</t>
        </is>
      </c>
      <c r="L1455" t="inlineStr">
        <is>
          <t>Workflow Slowdown</t>
        </is>
      </c>
    </row>
    <row r="1456">
      <c r="A1456" t="inlineStr">
        <is>
          <t>FB-01455</t>
        </is>
      </c>
      <c r="B1456" t="inlineStr">
        <is>
          <t>CUST-0243</t>
        </is>
      </c>
      <c r="C1456" t="inlineStr">
        <is>
          <t>2026-09-22</t>
        </is>
      </c>
      <c r="D1456" t="inlineStr">
        <is>
          <t>In-App Feedback</t>
        </is>
      </c>
      <c r="E1456" t="inlineStr">
        <is>
          <t>Professional</t>
        </is>
      </c>
      <c r="F1456" t="inlineStr">
        <is>
          <t>SMB</t>
        </is>
      </c>
      <c r="G1456" t="inlineStr">
        <is>
          <t>Reporting</t>
        </is>
      </c>
      <c r="H1456" t="inlineStr">
        <is>
          <t>Performance Issue</t>
        </is>
      </c>
      <c r="I1456" t="inlineStr">
        <is>
          <t>Raising this again after our last business review. Our dashboard refresh spins for a minute before showing any chart. It happens about 12 times a week for our team of 47. Support suggested logging it here.</t>
        </is>
      </c>
      <c r="J1456" t="inlineStr">
        <is>
          <t>Negative</t>
        </is>
      </c>
      <c r="K1456" t="inlineStr">
        <is>
          <t>Low</t>
        </is>
      </c>
      <c r="L1456" t="inlineStr">
        <is>
          <t>Minor Inconvenience</t>
        </is>
      </c>
    </row>
    <row r="1457">
      <c r="A1457" t="inlineStr">
        <is>
          <t>FB-01456</t>
        </is>
      </c>
      <c r="B1457" t="inlineStr">
        <is>
          <t>CUST-0229</t>
        </is>
      </c>
      <c r="C1457" t="inlineStr">
        <is>
          <t>2026-09-22</t>
        </is>
      </c>
      <c r="D1457" t="inlineStr">
        <is>
          <t>Support Ticket</t>
        </is>
      </c>
      <c r="E1457" t="inlineStr">
        <is>
          <t>Starter</t>
        </is>
      </c>
      <c r="F1457" t="inlineStr">
        <is>
          <t>Mid-Market</t>
        </is>
      </c>
      <c r="G1457" t="inlineStr">
        <is>
          <t>User Interface</t>
        </is>
      </c>
      <c r="H1457" t="inlineStr">
        <is>
          <t>Feature Request</t>
        </is>
      </c>
      <c r="I1457" t="inlineStr">
        <is>
          <t>Noting this during onboarding. Please prioritize a mobile app; the mobile web view is hard to use. It affects our month-end reporting process every cycle.</t>
        </is>
      </c>
      <c r="J1457" t="inlineStr">
        <is>
          <t>Neutral</t>
        </is>
      </c>
      <c r="K1457" t="inlineStr">
        <is>
          <t>High</t>
        </is>
      </c>
      <c r="L1457" t="inlineStr">
        <is>
          <t>Blocks Key Task</t>
        </is>
      </c>
    </row>
    <row r="1458">
      <c r="A1458" t="inlineStr">
        <is>
          <t>FB-01457</t>
        </is>
      </c>
      <c r="B1458" t="inlineStr">
        <is>
          <t>CUST-0102</t>
        </is>
      </c>
      <c r="C1458" t="inlineStr">
        <is>
          <t>2026-09-23</t>
        </is>
      </c>
      <c r="D1458" t="inlineStr">
        <is>
          <t>Support Ticket</t>
        </is>
      </c>
      <c r="E1458" t="inlineStr">
        <is>
          <t>Professional</t>
        </is>
      </c>
      <c r="F1458" t="inlineStr">
        <is>
          <t>Mid-Market</t>
        </is>
      </c>
      <c r="G1458" t="inlineStr">
        <is>
          <t>Reporting</t>
        </is>
      </c>
      <c r="H1458" t="inlineStr">
        <is>
          <t>Performance Issue</t>
        </is>
      </c>
      <c r="I1458" t="inlineStr">
        <is>
          <t>Report load time got noticeably worse over the last few months.</t>
        </is>
      </c>
      <c r="J1458" t="inlineStr">
        <is>
          <t>Negative</t>
        </is>
      </c>
      <c r="K1458" t="inlineStr">
        <is>
          <t>High</t>
        </is>
      </c>
      <c r="L1458" t="inlineStr">
        <is>
          <t>Workflow Slowdown</t>
        </is>
      </c>
    </row>
    <row r="1459">
      <c r="A1459" t="inlineStr">
        <is>
          <t>FB-01458</t>
        </is>
      </c>
      <c r="B1459" t="inlineStr">
        <is>
          <t>CUST-0108</t>
        </is>
      </c>
      <c r="C1459" t="inlineStr">
        <is>
          <t>2026-09-23</t>
        </is>
      </c>
      <c r="D1459" t="inlineStr">
        <is>
          <t>Customer Survey</t>
        </is>
      </c>
      <c r="E1459" t="inlineStr">
        <is>
          <t>Enterprise</t>
        </is>
      </c>
      <c r="F1459" t="inlineStr">
        <is>
          <t>Mid-Market</t>
        </is>
      </c>
      <c r="G1459" t="inlineStr">
        <is>
          <t>Integrations</t>
        </is>
      </c>
      <c r="H1459" t="inlineStr">
        <is>
          <t>Feature Request</t>
        </is>
      </c>
      <c r="I1459" t="inlineStr">
        <is>
          <t>Recent updates have been a nice improvement. Our security team requires SCIM provisioning before we can expand seats. Happy to beta test.</t>
        </is>
      </c>
      <c r="J1459" t="inlineStr">
        <is>
          <t>Positive</t>
        </is>
      </c>
      <c r="K1459" t="inlineStr">
        <is>
          <t>High</t>
        </is>
      </c>
      <c r="L1459" t="inlineStr">
        <is>
          <t>Revenue/Operations Risk</t>
        </is>
      </c>
    </row>
    <row r="1460">
      <c r="A1460" t="inlineStr">
        <is>
          <t>FB-01459</t>
        </is>
      </c>
      <c r="B1460" t="inlineStr">
        <is>
          <t>CUST-0299</t>
        </is>
      </c>
      <c r="C1460" t="inlineStr">
        <is>
          <t>2026-09-23</t>
        </is>
      </c>
      <c r="D1460" t="inlineStr">
        <is>
          <t>In-App Feedback</t>
        </is>
      </c>
      <c r="E1460" t="inlineStr">
        <is>
          <t>Professional</t>
        </is>
      </c>
      <c r="F1460" t="inlineStr">
        <is>
          <t>Mid-Market</t>
        </is>
      </c>
      <c r="G1460" t="inlineStr">
        <is>
          <t>Integrations</t>
        </is>
      </c>
      <c r="H1460" t="inlineStr">
        <is>
          <t>Integration Issue</t>
        </is>
      </c>
      <c r="I1460" t="inlineStr">
        <is>
          <t>Great support experience recently. We keep hitting API timeouts during nightly syncs with our data warehouse. It happens about 11 times a week for our team of 11. Keep up the good work.</t>
        </is>
      </c>
      <c r="J1460" t="inlineStr">
        <is>
          <t>Positive</t>
        </is>
      </c>
      <c r="K1460" t="inlineStr">
        <is>
          <t>High</t>
        </is>
      </c>
      <c r="L1460" t="inlineStr">
        <is>
          <t>Blocks Key Task</t>
        </is>
      </c>
    </row>
    <row r="1461">
      <c r="A1461" t="inlineStr">
        <is>
          <t>FB-01460</t>
        </is>
      </c>
      <c r="B1461" t="inlineStr">
        <is>
          <t>CUST-0074</t>
        </is>
      </c>
      <c r="C1461" t="inlineStr">
        <is>
          <t>2026-09-23</t>
        </is>
      </c>
      <c r="D1461" t="inlineStr">
        <is>
          <t>Feature Request</t>
        </is>
      </c>
      <c r="E1461" t="inlineStr">
        <is>
          <t>Enterprise</t>
        </is>
      </c>
      <c r="F1461" t="inlineStr">
        <is>
          <t>Mid-Market</t>
        </is>
      </c>
      <c r="G1461" t="inlineStr">
        <is>
          <t>User Interface</t>
        </is>
      </c>
      <c r="H1461" t="inlineStr">
        <is>
          <t>Feature Request</t>
        </is>
      </c>
      <c r="I1461" t="inlineStr">
        <is>
          <t>Our team keeps running into this. Requesting bulk actions on lists across every list view. So far 11 people on our side have reported it. Please look into it soon.</t>
        </is>
      </c>
      <c r="J1461" t="inlineStr">
        <is>
          <t>Negative</t>
        </is>
      </c>
      <c r="K1461" t="inlineStr">
        <is>
          <t>Medium</t>
        </is>
      </c>
      <c r="L1461" t="inlineStr">
        <is>
          <t>Workflow Slowdown</t>
        </is>
      </c>
    </row>
    <row r="1462">
      <c r="A1462" t="inlineStr">
        <is>
          <t>FB-01461</t>
        </is>
      </c>
      <c r="B1462" t="inlineStr">
        <is>
          <t>CUST-0276</t>
        </is>
      </c>
      <c r="C1462" t="inlineStr">
        <is>
          <t>2026-09-23</t>
        </is>
      </c>
      <c r="D1462" t="inlineStr">
        <is>
          <t>customer survey</t>
        </is>
      </c>
      <c r="E1462" t="inlineStr">
        <is>
          <t>Professional</t>
        </is>
      </c>
      <c r="F1462" t="inlineStr">
        <is>
          <t>SMB</t>
        </is>
      </c>
      <c r="G1462" t="inlineStr">
        <is>
          <t>Lead Management</t>
        </is>
      </c>
      <c r="H1462" t="inlineStr">
        <is>
          <t>Feature Request</t>
        </is>
      </c>
      <c r="I1462" t="inlineStr">
        <is>
          <t>Quick note from our admin. Would love to see lead scoring rules that marketing and sales can both tune. We estimate we lose roughly 39 hours a month on this.</t>
        </is>
      </c>
      <c r="J1462" t="inlineStr">
        <is>
          <t>Neutral</t>
        </is>
      </c>
      <c r="K1462" t="inlineStr">
        <is>
          <t>Medium</t>
        </is>
      </c>
      <c r="L1462" t="inlineStr">
        <is>
          <t>Workflow Slowdown</t>
        </is>
      </c>
    </row>
    <row r="1463">
      <c r="A1463" t="inlineStr">
        <is>
          <t>FB-01462</t>
        </is>
      </c>
      <c r="B1463" t="inlineStr">
        <is>
          <t>CUST-0371</t>
        </is>
      </c>
      <c r="C1463" t="inlineStr">
        <is>
          <t>2026-09-23</t>
        </is>
      </c>
      <c r="D1463" t="inlineStr">
        <is>
          <t>Feature Request</t>
        </is>
      </c>
      <c r="E1463" t="inlineStr">
        <is>
          <t>Enterprise</t>
        </is>
      </c>
      <c r="F1463" t="inlineStr">
        <is>
          <t>Enterprise</t>
        </is>
      </c>
      <c r="G1463" t="inlineStr">
        <is>
          <t>Integrations</t>
        </is>
      </c>
      <c r="H1463" t="inlineStr">
        <is>
          <t>Integration Issue</t>
        </is>
      </c>
      <c r="I1463" t="inlineStr">
        <is>
          <t>Reps no longer trust Gmail sync, so they log activity by hand. So far 103 people on our side have reported it.</t>
        </is>
      </c>
      <c r="J1463" t="inlineStr">
        <is>
          <t>Negative</t>
        </is>
      </c>
      <c r="K1463" t="inlineStr">
        <is>
          <t>Medium</t>
        </is>
      </c>
      <c r="L1463" t="inlineStr">
        <is>
          <t>Blocks Key Task</t>
        </is>
      </c>
    </row>
    <row r="1464">
      <c r="A1464" t="inlineStr">
        <is>
          <t>FB-01463</t>
        </is>
      </c>
      <c r="B1464" t="inlineStr">
        <is>
          <t>CUST-0282</t>
        </is>
      </c>
      <c r="C1464" t="inlineStr">
        <is>
          <t>2026-09-24</t>
        </is>
      </c>
      <c r="D1464" t="inlineStr">
        <is>
          <t>Support Ticket</t>
        </is>
      </c>
      <c r="E1464" t="inlineStr">
        <is>
          <t>Starter</t>
        </is>
      </c>
      <c r="F1464" t="inlineStr">
        <is>
          <t>SMB</t>
        </is>
      </c>
      <c r="G1464" t="inlineStr">
        <is>
          <t>Lead Management</t>
        </is>
      </c>
      <c r="H1464" t="inlineStr">
        <is>
          <t>Performance Issue</t>
        </is>
      </c>
      <c r="I1464" t="inlineStr">
        <is>
          <t>Sharing this from our team. The lead view load times gets very slow once we pass a few thousand open leads. Our customer success lead flagged it while onboarding 70 new users.</t>
        </is>
      </c>
      <c r="J1464" t="inlineStr">
        <is>
          <t>Neutral</t>
        </is>
      </c>
      <c r="K1464" t="inlineStr">
        <is>
          <t>Low</t>
        </is>
      </c>
      <c r="L1464" t="inlineStr">
        <is>
          <t>Minor Inconvenience</t>
        </is>
      </c>
    </row>
    <row r="1465">
      <c r="A1465" t="inlineStr">
        <is>
          <t>FB-01464</t>
        </is>
      </c>
      <c r="B1465" t="inlineStr">
        <is>
          <t>CUST-0032</t>
        </is>
      </c>
      <c r="C1465" t="inlineStr">
        <is>
          <t>2026-09-24</t>
        </is>
      </c>
      <c r="D1465" t="inlineStr">
        <is>
          <t>Customer Survey</t>
        </is>
      </c>
      <c r="E1465" t="inlineStr">
        <is>
          <t>Starter</t>
        </is>
      </c>
      <c r="F1465" t="inlineStr">
        <is>
          <t>SMB</t>
        </is>
      </c>
      <c r="G1465" t="inlineStr">
        <is>
          <t>Workflow Automation</t>
        </is>
      </c>
      <c r="H1465" t="inlineStr">
        <is>
          <t>Usability Issue</t>
        </is>
      </c>
      <c r="I1465" t="inlineStr">
        <is>
          <t>Noting this during onboarding. I can't tell what a branch does in the workflow editor without opening every node. Happy to join a feedback call.</t>
        </is>
      </c>
      <c r="J1465" t="inlineStr">
        <is>
          <t>Neutral</t>
        </is>
      </c>
      <c r="K1465" t="inlineStr">
        <is>
          <t>Medium</t>
        </is>
      </c>
      <c r="L1465" t="inlineStr">
        <is>
          <t>Blocks Key Task</t>
        </is>
      </c>
    </row>
    <row r="1466">
      <c r="A1466" t="inlineStr">
        <is>
          <t>FB-01465</t>
        </is>
      </c>
      <c r="B1466" t="inlineStr">
        <is>
          <t>CUST-0351</t>
        </is>
      </c>
      <c r="C1466" t="inlineStr">
        <is>
          <t>2026-09-24</t>
        </is>
      </c>
      <c r="D1466" t="inlineStr">
        <is>
          <t>Feature Request</t>
        </is>
      </c>
      <c r="E1466" t="inlineStr">
        <is>
          <t>Enterprise</t>
        </is>
      </c>
      <c r="F1466" t="inlineStr">
        <is>
          <t>Enterprise</t>
        </is>
      </c>
      <c r="G1466" t="inlineStr">
        <is>
          <t>Reporting</t>
        </is>
      </c>
      <c r="H1466" t="inlineStr">
        <is>
          <t>Feature Request</t>
        </is>
      </c>
      <c r="I1466" t="inlineStr">
        <is>
          <t>Happy with most of the product. Requesting scheduled report emails so leadership gets numbers without logging in. So far 20 people on our side have reported it. Thanks to the team.</t>
        </is>
      </c>
      <c r="J1466" t="inlineStr">
        <is>
          <t>Positive</t>
        </is>
      </c>
      <c r="K1466" t="inlineStr">
        <is>
          <t>Low</t>
        </is>
      </c>
      <c r="L1466" t="inlineStr">
        <is>
          <t>Minor Inconvenience</t>
        </is>
      </c>
    </row>
    <row r="1467">
      <c r="A1467" t="inlineStr">
        <is>
          <t>FB-01466</t>
        </is>
      </c>
      <c r="B1467" t="inlineStr">
        <is>
          <t>CUST-0306</t>
        </is>
      </c>
      <c r="C1467" t="inlineStr">
        <is>
          <t>2026-09-24</t>
        </is>
      </c>
      <c r="D1467" t="inlineStr">
        <is>
          <t>Support Ticket</t>
        </is>
      </c>
      <c r="E1467" t="inlineStr">
        <is>
          <t>Professional</t>
        </is>
      </c>
      <c r="F1467" t="inlineStr">
        <is>
          <t>SMB</t>
        </is>
      </c>
      <c r="G1467" t="inlineStr">
        <is>
          <t>Integrations</t>
        </is>
      </c>
      <c r="H1467" t="inlineStr">
        <is>
          <t>Integration Issue</t>
        </is>
      </c>
      <c r="I1467" t="inlineStr">
        <is>
          <t>After the token expires, Outlook calendar sync stops with no warning. Let us know if you need examples.</t>
        </is>
      </c>
      <c r="J1467" t="inlineStr">
        <is>
          <t>Neutral</t>
        </is>
      </c>
      <c r="K1467" t="inlineStr">
        <is>
          <t>Medium</t>
        </is>
      </c>
      <c r="L1467" t="inlineStr">
        <is>
          <t>Blocks Key Task</t>
        </is>
      </c>
    </row>
    <row r="1468">
      <c r="A1468" t="inlineStr">
        <is>
          <t>FB-01467</t>
        </is>
      </c>
      <c r="B1468" t="inlineStr">
        <is>
          <t>CUST-0087</t>
        </is>
      </c>
      <c r="C1468" t="inlineStr">
        <is>
          <t>2026-09-24</t>
        </is>
      </c>
      <c r="D1468" t="inlineStr">
        <is>
          <t>In-App Feedback</t>
        </is>
      </c>
      <c r="E1468" t="inlineStr">
        <is>
          <t>Professional</t>
        </is>
      </c>
      <c r="F1468" t="inlineStr">
        <is>
          <t>SMB</t>
        </is>
      </c>
      <c r="G1468" t="inlineStr">
        <is>
          <t>Lead Management</t>
        </is>
      </c>
      <c r="H1468" t="inlineStr">
        <is>
          <t>Bug</t>
        </is>
      </c>
      <c r="I1468" t="inlineStr">
        <is>
          <t>Quick note from our admin. After every list import we find duplicate lead records that have to be cleaned up by hand. Our finance analyst flagged it while onboarding 20 new users.</t>
        </is>
      </c>
      <c r="J1468" t="inlineStr">
        <is>
          <t>Neutral</t>
        </is>
      </c>
      <c r="K1468" t="inlineStr">
        <is>
          <t>High</t>
        </is>
      </c>
      <c r="L1468" t="inlineStr">
        <is>
          <t>Blocks Key Task</t>
        </is>
      </c>
    </row>
    <row r="1469">
      <c r="A1469" t="inlineStr">
        <is>
          <t>FB-01468</t>
        </is>
      </c>
      <c r="B1469" t="inlineStr">
        <is>
          <t>CUST-0284</t>
        </is>
      </c>
      <c r="C1469" t="inlineStr">
        <is>
          <t>2026-09-24</t>
        </is>
      </c>
      <c r="D1469" t="inlineStr">
        <is>
          <t>Feature Request</t>
        </is>
      </c>
      <c r="E1469" t="inlineStr">
        <is>
          <t>Enterprise</t>
        </is>
      </c>
      <c r="F1469" t="inlineStr">
        <is>
          <t>Enterprise</t>
        </is>
      </c>
      <c r="G1469" t="inlineStr">
        <is>
          <t>User Interface</t>
        </is>
      </c>
      <c r="H1469" t="inlineStr">
        <is>
          <t>Feature Request</t>
        </is>
      </c>
      <c r="I1469" t="inlineStr">
        <is>
          <t>Please add bulk edit actions; changing records one at a time wastes hours. So far 103 people on our side have reported it.</t>
        </is>
      </c>
      <c r="J1469" t="inlineStr">
        <is>
          <t>Negative</t>
        </is>
      </c>
      <c r="K1469" t="inlineStr">
        <is>
          <t>Low</t>
        </is>
      </c>
      <c r="L1469" t="inlineStr">
        <is>
          <t>Minor Inconvenience</t>
        </is>
      </c>
    </row>
    <row r="1470">
      <c r="A1470" t="inlineStr">
        <is>
          <t>FB-01469</t>
        </is>
      </c>
      <c r="B1470" t="inlineStr">
        <is>
          <t>CUST-0096</t>
        </is>
      </c>
      <c r="C1470" t="inlineStr">
        <is>
          <t>2026-09-24</t>
        </is>
      </c>
      <c r="D1470" t="inlineStr">
        <is>
          <t>Feature Request</t>
        </is>
      </c>
      <c r="E1470" t="inlineStr">
        <is>
          <t>Enterprise</t>
        </is>
      </c>
      <c r="F1470" t="inlineStr">
        <is>
          <t>Enterprise</t>
        </is>
      </c>
      <c r="G1470" t="inlineStr">
        <is>
          <t>Reporting</t>
        </is>
      </c>
      <c r="H1470" t="inlineStr">
        <is>
          <t>Feature Request</t>
        </is>
      </c>
      <c r="I1470" t="inlineStr">
        <is>
          <t>Quick note from our admin. Requesting forecast rollups that updates as deal stages change. We estimate we lose roughly 41 hours a month on this.</t>
        </is>
      </c>
      <c r="J1470" t="inlineStr">
        <is>
          <t>Neutral</t>
        </is>
      </c>
      <c r="K1470" t="inlineStr">
        <is>
          <t>Medium</t>
        </is>
      </c>
      <c r="L1470" t="inlineStr">
        <is>
          <t>Minor Inconvenience</t>
        </is>
      </c>
    </row>
    <row r="1471">
      <c r="A1471" t="inlineStr">
        <is>
          <t>FB-01470</t>
        </is>
      </c>
      <c r="B1471" t="inlineStr">
        <is>
          <t>CUST-0203</t>
        </is>
      </c>
      <c r="C1471" t="inlineStr">
        <is>
          <t>2026-09-24</t>
        </is>
      </c>
      <c r="D1471" t="inlineStr">
        <is>
          <t>Customer Survey</t>
        </is>
      </c>
      <c r="E1471" t="inlineStr">
        <is>
          <t>Professional</t>
        </is>
      </c>
      <c r="F1471" t="inlineStr">
        <is>
          <t>Mid-Market</t>
        </is>
      </c>
      <c r="G1471" t="inlineStr">
        <is>
          <t>Lead Management</t>
        </is>
      </c>
      <c r="H1471" t="inlineStr">
        <is>
          <t>Bug</t>
        </is>
      </c>
      <c r="I1471" t="inlineStr">
        <is>
          <t>Our team keeps running into this. We are seeing lead de-duplication failures when a lead arrives from both the website and a trade-show list. We estimate we lose roughly 55 hours a month on this.</t>
        </is>
      </c>
      <c r="J1471" t="inlineStr">
        <is>
          <t>Negative</t>
        </is>
      </c>
      <c r="K1471" t="inlineStr">
        <is>
          <t>Low</t>
        </is>
      </c>
      <c r="L1471" t="inlineStr">
        <is>
          <t>Minor Inconvenience</t>
        </is>
      </c>
    </row>
    <row r="1472">
      <c r="A1472" t="inlineStr">
        <is>
          <t>FB-01471</t>
        </is>
      </c>
      <c r="B1472" t="inlineStr">
        <is>
          <t>CUST-0322</t>
        </is>
      </c>
      <c r="C1472" t="inlineStr">
        <is>
          <t>2026-09-24</t>
        </is>
      </c>
      <c r="D1472" t="inlineStr">
        <is>
          <t>Feature Request</t>
        </is>
      </c>
      <c r="E1472" t="inlineStr">
        <is>
          <t>Starter</t>
        </is>
      </c>
      <c r="F1472" t="inlineStr">
        <is>
          <t>SMB</t>
        </is>
      </c>
      <c r="G1472" t="inlineStr">
        <is>
          <t>Contact Management</t>
        </is>
      </c>
      <c r="H1472" t="inlineStr">
        <is>
          <t>Feature Request</t>
        </is>
      </c>
      <c r="I1472" t="inlineStr">
        <is>
          <t>FYI for the product team. Please build a tool to merge duplicate contacts with a preview of what will be combined. Happy to join a feedback call.</t>
        </is>
      </c>
      <c r="J1472" t="inlineStr">
        <is>
          <t>Neutral</t>
        </is>
      </c>
      <c r="K1472" t="inlineStr">
        <is>
          <t>Medium</t>
        </is>
      </c>
      <c r="L1472" t="inlineStr">
        <is>
          <t>Blocks Key Task</t>
        </is>
      </c>
    </row>
    <row r="1473">
      <c r="A1473" t="inlineStr">
        <is>
          <t>FB-01472</t>
        </is>
      </c>
      <c r="B1473" t="inlineStr">
        <is>
          <t>CUST-0139</t>
        </is>
      </c>
      <c r="C1473" t="inlineStr">
        <is>
          <t>2026-09-24</t>
        </is>
      </c>
      <c r="D1473" t="inlineStr">
        <is>
          <t>In-App Feedback</t>
        </is>
      </c>
      <c r="E1473" t="inlineStr">
        <is>
          <t>Professional</t>
        </is>
      </c>
      <c r="F1473" t="inlineStr">
        <is>
          <t>Mid-Market</t>
        </is>
      </c>
      <c r="G1473" t="inlineStr">
        <is>
          <t>Workflow Automation</t>
        </is>
      </c>
      <c r="H1473" t="inlineStr">
        <is>
          <t>Bug</t>
        </is>
      </c>
      <c r="I1473" t="inlineStr">
        <is>
          <t>Several workflow runs failing silently left deals stuck in the wrong stage. So far 84 people on our side have reported it. Is there a workaround?</t>
        </is>
      </c>
      <c r="J1473" t="inlineStr">
        <is>
          <t>Negative</t>
        </is>
      </c>
      <c r="K1473" t="inlineStr">
        <is>
          <t>Critical</t>
        </is>
      </c>
      <c r="L1473" t="inlineStr">
        <is>
          <t>Blocks Key Task</t>
        </is>
      </c>
    </row>
    <row r="1474">
      <c r="A1474" t="inlineStr">
        <is>
          <t>FB-01473</t>
        </is>
      </c>
      <c r="B1474" t="inlineStr">
        <is>
          <t>CUST-0012</t>
        </is>
      </c>
      <c r="C1474" t="inlineStr">
        <is>
          <t>2026-09-26</t>
        </is>
      </c>
      <c r="D1474" t="inlineStr">
        <is>
          <t>Customer Survey</t>
        </is>
      </c>
      <c r="E1474" t="inlineStr">
        <is>
          <t>Enterprise</t>
        </is>
      </c>
      <c r="F1474" t="inlineStr">
        <is>
          <t>Enterprise</t>
        </is>
      </c>
      <c r="G1474" t="inlineStr">
        <is>
          <t>Reporting</t>
        </is>
      </c>
      <c r="H1474" t="inlineStr">
        <is>
          <t>Feature Request</t>
        </is>
      </c>
      <c r="I1474" t="inlineStr">
        <is>
          <t>Happy with most of the product. We need a custom report builder so non-technical managers can create their own views. It affects our month-end reporting process every cycle. Keep up the good work.</t>
        </is>
      </c>
      <c r="J1474" t="inlineStr">
        <is>
          <t xml:space="preserve"> Positive</t>
        </is>
      </c>
      <c r="K1474" t="inlineStr">
        <is>
          <t>High</t>
        </is>
      </c>
      <c r="L1474" t="inlineStr">
        <is>
          <t>Blocks Key Task</t>
        </is>
      </c>
    </row>
    <row r="1475">
      <c r="A1475" t="inlineStr">
        <is>
          <t>FB-01474</t>
        </is>
      </c>
      <c r="B1475" t="inlineStr">
        <is>
          <t>CUST-0265</t>
        </is>
      </c>
      <c r="C1475" t="inlineStr">
        <is>
          <t>2026-09-26</t>
        </is>
      </c>
      <c r="D1475" t="inlineStr">
        <is>
          <t>Feature Request</t>
        </is>
      </c>
      <c r="E1475" t="inlineStr">
        <is>
          <t>Starter</t>
        </is>
      </c>
      <c r="F1475" t="inlineStr">
        <is>
          <t>SMB</t>
        </is>
      </c>
      <c r="G1475" t="inlineStr">
        <is>
          <t>User Interface</t>
        </is>
      </c>
      <c r="H1475" t="inlineStr">
        <is>
          <t>Feature Request</t>
        </is>
      </c>
      <c r="I1475" t="inlineStr">
        <is>
          <t>Noting this during onboarding. Requesting mobile call logging so reps can log activity right after a meeting.</t>
        </is>
      </c>
      <c r="J1475" t="inlineStr">
        <is>
          <t>Neutral</t>
        </is>
      </c>
      <c r="K1475" t="inlineStr">
        <is>
          <t>Low</t>
        </is>
      </c>
      <c r="L1475" t="inlineStr">
        <is>
          <t>Workflow Slowdown</t>
        </is>
      </c>
    </row>
    <row r="1476">
      <c r="A1476" t="inlineStr">
        <is>
          <t>FB-01475</t>
        </is>
      </c>
      <c r="B1476" t="inlineStr">
        <is>
          <t>CUST-0313</t>
        </is>
      </c>
      <c r="C1476" t="inlineStr">
        <is>
          <t>2026-09-26</t>
        </is>
      </c>
      <c r="D1476" t="inlineStr">
        <is>
          <t>Customer Survey</t>
        </is>
      </c>
      <c r="E1476" t="inlineStr">
        <is>
          <t>starter</t>
        </is>
      </c>
      <c r="F1476" t="inlineStr">
        <is>
          <t>SMB</t>
        </is>
      </c>
      <c r="G1476" t="inlineStr">
        <is>
          <t>Lead Management</t>
        </is>
      </c>
      <c r="H1476" t="inlineStr">
        <is>
          <t>Usability Issue</t>
        </is>
      </c>
      <c r="I1476" t="inlineStr">
        <is>
          <t>Frustrated with this one. It is hard to understand how lead assignment settings decide who owns a lead. It affects our lead handoff process every cycle.</t>
        </is>
      </c>
      <c r="J1476" t="inlineStr">
        <is>
          <t>Negative</t>
        </is>
      </c>
      <c r="K1476" t="inlineStr">
        <is>
          <t>Low</t>
        </is>
      </c>
      <c r="L1476" t="inlineStr">
        <is>
          <t>Minor Inconvenience</t>
        </is>
      </c>
    </row>
    <row r="1477">
      <c r="A1477" t="inlineStr">
        <is>
          <t>FB-01476</t>
        </is>
      </c>
      <c r="B1477" t="inlineStr">
        <is>
          <t>CUST-0062</t>
        </is>
      </c>
      <c r="C1477" t="inlineStr">
        <is>
          <t>2026-09-26</t>
        </is>
      </c>
      <c r="D1477" t="inlineStr">
        <is>
          <t>Customer Survey</t>
        </is>
      </c>
      <c r="E1477" t="inlineStr">
        <is>
          <t>Professional</t>
        </is>
      </c>
      <c r="F1477" t="inlineStr">
        <is>
          <t>Mid-Market</t>
        </is>
      </c>
      <c r="G1477" t="inlineStr">
        <is>
          <t>User Interface</t>
        </is>
      </c>
      <c r="H1477" t="inlineStr">
        <is>
          <t>Feature Request</t>
        </is>
      </c>
      <c r="I1477" t="inlineStr">
        <is>
          <t>Feedback from our monthly review. Requesting offline mobile access so reps can log activity right after a meeting. It happens about 17 times a week for our team of 59. Let us know if you need examples.</t>
        </is>
      </c>
      <c r="J1477" t="inlineStr">
        <is>
          <t>Neutral</t>
        </is>
      </c>
      <c r="K1477" t="inlineStr">
        <is>
          <t>Low</t>
        </is>
      </c>
      <c r="L1477" t="inlineStr">
        <is>
          <t>Minor Inconvenience</t>
        </is>
      </c>
    </row>
    <row r="1478">
      <c r="A1478" t="inlineStr">
        <is>
          <t>FB-01477</t>
        </is>
      </c>
      <c r="B1478" t="inlineStr">
        <is>
          <t>CUST-0047</t>
        </is>
      </c>
      <c r="C1478" t="inlineStr">
        <is>
          <t>2026-09-26</t>
        </is>
      </c>
      <c r="D1478" t="inlineStr">
        <is>
          <t>In-App Feedback</t>
        </is>
      </c>
      <c r="E1478" t="inlineStr">
        <is>
          <t>Starter</t>
        </is>
      </c>
      <c r="F1478" t="inlineStr">
        <is>
          <t>SMB</t>
        </is>
      </c>
      <c r="G1478" t="inlineStr">
        <is>
          <t>Lead Management</t>
        </is>
      </c>
      <c r="H1478" t="inlineStr">
        <is>
          <t>Feature Request</t>
        </is>
      </c>
      <c r="I1478" t="inlineStr">
        <is>
          <t>Noting this during onboarding. Please add automated lead scoring based on engagement, company size and recent activity. We estimate we lose roughly 26 hours a month on this.</t>
        </is>
      </c>
      <c r="J1478" t="inlineStr">
        <is>
          <t>Neutral</t>
        </is>
      </c>
      <c r="K1478" t="inlineStr">
        <is>
          <t>Medium</t>
        </is>
      </c>
      <c r="L1478" t="inlineStr">
        <is>
          <t>Workflow Slowdown</t>
        </is>
      </c>
    </row>
    <row r="1479">
      <c r="A1479" t="inlineStr">
        <is>
          <t>FB-01478</t>
        </is>
      </c>
      <c r="B1479" t="inlineStr">
        <is>
          <t>CUST-0286</t>
        </is>
      </c>
      <c r="C1479" t="inlineStr">
        <is>
          <t>2026-09-26</t>
        </is>
      </c>
      <c r="D1479" t="inlineStr">
        <is>
          <t>Feature Request</t>
        </is>
      </c>
      <c r="E1479" t="inlineStr">
        <is>
          <t>Enterprise</t>
        </is>
      </c>
      <c r="F1479" t="inlineStr">
        <is>
          <t>Enterprise</t>
        </is>
      </c>
      <c r="G1479" t="inlineStr">
        <is>
          <t>Reporting</t>
        </is>
      </c>
      <c r="H1479" t="inlineStr">
        <is>
          <t>Feature Request</t>
        </is>
      </c>
      <c r="I1479" t="inlineStr">
        <is>
          <t>Great support experience recently. Without report scheduling we export raw data and rebuild everything elsewhere. So far 38 people on our side have reported it. Keep up the good work.</t>
        </is>
      </c>
      <c r="J1479" t="inlineStr">
        <is>
          <t>Positive</t>
        </is>
      </c>
      <c r="K1479" t="inlineStr">
        <is>
          <t>Critical</t>
        </is>
      </c>
      <c r="L1479" t="inlineStr">
        <is>
          <t>Revenue/Operations Risk</t>
        </is>
      </c>
    </row>
    <row r="1480">
      <c r="A1480" t="inlineStr">
        <is>
          <t>FB-01479</t>
        </is>
      </c>
      <c r="B1480" t="inlineStr">
        <is>
          <t>CUST-0123</t>
        </is>
      </c>
      <c r="C1480" t="inlineStr">
        <is>
          <t>2026-09-26</t>
        </is>
      </c>
      <c r="D1480" t="inlineStr">
        <is>
          <t>Feature Request</t>
        </is>
      </c>
      <c r="E1480" t="inlineStr">
        <is>
          <t>Professional</t>
        </is>
      </c>
      <c r="F1480" t="inlineStr">
        <is>
          <t>Mid-Market</t>
        </is>
      </c>
      <c r="G1480" t="inlineStr">
        <is>
          <t>Workflow Automation</t>
        </is>
      </c>
      <c r="H1480" t="inlineStr">
        <is>
          <t>Feature Request</t>
        </is>
      </c>
      <c r="I1480" t="inlineStr">
        <is>
          <t>Quick note from our admin. A library of prebuilt automations would cut our setup time.</t>
        </is>
      </c>
      <c r="J1480" t="inlineStr">
        <is>
          <t>Neutral</t>
        </is>
      </c>
      <c r="K1480" t="inlineStr">
        <is>
          <t>Low</t>
        </is>
      </c>
      <c r="L1480" t="inlineStr">
        <is>
          <t>Minor Inconvenience</t>
        </is>
      </c>
    </row>
    <row r="1481">
      <c r="A1481" t="inlineStr">
        <is>
          <t>FB-01480</t>
        </is>
      </c>
      <c r="B1481" t="inlineStr">
        <is>
          <t>CUST-0096</t>
        </is>
      </c>
      <c r="C1481" t="inlineStr">
        <is>
          <t>2026-09-27</t>
        </is>
      </c>
      <c r="D1481" t="inlineStr">
        <is>
          <t>Feature Request</t>
        </is>
      </c>
      <c r="E1481" t="inlineStr">
        <is>
          <t>Enterprise</t>
        </is>
      </c>
      <c r="F1481" t="inlineStr">
        <is>
          <t>Enterprise</t>
        </is>
      </c>
      <c r="G1481" t="inlineStr">
        <is>
          <t>Integrations</t>
        </is>
      </c>
      <c r="H1481" t="inlineStr">
        <is>
          <t>Feature Request</t>
        </is>
      </c>
      <c r="I1481" t="inlineStr">
        <is>
          <t>Sharing this from our team. Requesting a native accounting integration to remove manual re-entry. So far 25 people on our side have reported it.</t>
        </is>
      </c>
      <c r="J1481" t="inlineStr">
        <is>
          <t>Neutral</t>
        </is>
      </c>
      <c r="K1481" t="inlineStr">
        <is>
          <t>High</t>
        </is>
      </c>
      <c r="L1481" t="inlineStr">
        <is>
          <t>Blocks Key Task</t>
        </is>
      </c>
    </row>
    <row r="1482">
      <c r="A1482" t="inlineStr">
        <is>
          <t>FB-01481</t>
        </is>
      </c>
      <c r="B1482" t="inlineStr">
        <is>
          <t>CUST-0381</t>
        </is>
      </c>
      <c r="C1482" t="inlineStr">
        <is>
          <t>2026-09-27</t>
        </is>
      </c>
      <c r="D1482" t="inlineStr">
        <is>
          <t>In-App Feedback</t>
        </is>
      </c>
      <c r="E1482" t="inlineStr">
        <is>
          <t>Professional</t>
        </is>
      </c>
      <c r="F1482" t="inlineStr">
        <is>
          <t>Mid-Market</t>
        </is>
      </c>
      <c r="G1482" t="inlineStr">
        <is>
          <t>User Interface</t>
        </is>
      </c>
      <c r="H1482" t="inlineStr">
        <is>
          <t>Feature Request</t>
        </is>
      </c>
      <c r="I1482" t="inlineStr">
        <is>
          <t>This has been a recurring problem for us. We lose notes whenever reps are away from a desk without a mobile app. It affects our renewal process every cycle.</t>
        </is>
      </c>
      <c r="J1482" t="inlineStr">
        <is>
          <t>Negative</t>
        </is>
      </c>
      <c r="K1482" t="inlineStr">
        <is>
          <t>Low</t>
        </is>
      </c>
      <c r="L1482" t="inlineStr">
        <is>
          <t>Blocks Key Task</t>
        </is>
      </c>
    </row>
    <row r="1483">
      <c r="A1483" t="inlineStr">
        <is>
          <t>FB-01482</t>
        </is>
      </c>
      <c r="B1483" t="inlineStr">
        <is>
          <t>CUST-0002</t>
        </is>
      </c>
      <c r="C1483" t="inlineStr">
        <is>
          <t>2026-09-27</t>
        </is>
      </c>
      <c r="D1483" t="inlineStr">
        <is>
          <t>Feature Request</t>
        </is>
      </c>
      <c r="E1483" t="inlineStr">
        <is>
          <t>Starter</t>
        </is>
      </c>
      <c r="F1483" t="inlineStr">
        <is>
          <t>SMB</t>
        </is>
      </c>
      <c r="G1483" t="inlineStr">
        <is>
          <t>Contact Management</t>
        </is>
      </c>
      <c r="H1483" t="inlineStr">
        <is>
          <t>Feature Request</t>
        </is>
      </c>
      <c r="I1483" t="inlineStr">
        <is>
          <t>Contact de-duplication tooling that keeps activity history would save our ops team hours. Happy to join a feedback call.</t>
        </is>
      </c>
      <c r="J1483" t="inlineStr">
        <is>
          <t>Neutral</t>
        </is>
      </c>
      <c r="K1483" t="inlineStr">
        <is>
          <t>Critical</t>
        </is>
      </c>
      <c r="L1483" t="inlineStr">
        <is>
          <t>Revenue/Operations Risk</t>
        </is>
      </c>
    </row>
    <row r="1484">
      <c r="A1484" t="inlineStr">
        <is>
          <t>FB-01483</t>
        </is>
      </c>
      <c r="B1484" t="inlineStr">
        <is>
          <t>CUST-0080</t>
        </is>
      </c>
      <c r="C1484" t="inlineStr">
        <is>
          <t>2026-09-27</t>
        </is>
      </c>
      <c r="D1484" t="inlineStr">
        <is>
          <t>In-App Feedback</t>
        </is>
      </c>
      <c r="E1484" t="inlineStr">
        <is>
          <t>Professional</t>
        </is>
      </c>
      <c r="F1484" t="inlineStr">
        <is>
          <t>Mid-Market</t>
        </is>
      </c>
      <c r="G1484" t="inlineStr">
        <is>
          <t>Integrations</t>
        </is>
      </c>
      <c r="H1484" t="inlineStr">
        <is>
          <t>Integration Issue</t>
        </is>
      </c>
      <c r="I1484" t="inlineStr">
        <is>
          <t>This has been a recurring problem for us. Hard to debug: webhook delivery fail with vague error codes. Our sales manager flagged it while onboarding 37 new users. We need a fix before renewal.</t>
        </is>
      </c>
      <c r="J1484" t="inlineStr">
        <is>
          <t>Negative</t>
        </is>
      </c>
      <c r="K1484" t="inlineStr">
        <is>
          <t>Medium</t>
        </is>
      </c>
      <c r="L1484" t="inlineStr">
        <is>
          <t>Workflow Slowdown</t>
        </is>
      </c>
    </row>
    <row r="1485">
      <c r="A1485" t="inlineStr">
        <is>
          <t>FB-01484</t>
        </is>
      </c>
      <c r="B1485" t="inlineStr">
        <is>
          <t>CUST-0208</t>
        </is>
      </c>
      <c r="C1485" t="inlineStr">
        <is>
          <t>2026-09-28</t>
        </is>
      </c>
      <c r="D1485" t="inlineStr">
        <is>
          <t>Support Ticket</t>
        </is>
      </c>
      <c r="E1485" t="inlineStr">
        <is>
          <t>Starter</t>
        </is>
      </c>
      <c r="F1485" t="inlineStr">
        <is>
          <t>SMB</t>
        </is>
      </c>
      <c r="G1485" t="inlineStr">
        <is>
          <t>Contact Management</t>
        </is>
      </c>
      <c r="H1485" t="inlineStr">
        <is>
          <t>Bug</t>
        </is>
      </c>
      <c r="I1485" t="inlineStr">
        <is>
          <t>The spreadsheet import silently skipped rows and we only noticed days later. Our admin flagged it while onboarding 8 new users. Let us know if you need examples.</t>
        </is>
      </c>
      <c r="J1485" t="inlineStr">
        <is>
          <t>Neutral</t>
        </is>
      </c>
      <c r="K1485" t="inlineStr">
        <is>
          <t>High</t>
        </is>
      </c>
      <c r="L1485" t="inlineStr">
        <is>
          <t>Workflow Slowdown</t>
        </is>
      </c>
    </row>
    <row r="1486">
      <c r="A1486" t="inlineStr">
        <is>
          <t>FB-01485</t>
        </is>
      </c>
      <c r="B1486" t="inlineStr">
        <is>
          <t>CUST-0306</t>
        </is>
      </c>
      <c r="C1486" t="inlineStr">
        <is>
          <t>2026-09-28</t>
        </is>
      </c>
      <c r="D1486" t="inlineStr">
        <is>
          <t>Customer Survey</t>
        </is>
      </c>
      <c r="E1486" t="inlineStr">
        <is>
          <t>Professional</t>
        </is>
      </c>
      <c r="F1486" t="inlineStr">
        <is>
          <t>SMB</t>
        </is>
      </c>
      <c r="G1486" t="inlineStr">
        <is>
          <t>Workflow Automation</t>
        </is>
      </c>
      <c r="H1486" t="inlineStr">
        <is>
          <t>Usability Issue</t>
        </is>
      </c>
      <c r="I1486" t="inlineStr">
        <is>
          <t>I can't tell what a branch does in the workflow editor without opening every node. So far 102 people on our side have reported it. We need a fix before renewal.</t>
        </is>
      </c>
      <c r="J1486" t="inlineStr">
        <is>
          <t>Negative</t>
        </is>
      </c>
      <c r="K1486" t="inlineStr">
        <is>
          <t>Low</t>
        </is>
      </c>
      <c r="L1486" t="inlineStr">
        <is>
          <t>Workflow Slowdown</t>
        </is>
      </c>
    </row>
    <row r="1487">
      <c r="A1487" t="inlineStr">
        <is>
          <t>FB-01486</t>
        </is>
      </c>
      <c r="B1487" t="inlineStr">
        <is>
          <t>CUST-0154</t>
        </is>
      </c>
      <c r="C1487" t="inlineStr">
        <is>
          <t>2026-09-28</t>
        </is>
      </c>
      <c r="D1487" t="inlineStr">
        <is>
          <t>In-App Feedback</t>
        </is>
      </c>
      <c r="E1487" t="inlineStr">
        <is>
          <t>Professional</t>
        </is>
      </c>
      <c r="F1487" t="inlineStr">
        <is>
          <t>SMB</t>
        </is>
      </c>
      <c r="G1487" t="inlineStr">
        <is>
          <t>Lead Management</t>
        </is>
      </c>
      <c r="H1487" t="inlineStr">
        <is>
          <t>Bug</t>
        </is>
      </c>
      <c r="I1487" t="inlineStr">
        <is>
          <t>Not what we expected for the price. There are lead de-duplication failures across our pipeline views and nobody knows which record is the source of truth. It affects our month-end reporting process every cycle. Is there a workaround?</t>
        </is>
      </c>
      <c r="J1487" t="inlineStr">
        <is>
          <t>Negative</t>
        </is>
      </c>
      <c r="K1487" t="inlineStr">
        <is>
          <t>High</t>
        </is>
      </c>
      <c r="L1487" t="inlineStr">
        <is>
          <t>Workflow Slowdown</t>
        </is>
      </c>
    </row>
    <row r="1488">
      <c r="A1488" t="inlineStr">
        <is>
          <t>FB-01487</t>
        </is>
      </c>
      <c r="B1488" t="inlineStr">
        <is>
          <t>CUST-0224</t>
        </is>
      </c>
      <c r="C1488" t="inlineStr">
        <is>
          <t>2026-09-28</t>
        </is>
      </c>
      <c r="D1488" t="inlineStr">
        <is>
          <t>Feature Request</t>
        </is>
      </c>
      <c r="E1488" t="inlineStr">
        <is>
          <t>Enterprise</t>
        </is>
      </c>
      <c r="F1488" t="inlineStr">
        <is>
          <t>Mid-Market</t>
        </is>
      </c>
      <c r="G1488" t="inlineStr">
        <is>
          <t>Integrations</t>
        </is>
      </c>
      <c r="H1488" t="inlineStr">
        <is>
          <t>Feature Request</t>
        </is>
      </c>
      <c r="I1488" t="inlineStr">
        <is>
          <t>Great support experience recently. Please add SAML login; managing users by hand does not scale. Our sales manager flagged it while onboarding 63 new users. Keep up the good work.</t>
        </is>
      </c>
      <c r="J1488" t="inlineStr">
        <is>
          <t>Positive</t>
        </is>
      </c>
      <c r="K1488" t="inlineStr">
        <is>
          <t>Low</t>
        </is>
      </c>
      <c r="L1488" t="inlineStr">
        <is>
          <t>Minor Inconvenience</t>
        </is>
      </c>
    </row>
    <row r="1489">
      <c r="A1489" t="inlineStr">
        <is>
          <t>FB-01488</t>
        </is>
      </c>
      <c r="B1489" t="inlineStr">
        <is>
          <t>CUST-0202</t>
        </is>
      </c>
      <c r="C1489" t="inlineStr">
        <is>
          <t>2026-09-28</t>
        </is>
      </c>
      <c r="D1489" t="inlineStr">
        <is>
          <t>Support Ticket</t>
        </is>
      </c>
      <c r="E1489" t="inlineStr">
        <is>
          <t>Enterprise</t>
        </is>
      </c>
      <c r="F1489" t="inlineStr">
        <is>
          <t>Enterprise</t>
        </is>
      </c>
      <c r="G1489" t="inlineStr">
        <is>
          <t>workflow automation</t>
        </is>
      </c>
      <c r="H1489" t="inlineStr">
        <is>
          <t>Bug</t>
        </is>
      </c>
      <c r="I1489" t="inlineStr">
        <is>
          <t>Since the last release we've had workflow runs failing silently and tasks are being created twice. Is there a workaround?</t>
        </is>
      </c>
      <c r="J1489" t="inlineStr">
        <is>
          <t>Negative</t>
        </is>
      </c>
      <c r="K1489" t="inlineStr">
        <is>
          <t>High</t>
        </is>
      </c>
      <c r="L1489" t="inlineStr">
        <is>
          <t>Revenue/Operations Risk</t>
        </is>
      </c>
    </row>
    <row r="1490">
      <c r="A1490" t="inlineStr">
        <is>
          <t>FB-01489</t>
        </is>
      </c>
      <c r="B1490" t="inlineStr">
        <is>
          <t>CUST-0414</t>
        </is>
      </c>
      <c r="C1490" t="inlineStr">
        <is>
          <t>2026-09-28</t>
        </is>
      </c>
      <c r="D1490" t="inlineStr">
        <is>
          <t>Support Ticket</t>
        </is>
      </c>
      <c r="E1490" t="inlineStr">
        <is>
          <t>Professional</t>
        </is>
      </c>
      <c r="F1490" t="inlineStr">
        <is>
          <t>Enterprise</t>
        </is>
      </c>
      <c r="G1490" t="inlineStr">
        <is>
          <t>Contact Management</t>
        </is>
      </c>
      <c r="H1490" t="inlineStr">
        <is>
          <t>Bug</t>
        </is>
      </c>
      <c r="I1490" t="inlineStr">
        <is>
          <t>Our team keeps running into this. The spreadsheet import silently skipped rows and we only noticed days later. So far 63 people on our side have reported it. We need a fix before renewal.</t>
        </is>
      </c>
      <c r="J1490" t="inlineStr">
        <is>
          <t>Negative</t>
        </is>
      </c>
      <c r="K1490" t="inlineStr">
        <is>
          <t>Critical</t>
        </is>
      </c>
      <c r="L1490" t="inlineStr">
        <is>
          <t>Blocks Key Task</t>
        </is>
      </c>
    </row>
    <row r="1491">
      <c r="A1491" t="inlineStr">
        <is>
          <t>FB-01490</t>
        </is>
      </c>
      <c r="B1491" t="inlineStr">
        <is>
          <t>CUST-0264</t>
        </is>
      </c>
      <c r="C1491" t="inlineStr">
        <is>
          <t>2026-09-28</t>
        </is>
      </c>
      <c r="D1491" t="inlineStr">
        <is>
          <t>Feature Request</t>
        </is>
      </c>
      <c r="E1491" t="inlineStr">
        <is>
          <t>Professional</t>
        </is>
      </c>
      <c r="F1491" t="inlineStr">
        <is>
          <t>Mid-Market</t>
        </is>
      </c>
      <c r="G1491" t="inlineStr">
        <is>
          <t>User Interface</t>
        </is>
      </c>
      <c r="H1491" t="inlineStr">
        <is>
          <t>Feature Request</t>
        </is>
      </c>
      <c r="I1491" t="inlineStr">
        <is>
          <t>We need bulk actions on lists to update owners and stages for many records at once. It affects our weekly pipeline review process every cycle.</t>
        </is>
      </c>
      <c r="J1491" t="inlineStr">
        <is>
          <t>Positive</t>
        </is>
      </c>
      <c r="K1491" t="inlineStr">
        <is>
          <t>Medium</t>
        </is>
      </c>
      <c r="L1491" t="inlineStr">
        <is>
          <t>Minor Inconvenience</t>
        </is>
      </c>
    </row>
    <row r="1492">
      <c r="A1492" t="inlineStr">
        <is>
          <t>FB-01491</t>
        </is>
      </c>
      <c r="B1492" t="inlineStr">
        <is>
          <t>CUST-0186</t>
        </is>
      </c>
      <c r="C1492" t="inlineStr">
        <is>
          <t>2026-09-28</t>
        </is>
      </c>
      <c r="D1492" t="inlineStr">
        <is>
          <t>In-App Feedback</t>
        </is>
      </c>
      <c r="E1492" t="inlineStr">
        <is>
          <t>Professional</t>
        </is>
      </c>
      <c r="F1492" t="inlineStr">
        <is>
          <t>SMB</t>
        </is>
      </c>
      <c r="G1492" t="inlineStr">
        <is>
          <t>Integrations</t>
        </is>
      </c>
      <c r="H1492" t="inlineStr">
        <is>
          <t>Integration Issue</t>
        </is>
      </c>
      <c r="I1492" t="inlineStr">
        <is>
          <t>Feedback from our monthly review. The Outlook calendar sync duplicates meetings and misses replies. It happens about 23 times a week for our team of 105.</t>
        </is>
      </c>
      <c r="J1492" t="inlineStr">
        <is>
          <t>Neutral</t>
        </is>
      </c>
      <c r="K1492" t="inlineStr">
        <is>
          <t>Medium</t>
        </is>
      </c>
      <c r="L1492" t="inlineStr">
        <is>
          <t>Workflow Slowdown</t>
        </is>
      </c>
    </row>
    <row r="1493">
      <c r="A1493" t="inlineStr">
        <is>
          <t>FB-01492</t>
        </is>
      </c>
      <c r="B1493" t="inlineStr">
        <is>
          <t>CUST-0258</t>
        </is>
      </c>
      <c r="C1493" t="inlineStr">
        <is>
          <t>2026-09-29</t>
        </is>
      </c>
      <c r="D1493" t="inlineStr">
        <is>
          <t>Support Ticket</t>
        </is>
      </c>
      <c r="E1493" t="inlineStr">
        <is>
          <t>Professional</t>
        </is>
      </c>
      <c r="F1493" t="inlineStr">
        <is>
          <t>Mid-Market</t>
        </is>
      </c>
      <c r="G1493" t="inlineStr">
        <is>
          <t>Workflow Automation</t>
        </is>
      </c>
      <c r="H1493" t="inlineStr">
        <is>
          <t>Feature Request</t>
        </is>
      </c>
      <c r="I1493" t="inlineStr">
        <is>
          <t>Recent updates have been a nice improvement. We'd adopt automation faster with prebuilt automations we could customize. It happens about 23 times a week for our team of 64. Thanks to the team.</t>
        </is>
      </c>
      <c r="J1493" t="inlineStr">
        <is>
          <t>Positive</t>
        </is>
      </c>
      <c r="K1493" t="inlineStr">
        <is>
          <t>Low</t>
        </is>
      </c>
      <c r="L1493" t="inlineStr">
        <is>
          <t>Minor Inconvenience</t>
        </is>
      </c>
    </row>
    <row r="1494">
      <c r="A1494" t="inlineStr">
        <is>
          <t>FB-01493</t>
        </is>
      </c>
      <c r="B1494" t="inlineStr">
        <is>
          <t>CUST-0141</t>
        </is>
      </c>
      <c r="C1494" t="inlineStr">
        <is>
          <t>2026-09-29</t>
        </is>
      </c>
      <c r="D1494" t="inlineStr">
        <is>
          <t>Support Ticket</t>
        </is>
      </c>
      <c r="E1494" t="inlineStr">
        <is>
          <t>Enterprise</t>
        </is>
      </c>
      <c r="F1494" t="inlineStr">
        <is>
          <t>Enterprise</t>
        </is>
      </c>
      <c r="G1494" t="inlineStr">
        <is>
          <t>Workflow Automation</t>
        </is>
      </c>
      <c r="H1494" t="inlineStr">
        <is>
          <t>Usability Issue</t>
        </is>
      </c>
      <c r="I1494" t="inlineStr">
        <is>
          <t>Our new admins struggle with the workflow editor; there is no guidance or validation. Our admin flagged it while onboarding 10 new users.</t>
        </is>
      </c>
      <c r="J1494" t="inlineStr">
        <is>
          <t>Neutral</t>
        </is>
      </c>
      <c r="K1494" t="inlineStr">
        <is>
          <t>Low</t>
        </is>
      </c>
      <c r="L1494" t="inlineStr">
        <is>
          <t>Minor Inconvenience</t>
        </is>
      </c>
    </row>
    <row r="1495">
      <c r="A1495" t="inlineStr">
        <is>
          <t>FB-01494</t>
        </is>
      </c>
      <c r="B1495" t="inlineStr">
        <is>
          <t>CUST-0100</t>
        </is>
      </c>
      <c r="C1495" t="inlineStr">
        <is>
          <t>2026-09-29</t>
        </is>
      </c>
      <c r="D1495" t="inlineStr">
        <is>
          <t>In-App Feedback</t>
        </is>
      </c>
      <c r="E1495" t="inlineStr">
        <is>
          <t>Professional</t>
        </is>
      </c>
      <c r="F1495" t="inlineStr">
        <is>
          <t>Mid-Market</t>
        </is>
      </c>
      <c r="G1495" t="inlineStr">
        <is>
          <t>User Interface</t>
        </is>
      </c>
      <c r="H1495" t="inlineStr">
        <is>
          <t>Performance Issue</t>
        </is>
      </c>
      <c r="I1495" t="inlineStr">
        <is>
          <t>Frustrated with this one. Since the redesign there is more page lag on older laptops. We need a fix before renewal.</t>
        </is>
      </c>
      <c r="J1495" t="inlineStr">
        <is>
          <t>Negative</t>
        </is>
      </c>
      <c r="K1495" t="inlineStr">
        <is>
          <t>High</t>
        </is>
      </c>
      <c r="L1495" t="inlineStr">
        <is>
          <t>Blocks Key Task</t>
        </is>
      </c>
    </row>
    <row r="1496">
      <c r="A1496" t="inlineStr">
        <is>
          <t>FB-01495</t>
        </is>
      </c>
      <c r="B1496" t="inlineStr">
        <is>
          <t>CUST-0145</t>
        </is>
      </c>
      <c r="C1496" t="inlineStr">
        <is>
          <t>2026-09-30</t>
        </is>
      </c>
      <c r="D1496" t="inlineStr">
        <is>
          <t>In-App Feedback</t>
        </is>
      </c>
      <c r="E1496" t="inlineStr">
        <is>
          <t xml:space="preserve"> Professional</t>
        </is>
      </c>
      <c r="F1496" t="inlineStr">
        <is>
          <t>SMB</t>
        </is>
      </c>
      <c r="G1496" t="inlineStr">
        <is>
          <t>Integrations</t>
        </is>
      </c>
      <c r="H1496" t="inlineStr">
        <is>
          <t>Integration Issue</t>
        </is>
      </c>
      <c r="I1496" t="inlineStr">
        <is>
          <t>Not what we expected for the price. Our Outlook calendar sync keeps disconnecting and activities are missing from the contact timeline. Support suggested logging it here.</t>
        </is>
      </c>
      <c r="J1496" t="inlineStr">
        <is>
          <t>Negative</t>
        </is>
      </c>
      <c r="K1496" t="inlineStr">
        <is>
          <t>High</t>
        </is>
      </c>
      <c r="L1496" t="inlineStr">
        <is>
          <t>Revenue/Operations Risk</t>
        </is>
      </c>
    </row>
    <row r="1497">
      <c r="A1497" t="inlineStr">
        <is>
          <t>FB-01496</t>
        </is>
      </c>
      <c r="B1497" t="inlineStr">
        <is>
          <t>CUST-0257</t>
        </is>
      </c>
      <c r="C1497" t="inlineStr">
        <is>
          <t>2026-09-30</t>
        </is>
      </c>
      <c r="D1497" t="inlineStr">
        <is>
          <t>Feature Request</t>
        </is>
      </c>
      <c r="E1497" t="inlineStr">
        <is>
          <t>Enterprise</t>
        </is>
      </c>
      <c r="F1497" t="inlineStr">
        <is>
          <t>Mid-Market</t>
        </is>
      </c>
      <c r="G1497" t="inlineStr">
        <is>
          <t>Workflow Automation</t>
        </is>
      </c>
      <c r="H1497" t="inlineStr">
        <is>
          <t>Feature Request</t>
        </is>
      </c>
      <c r="I1497" t="inlineStr">
        <is>
          <t>Feedback from our monthly review. Competitors ship automation recipes; we are rebuilding the same flows from scratch. It affects our weekly pipeline review process every cycle.</t>
        </is>
      </c>
      <c r="J1497" t="inlineStr">
        <is>
          <t>Neutral</t>
        </is>
      </c>
      <c r="K1497" t="inlineStr">
        <is>
          <t>High</t>
        </is>
      </c>
      <c r="L1497" t="inlineStr">
        <is>
          <t>Blocks Key Task</t>
        </is>
      </c>
    </row>
    <row r="1498">
      <c r="A1498" t="inlineStr">
        <is>
          <t>FB-01497</t>
        </is>
      </c>
      <c r="B1498" t="inlineStr">
        <is>
          <t>CUST-0063</t>
        </is>
      </c>
      <c r="C1498" t="inlineStr">
        <is>
          <t>2026-09-30</t>
        </is>
      </c>
      <c r="D1498" t="inlineStr">
        <is>
          <t>In-App Feedback</t>
        </is>
      </c>
      <c r="E1498" t="inlineStr">
        <is>
          <t>Starter</t>
        </is>
      </c>
      <c r="F1498" t="inlineStr">
        <is>
          <t>SMB</t>
        </is>
      </c>
      <c r="G1498" t="inlineStr">
        <is>
          <t>Lead Management</t>
        </is>
      </c>
      <c r="H1498" t="inlineStr">
        <is>
          <t xml:space="preserve"> Usability Issue</t>
        </is>
      </c>
      <c r="I1498" t="inlineStr">
        <is>
          <t>It is hard to understand how round-robin lead assignment decide who owns a lead. We estimate we lose roughly 6 hours a month on this.</t>
        </is>
      </c>
      <c r="J1498" t="inlineStr">
        <is>
          <t>Neutral</t>
        </is>
      </c>
      <c r="K1498" t="inlineStr">
        <is>
          <t>High</t>
        </is>
      </c>
      <c r="L1498" t="inlineStr">
        <is>
          <t>Revenue/Operations Risk</t>
        </is>
      </c>
    </row>
    <row r="1499">
      <c r="A1499" t="inlineStr">
        <is>
          <t>FB-01498</t>
        </is>
      </c>
      <c r="B1499" t="inlineStr">
        <is>
          <t>CUST-0229</t>
        </is>
      </c>
      <c r="C1499" t="inlineStr">
        <is>
          <t>2026-09-30</t>
        </is>
      </c>
      <c r="D1499" t="inlineStr">
        <is>
          <t>Feature Request</t>
        </is>
      </c>
      <c r="E1499" t="inlineStr">
        <is>
          <t>Starter</t>
        </is>
      </c>
      <c r="F1499" t="inlineStr">
        <is>
          <t>Mid-Market</t>
        </is>
      </c>
      <c r="G1499" t="inlineStr">
        <is>
          <t>Lead Management</t>
        </is>
      </c>
      <c r="H1499" t="inlineStr">
        <is>
          <t>Feature Request</t>
        </is>
      </c>
      <c r="I1499" t="inlineStr">
        <is>
          <t>Recent updates have been a nice improvement. Would love to see lead scoring rules that marketing and sales can both tune. It happens about 37 times a week for our team of 21. Happy to beta test.</t>
        </is>
      </c>
      <c r="J1499" t="inlineStr">
        <is>
          <t>Positive</t>
        </is>
      </c>
      <c r="K1499" t="inlineStr">
        <is>
          <t>Low</t>
        </is>
      </c>
      <c r="L1499" t="inlineStr">
        <is>
          <t>Minor Inconvenience</t>
        </is>
      </c>
    </row>
    <row r="1500">
      <c r="A1500" t="inlineStr">
        <is>
          <t>FB-01499</t>
        </is>
      </c>
      <c r="B1500" t="inlineStr">
        <is>
          <t>CUST-0371</t>
        </is>
      </c>
      <c r="C1500" t="inlineStr">
        <is>
          <t>2026-09-30</t>
        </is>
      </c>
      <c r="D1500" t="inlineStr">
        <is>
          <t>In-App Feedback</t>
        </is>
      </c>
      <c r="E1500" t="inlineStr">
        <is>
          <t>Enterprise</t>
        </is>
      </c>
      <c r="F1500" t="inlineStr">
        <is>
          <t>Enterprise</t>
        </is>
      </c>
      <c r="G1500" t="inlineStr">
        <is>
          <t>Integrations</t>
        </is>
      </c>
      <c r="H1500" t="inlineStr">
        <is>
          <t>Integration Issue</t>
        </is>
      </c>
      <c r="I1500" t="inlineStr">
        <is>
          <t>Raising this again after our last business review. We keep hitting API timeouts during nightly syncs with our data warehouse. Please look into it soon.</t>
        </is>
      </c>
      <c r="J1500" t="inlineStr">
        <is>
          <t>Negative</t>
        </is>
      </c>
      <c r="K1500" t="inlineStr">
        <is>
          <t>Medium</t>
        </is>
      </c>
      <c r="L1500" t="inlineStr">
        <is>
          <t>Workflow Slowdown</t>
        </is>
      </c>
    </row>
    <row r="1501">
      <c r="A1501" t="inlineStr">
        <is>
          <t>FB-01500</t>
        </is>
      </c>
      <c r="B1501" t="inlineStr">
        <is>
          <t>CUST-0339</t>
        </is>
      </c>
      <c r="C1501" t="inlineStr">
        <is>
          <t>2026-09-30</t>
        </is>
      </c>
      <c r="D1501" t="inlineStr">
        <is>
          <t>Support Ticket</t>
        </is>
      </c>
      <c r="E1501" t="inlineStr">
        <is>
          <t>Professional</t>
        </is>
      </c>
      <c r="F1501" t="inlineStr">
        <is>
          <t>Mid-Market</t>
        </is>
      </c>
      <c r="G1501" t="inlineStr">
        <is>
          <t xml:space="preserve">Integrations </t>
        </is>
      </c>
      <c r="H1501" t="inlineStr">
        <is>
          <t>Integration Issue</t>
        </is>
      </c>
      <c r="I1501" t="inlineStr">
        <is>
          <t>Our team keeps running into this. We keep hitting webhook delivery during nightly syncs with our data warehouse. It affects our onboarding process every cycle. Support suggested logging it here.</t>
        </is>
      </c>
      <c r="J1501" t="inlineStr">
        <is>
          <t>Negative</t>
        </is>
      </c>
      <c r="K1501" t="inlineStr">
        <is>
          <t>Medium</t>
        </is>
      </c>
      <c r="L1501" t="inlineStr">
        <is>
          <t>Blocks Key Task</t>
        </is>
      </c>
    </row>
  </sheetData>
  <autoFilter ref="A1:L1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01"/>
  <sheetViews>
    <sheetView showGridLines="1" workbookViewId="0">
      <pane ySplit="1" topLeftCell="A2" activePane="bottomLeft" state="frozen"/>
      <selection pane="bottomLeft" activeCell="A1" sqref="A1"/>
    </sheetView>
  </sheetViews>
  <sheetFormatPr baseColWidth="8" defaultRowHeight="15"/>
  <cols>
    <col width="11" customWidth="1" min="1" max="1"/>
    <col width="11" customWidth="1" min="2" max="2"/>
    <col width="13" customWidth="1" min="3" max="3"/>
    <col width="16" customWidth="1" min="4" max="4"/>
    <col width="14" customWidth="1" min="5" max="5"/>
    <col width="15" customWidth="1" min="6" max="6"/>
    <col width="20" customWidth="1" min="7" max="7"/>
    <col width="18" customWidth="1" min="8" max="8"/>
    <col width="80" customWidth="1" min="9" max="9"/>
    <col width="11" customWidth="1" min="10" max="10"/>
    <col width="10" customWidth="1" min="11" max="11"/>
    <col width="22" customWidth="1" min="12" max="12"/>
    <col width="16" customWidth="1" min="13" max="13"/>
    <col width="30" customWidth="1" min="14" max="14"/>
    <col width="10" customWidth="1" min="15" max="15"/>
  </cols>
  <sheetData>
    <row r="1">
      <c r="A1" s="4" t="inlineStr">
        <is>
          <t>feedback_id</t>
        </is>
      </c>
      <c r="B1" s="4" t="inlineStr">
        <is>
          <t>customer_id</t>
        </is>
      </c>
      <c r="C1" s="4" t="inlineStr">
        <is>
          <t>submission_date</t>
        </is>
      </c>
      <c r="D1" s="4" t="inlineStr">
        <is>
          <t>feedback_source</t>
        </is>
      </c>
      <c r="E1" s="4" t="inlineStr">
        <is>
          <t>subscription_plan</t>
        </is>
      </c>
      <c r="F1" s="4" t="inlineStr">
        <is>
          <t>customer_segment</t>
        </is>
      </c>
      <c r="G1" s="4" t="inlineStr">
        <is>
          <t>feature_area</t>
        </is>
      </c>
      <c r="H1" s="4" t="inlineStr">
        <is>
          <t>feedback_category</t>
        </is>
      </c>
      <c r="I1" s="4" t="inlineStr">
        <is>
          <t>feedback_text</t>
        </is>
      </c>
      <c r="J1" s="4" t="inlineStr">
        <is>
          <t>sentiment</t>
        </is>
      </c>
      <c r="K1" s="4" t="inlineStr">
        <is>
          <t>severity</t>
        </is>
      </c>
      <c r="L1" s="4" t="inlineStr">
        <is>
          <t>customer_impact</t>
        </is>
      </c>
      <c r="M1" s="4" t="inlineStr">
        <is>
          <t>issue_theme</t>
        </is>
      </c>
      <c r="N1" s="4" t="inlineStr">
        <is>
          <t>issue_theme_label</t>
        </is>
      </c>
      <c r="O1" s="4" t="inlineStr">
        <is>
          <t>month</t>
        </is>
      </c>
    </row>
    <row r="2">
      <c r="A2" t="inlineStr">
        <is>
          <t>FB-00001</t>
        </is>
      </c>
      <c r="B2" t="inlineStr">
        <is>
          <t>CUST-0152</t>
        </is>
      </c>
      <c r="C2" s="11" t="n">
        <v>45931</v>
      </c>
      <c r="D2" t="inlineStr">
        <is>
          <t>Support Ticket</t>
        </is>
      </c>
      <c r="E2" t="inlineStr">
        <is>
          <t>Enterprise</t>
        </is>
      </c>
      <c r="F2" t="inlineStr">
        <is>
          <t>Enterprise</t>
        </is>
      </c>
      <c r="G2" t="inlineStr">
        <is>
          <t>Integrations</t>
        </is>
      </c>
      <c r="H2" t="inlineStr">
        <is>
          <t>Integration Issue</t>
        </is>
      </c>
      <c r="I2" t="inlineStr">
        <is>
          <t>Frustrated with this one. Webhook delivery is unreliable and there is no retry or log we can inspect. Support suggested logging it here.</t>
        </is>
      </c>
      <c r="J2" t="inlineStr">
        <is>
          <t>Negative</t>
        </is>
      </c>
      <c r="K2" t="inlineStr">
        <is>
          <t>High</t>
        </is>
      </c>
      <c r="L2" t="inlineStr">
        <is>
          <t>Workflow Slowdown</t>
        </is>
      </c>
      <c r="M2" t="inlineStr">
        <is>
          <t>int_api</t>
        </is>
      </c>
      <c r="N2" t="inlineStr">
        <is>
          <t>API limits and webhook failures</t>
        </is>
      </c>
      <c r="O2" t="inlineStr">
        <is>
          <t>2025-10</t>
        </is>
      </c>
    </row>
    <row r="3">
      <c r="A3" t="inlineStr">
        <is>
          <t>FB-00002</t>
        </is>
      </c>
      <c r="B3" t="inlineStr">
        <is>
          <t>CUST-0157</t>
        </is>
      </c>
      <c r="C3" s="11" t="n">
        <v>45931</v>
      </c>
      <c r="D3" t="inlineStr">
        <is>
          <t>Support Ticket</t>
        </is>
      </c>
      <c r="E3" t="inlineStr">
        <is>
          <t>Starter</t>
        </is>
      </c>
      <c r="F3" t="inlineStr">
        <is>
          <t>SMB</t>
        </is>
      </c>
      <c r="G3" t="inlineStr">
        <is>
          <t>User Interface</t>
        </is>
      </c>
      <c r="H3" t="inlineStr">
        <is>
          <t>Performance Issue</t>
        </is>
      </c>
      <c r="I3" t="inlineStr">
        <is>
          <t>Our team keeps running into this. Since the redesign there is more slow page transitions on older laptops. It happens about 30 times a week for our team of 34. Support suggested logging it here.</t>
        </is>
      </c>
      <c r="J3" t="inlineStr">
        <is>
          <t>Negative</t>
        </is>
      </c>
      <c r="K3" t="inlineStr">
        <is>
          <t>High</t>
        </is>
      </c>
      <c r="L3" t="inlineStr">
        <is>
          <t>Workflow Slowdown</t>
        </is>
      </c>
      <c r="M3" t="inlineStr">
        <is>
          <t>ui_perf</t>
        </is>
      </c>
      <c r="N3" t="inlineStr">
        <is>
          <t>Laggy pages</t>
        </is>
      </c>
      <c r="O3" t="inlineStr">
        <is>
          <t>2025-10</t>
        </is>
      </c>
    </row>
    <row r="4">
      <c r="A4" t="inlineStr">
        <is>
          <t>FB-00003</t>
        </is>
      </c>
      <c r="B4" t="inlineStr">
        <is>
          <t>CUST-0025</t>
        </is>
      </c>
      <c r="C4" s="11" t="n">
        <v>45932</v>
      </c>
      <c r="D4" t="inlineStr">
        <is>
          <t>Support Ticket</t>
        </is>
      </c>
      <c r="E4" t="inlineStr">
        <is>
          <t>Enterprise</t>
        </is>
      </c>
      <c r="F4" t="inlineStr">
        <is>
          <t>Enterprise</t>
        </is>
      </c>
      <c r="G4" t="inlineStr">
        <is>
          <t>Integrations</t>
        </is>
      </c>
      <c r="H4" t="inlineStr">
        <is>
          <t>Integration Issue</t>
        </is>
      </c>
      <c r="I4" t="inlineStr">
        <is>
          <t>Frustrated with this one. After the token expires, Gmail sync stops with no warning. Our RevOps lead flagged it while onboarding 6 new users.</t>
        </is>
      </c>
      <c r="J4" t="inlineStr">
        <is>
          <t>Negative</t>
        </is>
      </c>
      <c r="K4" t="inlineStr">
        <is>
          <t>Low</t>
        </is>
      </c>
      <c r="L4" t="inlineStr">
        <is>
          <t>Minor Inconvenience</t>
        </is>
      </c>
      <c r="M4" t="inlineStr">
        <is>
          <t>int_email</t>
        </is>
      </c>
      <c r="N4" t="inlineStr">
        <is>
          <t>Email and calendar sync drops</t>
        </is>
      </c>
      <c r="O4" t="inlineStr">
        <is>
          <t>2025-10</t>
        </is>
      </c>
    </row>
    <row r="5">
      <c r="A5" t="inlineStr">
        <is>
          <t>FB-00004</t>
        </is>
      </c>
      <c r="B5" t="inlineStr">
        <is>
          <t>CUST-0027</t>
        </is>
      </c>
      <c r="C5" s="11" t="n">
        <v>45932</v>
      </c>
      <c r="D5" t="inlineStr">
        <is>
          <t>Support Ticket</t>
        </is>
      </c>
      <c r="E5" t="inlineStr">
        <is>
          <t>Professional</t>
        </is>
      </c>
      <c r="F5" t="inlineStr">
        <is>
          <t>SMB</t>
        </is>
      </c>
      <c r="G5" t="inlineStr">
        <is>
          <t>Contact Management</t>
        </is>
      </c>
      <c r="H5" t="inlineStr">
        <is>
          <t>Bug</t>
        </is>
      </c>
      <c r="I5" t="inlineStr">
        <is>
          <t>The contact CSV import rejects files with accented characters in names. We estimate we lose roughly 26 hours a month on this. Is there a workaround?</t>
        </is>
      </c>
      <c r="J5" t="inlineStr">
        <is>
          <t>Negative</t>
        </is>
      </c>
      <c r="K5" t="inlineStr">
        <is>
          <t>Medium</t>
        </is>
      </c>
      <c r="L5" t="inlineStr">
        <is>
          <t>Blocks Key Task</t>
        </is>
      </c>
      <c r="M5" t="inlineStr">
        <is>
          <t>contact_import</t>
        </is>
      </c>
      <c r="N5" t="inlineStr">
        <is>
          <t>Unreliable contact imports</t>
        </is>
      </c>
      <c r="O5" t="inlineStr">
        <is>
          <t>2025-10</t>
        </is>
      </c>
    </row>
    <row r="6">
      <c r="A6" t="inlineStr">
        <is>
          <t>FB-00005</t>
        </is>
      </c>
      <c r="B6" t="inlineStr">
        <is>
          <t>CUST-0003</t>
        </is>
      </c>
      <c r="C6" s="11" t="n">
        <v>45933</v>
      </c>
      <c r="D6" t="inlineStr">
        <is>
          <t>Support Ticket</t>
        </is>
      </c>
      <c r="E6" t="inlineStr">
        <is>
          <t>Starter</t>
        </is>
      </c>
      <c r="F6" t="inlineStr">
        <is>
          <t>Mid-Market</t>
        </is>
      </c>
      <c r="G6" t="inlineStr">
        <is>
          <t>User Interface</t>
        </is>
      </c>
      <c r="H6" t="inlineStr">
        <is>
          <t>Usability Issue</t>
        </is>
      </c>
      <c r="I6" t="inlineStr">
        <is>
          <t>Raising this again after our last business review. Too many clicks to reach common screens because of the settings navigation. So far 50 people on our side have reported it.</t>
        </is>
      </c>
      <c r="J6" t="inlineStr">
        <is>
          <t>Negative</t>
        </is>
      </c>
      <c r="K6" t="inlineStr">
        <is>
          <t>Low</t>
        </is>
      </c>
      <c r="L6" t="inlineStr">
        <is>
          <t>Minor Inconvenience</t>
        </is>
      </c>
      <c r="M6" t="inlineStr">
        <is>
          <t>ui_nav</t>
        </is>
      </c>
      <c r="N6" t="inlineStr">
        <is>
          <t>Cluttered navigation</t>
        </is>
      </c>
      <c r="O6" t="inlineStr">
        <is>
          <t>2025-10</t>
        </is>
      </c>
    </row>
    <row r="7">
      <c r="A7" t="inlineStr">
        <is>
          <t>FB-00006</t>
        </is>
      </c>
      <c r="B7" t="inlineStr">
        <is>
          <t>CUST-0021</t>
        </is>
      </c>
      <c r="C7" s="11" t="n">
        <v>45933</v>
      </c>
      <c r="D7" t="inlineStr">
        <is>
          <t>In-App Feedback</t>
        </is>
      </c>
      <c r="E7" t="inlineStr">
        <is>
          <t>Professional</t>
        </is>
      </c>
      <c r="F7" t="inlineStr">
        <is>
          <t>Mid-Market</t>
        </is>
      </c>
      <c r="G7" t="inlineStr">
        <is>
          <t>Workflow Automation</t>
        </is>
      </c>
      <c r="H7" t="inlineStr">
        <is>
          <t>Bug</t>
        </is>
      </c>
      <c r="I7" t="inlineStr">
        <is>
          <t>We are hitting workflow failures: emails don't send and nobody gets notified. It affects our renewal process every cycle.</t>
        </is>
      </c>
      <c r="J7" t="inlineStr">
        <is>
          <t>Neutral</t>
        </is>
      </c>
      <c r="K7" t="inlineStr">
        <is>
          <t>Medium</t>
        </is>
      </c>
      <c r="L7" t="inlineStr">
        <is>
          <t>Minor Inconvenience</t>
        </is>
      </c>
      <c r="M7" t="inlineStr">
        <is>
          <t>wf_fail</t>
        </is>
      </c>
      <c r="N7" t="inlineStr">
        <is>
          <t>Workflows failing silently</t>
        </is>
      </c>
      <c r="O7" t="inlineStr">
        <is>
          <t>2025-10</t>
        </is>
      </c>
    </row>
    <row r="8">
      <c r="A8" t="inlineStr">
        <is>
          <t>FB-00007</t>
        </is>
      </c>
      <c r="B8" t="inlineStr">
        <is>
          <t>CUST-0060</t>
        </is>
      </c>
      <c r="C8" s="11" t="n">
        <v>45934</v>
      </c>
      <c r="D8" t="inlineStr">
        <is>
          <t>In-App Feedback</t>
        </is>
      </c>
      <c r="E8" t="inlineStr">
        <is>
          <t>Starter</t>
        </is>
      </c>
      <c r="F8" t="inlineStr">
        <is>
          <t>SMB</t>
        </is>
      </c>
      <c r="G8" t="inlineStr">
        <is>
          <t>User Interface</t>
        </is>
      </c>
      <c r="H8" t="inlineStr">
        <is>
          <t>Usability Issue</t>
        </is>
      </c>
      <c r="I8" t="inlineStr">
        <is>
          <t>Noting this during onboarding. The navigation menu is cluttered and I can never find the setting I need. We estimate we lose roughly 32 hours a month on this.</t>
        </is>
      </c>
      <c r="J8" t="inlineStr">
        <is>
          <t>Neutral</t>
        </is>
      </c>
      <c r="K8" t="inlineStr">
        <is>
          <t>High</t>
        </is>
      </c>
      <c r="L8" t="inlineStr">
        <is>
          <t>Revenue/Operations Risk</t>
        </is>
      </c>
      <c r="M8" t="inlineStr">
        <is>
          <t>ui_nav</t>
        </is>
      </c>
      <c r="N8" t="inlineStr">
        <is>
          <t>Cluttered navigation</t>
        </is>
      </c>
      <c r="O8" t="inlineStr">
        <is>
          <t>2025-10</t>
        </is>
      </c>
    </row>
    <row r="9">
      <c r="A9" t="inlineStr">
        <is>
          <t>FB-00008</t>
        </is>
      </c>
      <c r="B9" t="inlineStr">
        <is>
          <t>CUST-0139</t>
        </is>
      </c>
      <c r="C9" s="11" t="n">
        <v>45934</v>
      </c>
      <c r="D9" t="inlineStr">
        <is>
          <t>Feature Request</t>
        </is>
      </c>
      <c r="E9" t="inlineStr">
        <is>
          <t>Professional</t>
        </is>
      </c>
      <c r="F9" t="inlineStr">
        <is>
          <t>Mid-Market</t>
        </is>
      </c>
      <c r="G9" t="inlineStr">
        <is>
          <t>Lead Management</t>
        </is>
      </c>
      <c r="H9" t="inlineStr">
        <is>
          <t>Feature Request</t>
        </is>
      </c>
      <c r="I9" t="inlineStr">
        <is>
          <t>Overall we like the product. Right now reps rank leads by gut feel; automated lead scoring would fix that. Happy to beta test.</t>
        </is>
      </c>
      <c r="J9" t="inlineStr">
        <is>
          <t>Positive</t>
        </is>
      </c>
      <c r="K9" t="inlineStr">
        <is>
          <t>High</t>
        </is>
      </c>
      <c r="L9" t="inlineStr">
        <is>
          <t>Workflow Slowdown</t>
        </is>
      </c>
      <c r="M9" t="inlineStr">
        <is>
          <t>lead_score</t>
        </is>
      </c>
      <c r="N9" t="inlineStr">
        <is>
          <t>Automated lead scoring</t>
        </is>
      </c>
      <c r="O9" t="inlineStr">
        <is>
          <t>2025-10</t>
        </is>
      </c>
    </row>
    <row r="10">
      <c r="A10" t="inlineStr">
        <is>
          <t>FB-00009</t>
        </is>
      </c>
      <c r="B10" t="inlineStr">
        <is>
          <t>CUST-0036</t>
        </is>
      </c>
      <c r="C10" s="11" t="n">
        <v>45934</v>
      </c>
      <c r="D10" t="inlineStr">
        <is>
          <t>Customer Survey</t>
        </is>
      </c>
      <c r="E10" t="inlineStr">
        <is>
          <t>Starter</t>
        </is>
      </c>
      <c r="F10" t="inlineStr">
        <is>
          <t>SMB</t>
        </is>
      </c>
      <c r="G10" t="inlineStr">
        <is>
          <t>Lead Management</t>
        </is>
      </c>
      <c r="H10" t="inlineStr">
        <is>
          <t>Usability Issue</t>
        </is>
      </c>
      <c r="I10" t="inlineStr">
        <is>
          <t>Frustrated with this one. Setting up lead routing rules takes too many steps and the options don't cover territories. We estimate we lose roughly 58 hours a month on this. We need a fix before renewal.</t>
        </is>
      </c>
      <c r="J10" t="inlineStr">
        <is>
          <t>Negative</t>
        </is>
      </c>
      <c r="K10" t="inlineStr">
        <is>
          <t>Low</t>
        </is>
      </c>
      <c r="L10" t="inlineStr">
        <is>
          <t>Minor Inconvenience</t>
        </is>
      </c>
      <c r="M10" t="inlineStr">
        <is>
          <t>lead_assign</t>
        </is>
      </c>
      <c r="N10" t="inlineStr">
        <is>
          <t>Lead routing is inflexible</t>
        </is>
      </c>
      <c r="O10" t="inlineStr">
        <is>
          <t>2025-10</t>
        </is>
      </c>
    </row>
    <row r="11">
      <c r="A11" t="inlineStr">
        <is>
          <t>FB-00010</t>
        </is>
      </c>
      <c r="B11" t="inlineStr">
        <is>
          <t>CUST-0269</t>
        </is>
      </c>
      <c r="C11" s="11" t="n">
        <v>45934</v>
      </c>
      <c r="D11" t="inlineStr">
        <is>
          <t>Feature Request</t>
        </is>
      </c>
      <c r="E11" t="inlineStr">
        <is>
          <t>Professional</t>
        </is>
      </c>
      <c r="F11" t="inlineStr">
        <is>
          <t>SMB</t>
        </is>
      </c>
      <c r="G11" t="inlineStr">
        <is>
          <t>Reporting</t>
        </is>
      </c>
      <c r="H11" t="inlineStr">
        <is>
          <t>Bug</t>
        </is>
      </c>
      <c r="I11" t="inlineStr">
        <is>
          <t>FYI for the product team. Our Excel export drops formatting and shows dates as numbers. So far 65 people on our side have reported it.</t>
        </is>
      </c>
      <c r="J11" t="inlineStr">
        <is>
          <t>Neutral</t>
        </is>
      </c>
      <c r="K11" t="inlineStr">
        <is>
          <t>High</t>
        </is>
      </c>
      <c r="L11" t="inlineStr">
        <is>
          <t>Blocks Key Task</t>
        </is>
      </c>
      <c r="M11" t="inlineStr">
        <is>
          <t>rep_export</t>
        </is>
      </c>
      <c r="N11" t="inlineStr">
        <is>
          <t>Broken report exports</t>
        </is>
      </c>
      <c r="O11" t="inlineStr">
        <is>
          <t>2025-10</t>
        </is>
      </c>
    </row>
    <row r="12">
      <c r="A12" t="inlineStr">
        <is>
          <t>FB-00011</t>
        </is>
      </c>
      <c r="B12" t="inlineStr">
        <is>
          <t>CUST-0313</t>
        </is>
      </c>
      <c r="C12" s="11" t="n">
        <v>45935</v>
      </c>
      <c r="D12" t="inlineStr">
        <is>
          <t>Support Ticket</t>
        </is>
      </c>
      <c r="E12" t="inlineStr">
        <is>
          <t>Starter</t>
        </is>
      </c>
      <c r="F12" t="inlineStr">
        <is>
          <t>SMB</t>
        </is>
      </c>
      <c r="G12" t="inlineStr">
        <is>
          <t>Reporting</t>
        </is>
      </c>
      <c r="H12" t="inlineStr">
        <is>
          <t>Performance Issue</t>
        </is>
      </c>
      <c r="I12" t="inlineStr">
        <is>
          <t>Raising this again after our last business review. Our dashboard loading spins for a minute before showing any chart. It happens about 20 times a week for our team of 111. Is there a workaround?</t>
        </is>
      </c>
      <c r="J12" t="inlineStr">
        <is>
          <t>Negative</t>
        </is>
      </c>
      <c r="K12" t="inlineStr">
        <is>
          <t>Medium</t>
        </is>
      </c>
      <c r="L12" t="inlineStr">
        <is>
          <t>Blocks Key Task</t>
        </is>
      </c>
      <c r="M12" t="inlineStr">
        <is>
          <t>rep_slow</t>
        </is>
      </c>
      <c r="N12" t="inlineStr">
        <is>
          <t>Slow dashboards</t>
        </is>
      </c>
      <c r="O12" t="inlineStr">
        <is>
          <t>2025-10</t>
        </is>
      </c>
    </row>
    <row r="13">
      <c r="A13" t="inlineStr">
        <is>
          <t>FB-00012</t>
        </is>
      </c>
      <c r="B13" t="inlineStr">
        <is>
          <t>CUST-0404</t>
        </is>
      </c>
      <c r="C13" s="11" t="n">
        <v>45935</v>
      </c>
      <c r="D13" t="inlineStr">
        <is>
          <t>In-App Feedback</t>
        </is>
      </c>
      <c r="E13" t="inlineStr">
        <is>
          <t>Starter</t>
        </is>
      </c>
      <c r="F13" t="inlineStr">
        <is>
          <t>SMB</t>
        </is>
      </c>
      <c r="G13" t="inlineStr">
        <is>
          <t>Reporting</t>
        </is>
      </c>
      <c r="H13" t="inlineStr">
        <is>
          <t>Feature Request</t>
        </is>
      </c>
      <c r="I13" t="inlineStr">
        <is>
          <t>Quick note from our admin. We need a custom report builder so non-technical managers can create their own views. Our finance analyst flagged it while onboarding 34 new users. Let us know if you need examples.</t>
        </is>
      </c>
      <c r="J13" t="inlineStr">
        <is>
          <t>Neutral</t>
        </is>
      </c>
      <c r="K13" t="inlineStr">
        <is>
          <t>Low</t>
        </is>
      </c>
      <c r="L13" t="inlineStr">
        <is>
          <t>Minor Inconvenience</t>
        </is>
      </c>
      <c r="M13" t="inlineStr">
        <is>
          <t>rep_custom</t>
        </is>
      </c>
      <c r="N13" t="inlineStr">
        <is>
          <t>Custom and scheduled reports</t>
        </is>
      </c>
      <c r="O13" t="inlineStr">
        <is>
          <t>2025-10</t>
        </is>
      </c>
    </row>
    <row r="14">
      <c r="A14" t="inlineStr">
        <is>
          <t>FB-00013</t>
        </is>
      </c>
      <c r="B14" t="inlineStr">
        <is>
          <t>CUST-0303</t>
        </is>
      </c>
      <c r="C14" s="11" t="n">
        <v>45935</v>
      </c>
      <c r="D14" t="inlineStr">
        <is>
          <t>Customer Survey</t>
        </is>
      </c>
      <c r="E14" t="inlineStr">
        <is>
          <t>Professional</t>
        </is>
      </c>
      <c r="F14" t="inlineStr">
        <is>
          <t>Enterprise</t>
        </is>
      </c>
      <c r="G14" t="inlineStr">
        <is>
          <t>Workflow Automation</t>
        </is>
      </c>
      <c r="H14" t="inlineStr">
        <is>
          <t>Feature Request</t>
        </is>
      </c>
      <c r="I14" t="inlineStr">
        <is>
          <t>Noting this during onboarding. Competitors ship automation recipes; we are rebuilding the same flows from scratch. So far 36 people on our side have reported it. Let us know if you need examples.</t>
        </is>
      </c>
      <c r="J14" t="inlineStr">
        <is>
          <t>Neutral</t>
        </is>
      </c>
      <c r="K14" t="inlineStr">
        <is>
          <t>Medium</t>
        </is>
      </c>
      <c r="L14" t="inlineStr">
        <is>
          <t>Workflow Slowdown</t>
        </is>
      </c>
      <c r="M14" t="inlineStr">
        <is>
          <t>wf_templates</t>
        </is>
      </c>
      <c r="N14" t="inlineStr">
        <is>
          <t>Workflow templates</t>
        </is>
      </c>
      <c r="O14" t="inlineStr">
        <is>
          <t>2025-10</t>
        </is>
      </c>
    </row>
    <row r="15">
      <c r="A15" t="inlineStr">
        <is>
          <t>FB-00014</t>
        </is>
      </c>
      <c r="B15" t="inlineStr">
        <is>
          <t>CUST-0322</t>
        </is>
      </c>
      <c r="C15" s="11" t="n">
        <v>45935</v>
      </c>
      <c r="D15" t="inlineStr">
        <is>
          <t>In-App Feedback</t>
        </is>
      </c>
      <c r="E15" t="inlineStr">
        <is>
          <t>Starter</t>
        </is>
      </c>
      <c r="F15" t="inlineStr">
        <is>
          <t>SMB</t>
        </is>
      </c>
      <c r="G15" t="inlineStr">
        <is>
          <t>Integrations</t>
        </is>
      </c>
      <c r="H15" t="inlineStr">
        <is>
          <t>Feature Request</t>
        </is>
      </c>
      <c r="I15" t="inlineStr">
        <is>
          <t>Recent updates have been a nice improvement. Please build a native Slack integration; our team copies data across systems daily. We estimate we lose roughly 38 hours a month on this. Keep up the good work.</t>
        </is>
      </c>
      <c r="J15" t="inlineStr">
        <is>
          <t>Positive</t>
        </is>
      </c>
      <c r="K15" t="inlineStr">
        <is>
          <t>Low</t>
        </is>
      </c>
      <c r="L15" t="inlineStr">
        <is>
          <t>Minor Inconvenience</t>
        </is>
      </c>
      <c r="M15" t="inlineStr">
        <is>
          <t>int_native</t>
        </is>
      </c>
      <c r="N15" t="inlineStr">
        <is>
          <t>Native integrations</t>
        </is>
      </c>
      <c r="O15" t="inlineStr">
        <is>
          <t>2025-10</t>
        </is>
      </c>
    </row>
    <row r="16">
      <c r="A16" t="inlineStr">
        <is>
          <t>FB-00015</t>
        </is>
      </c>
      <c r="B16" t="inlineStr">
        <is>
          <t>CUST-0132</t>
        </is>
      </c>
      <c r="C16" s="11" t="n">
        <v>45936</v>
      </c>
      <c r="D16" t="inlineStr">
        <is>
          <t>Feature Request</t>
        </is>
      </c>
      <c r="E16" t="inlineStr">
        <is>
          <t>Starter</t>
        </is>
      </c>
      <c r="F16" t="inlineStr">
        <is>
          <t>SMB</t>
        </is>
      </c>
      <c r="G16" t="inlineStr">
        <is>
          <t>Reporting</t>
        </is>
      </c>
      <c r="H16" t="inlineStr">
        <is>
          <t>Feature Request</t>
        </is>
      </c>
      <c r="I16" t="inlineStr">
        <is>
          <t>Sharing this from our team. Requesting a custom report builder so leadership gets numbers without logging in. Happy to join a feedback call.</t>
        </is>
      </c>
      <c r="J16" t="inlineStr">
        <is>
          <t>Neutral</t>
        </is>
      </c>
      <c r="K16" t="inlineStr">
        <is>
          <t>Low</t>
        </is>
      </c>
      <c r="L16" t="inlineStr">
        <is>
          <t>Workflow Slowdown</t>
        </is>
      </c>
      <c r="M16" t="inlineStr">
        <is>
          <t>rep_custom</t>
        </is>
      </c>
      <c r="N16" t="inlineStr">
        <is>
          <t>Custom and scheduled reports</t>
        </is>
      </c>
      <c r="O16" t="inlineStr">
        <is>
          <t>2025-10</t>
        </is>
      </c>
    </row>
    <row r="17">
      <c r="A17" t="inlineStr">
        <is>
          <t>FB-00016</t>
        </is>
      </c>
      <c r="B17" t="inlineStr">
        <is>
          <t>CUST-0420</t>
        </is>
      </c>
      <c r="C17" s="11" t="n">
        <v>45937</v>
      </c>
      <c r="D17" t="inlineStr">
        <is>
          <t>In-App Feedback</t>
        </is>
      </c>
      <c r="E17" t="inlineStr">
        <is>
          <t>Enterprise</t>
        </is>
      </c>
      <c r="F17" t="inlineStr">
        <is>
          <t>Enterprise</t>
        </is>
      </c>
      <c r="G17" t="inlineStr">
        <is>
          <t>Workflow Automation</t>
        </is>
      </c>
      <c r="H17" t="inlineStr">
        <is>
          <t>Usability Issue</t>
        </is>
      </c>
      <c r="I17" t="inlineStr">
        <is>
          <t>Happy with most of the product. Our new admins struggle with the workflow editor; there is no guidance or validation. Our finance analyst flagged it while onboarding 43 new users. Keep up the good work.</t>
        </is>
      </c>
      <c r="J17" t="inlineStr">
        <is>
          <t>Positive</t>
        </is>
      </c>
      <c r="K17" t="inlineStr">
        <is>
          <t>Medium</t>
        </is>
      </c>
      <c r="L17" t="inlineStr">
        <is>
          <t>Workflow Slowdown</t>
        </is>
      </c>
      <c r="M17" t="inlineStr">
        <is>
          <t>wf_builder</t>
        </is>
      </c>
      <c r="N17" t="inlineStr">
        <is>
          <t>Confusing workflow builder</t>
        </is>
      </c>
      <c r="O17" t="inlineStr">
        <is>
          <t>2025-10</t>
        </is>
      </c>
    </row>
    <row r="18">
      <c r="A18" t="inlineStr">
        <is>
          <t>FB-00017</t>
        </is>
      </c>
      <c r="B18" t="inlineStr">
        <is>
          <t>CUST-0200</t>
        </is>
      </c>
      <c r="C18" s="11" t="n">
        <v>45937</v>
      </c>
      <c r="D18" t="inlineStr">
        <is>
          <t>In-App Feedback</t>
        </is>
      </c>
      <c r="E18" t="inlineStr">
        <is>
          <t>Professional</t>
        </is>
      </c>
      <c r="F18" t="inlineStr">
        <is>
          <t>Mid-Market</t>
        </is>
      </c>
      <c r="G18" t="inlineStr">
        <is>
          <t>Lead Management</t>
        </is>
      </c>
      <c r="H18" t="inlineStr">
        <is>
          <t>Bug</t>
        </is>
      </c>
      <c r="I18" t="inlineStr">
        <is>
          <t>After every list import we find duplicate lead records that have to be cleaned up by hand. It happens about 8 times a week for our team of 3. Is there a workaround?</t>
        </is>
      </c>
      <c r="J18" t="inlineStr">
        <is>
          <t>Negative</t>
        </is>
      </c>
      <c r="K18" t="inlineStr">
        <is>
          <t>Critical</t>
        </is>
      </c>
      <c r="L18" t="inlineStr">
        <is>
          <t>Revenue/Operations Risk</t>
        </is>
      </c>
      <c r="M18" t="inlineStr">
        <is>
          <t>lead_dup</t>
        </is>
      </c>
      <c r="N18" t="inlineStr">
        <is>
          <t>Duplicate leads created</t>
        </is>
      </c>
      <c r="O18" t="inlineStr">
        <is>
          <t>2025-10</t>
        </is>
      </c>
    </row>
    <row r="19">
      <c r="A19" t="inlineStr">
        <is>
          <t>FB-00018</t>
        </is>
      </c>
      <c r="B19" t="inlineStr">
        <is>
          <t>CUST-0217</t>
        </is>
      </c>
      <c r="C19" s="11" t="n">
        <v>45937</v>
      </c>
      <c r="D19" t="inlineStr">
        <is>
          <t>Customer Survey</t>
        </is>
      </c>
      <c r="E19" t="inlineStr">
        <is>
          <t>Starter</t>
        </is>
      </c>
      <c r="F19" t="inlineStr">
        <is>
          <t>Mid-Market</t>
        </is>
      </c>
      <c r="G19" t="inlineStr">
        <is>
          <t>Lead Management</t>
        </is>
      </c>
      <c r="H19" t="inlineStr">
        <is>
          <t>Feature Request</t>
        </is>
      </c>
      <c r="I19" t="inlineStr">
        <is>
          <t>Please add a lead score model based on engagement, company size and recent activity. So far 97 people on our side have reported it.</t>
        </is>
      </c>
      <c r="J19" t="inlineStr">
        <is>
          <t>Neutral</t>
        </is>
      </c>
      <c r="K19" t="inlineStr">
        <is>
          <t>Low</t>
        </is>
      </c>
      <c r="L19" t="inlineStr">
        <is>
          <t>Workflow Slowdown</t>
        </is>
      </c>
      <c r="M19" t="inlineStr">
        <is>
          <t>lead_score</t>
        </is>
      </c>
      <c r="N19" t="inlineStr">
        <is>
          <t>Automated lead scoring</t>
        </is>
      </c>
      <c r="O19" t="inlineStr">
        <is>
          <t>2025-10</t>
        </is>
      </c>
    </row>
    <row r="20">
      <c r="A20" t="inlineStr">
        <is>
          <t>FB-00019</t>
        </is>
      </c>
      <c r="B20" t="inlineStr">
        <is>
          <t>CUST-0234</t>
        </is>
      </c>
      <c r="C20" s="11" t="n">
        <v>45937</v>
      </c>
      <c r="D20" t="inlineStr">
        <is>
          <t>In-App Feedback</t>
        </is>
      </c>
      <c r="E20" t="inlineStr">
        <is>
          <t>Enterprise</t>
        </is>
      </c>
      <c r="F20" t="inlineStr">
        <is>
          <t>SMB</t>
        </is>
      </c>
      <c r="G20" t="inlineStr">
        <is>
          <t>User Interface</t>
        </is>
      </c>
      <c r="H20" t="inlineStr">
        <is>
          <t>Performance Issue</t>
        </is>
      </c>
      <c r="I20" t="inlineStr">
        <is>
          <t>FYI for the product team. Since the redesign there is more UI freezing on older laptops.</t>
        </is>
      </c>
      <c r="J20" t="inlineStr">
        <is>
          <t>Neutral</t>
        </is>
      </c>
      <c r="K20" t="inlineStr">
        <is>
          <t>Medium</t>
        </is>
      </c>
      <c r="L20" t="inlineStr">
        <is>
          <t>Minor Inconvenience</t>
        </is>
      </c>
      <c r="M20" t="inlineStr">
        <is>
          <t>ui_perf</t>
        </is>
      </c>
      <c r="N20" t="inlineStr">
        <is>
          <t>Laggy pages</t>
        </is>
      </c>
      <c r="O20" t="inlineStr">
        <is>
          <t>2025-10</t>
        </is>
      </c>
    </row>
    <row r="21">
      <c r="A21" t="inlineStr">
        <is>
          <t>FB-00020</t>
        </is>
      </c>
      <c r="B21" t="inlineStr">
        <is>
          <t>CUST-0139</t>
        </is>
      </c>
      <c r="C21" s="11" t="n">
        <v>45937</v>
      </c>
      <c r="D21" t="inlineStr">
        <is>
          <t>Feature Request</t>
        </is>
      </c>
      <c r="E21" t="inlineStr">
        <is>
          <t>Professional</t>
        </is>
      </c>
      <c r="F21" t="inlineStr">
        <is>
          <t>Mid-Market</t>
        </is>
      </c>
      <c r="G21" t="inlineStr">
        <is>
          <t>Workflow Automation</t>
        </is>
      </c>
      <c r="H21" t="inlineStr">
        <is>
          <t>Feature Request</t>
        </is>
      </c>
      <c r="I21" t="inlineStr">
        <is>
          <t>Recent updates have been a nice improvement. Competitors ship prebuilt automations; we are rebuilding the same flows from scratch. It happens about 12 times a week for our team of 22.</t>
        </is>
      </c>
      <c r="J21" t="inlineStr">
        <is>
          <t>Positive</t>
        </is>
      </c>
      <c r="K21" t="inlineStr">
        <is>
          <t>Low</t>
        </is>
      </c>
      <c r="L21" t="inlineStr">
        <is>
          <t>Workflow Slowdown</t>
        </is>
      </c>
      <c r="M21" t="inlineStr">
        <is>
          <t>wf_templates</t>
        </is>
      </c>
      <c r="N21" t="inlineStr">
        <is>
          <t>Workflow templates</t>
        </is>
      </c>
      <c r="O21" t="inlineStr">
        <is>
          <t>2025-10</t>
        </is>
      </c>
    </row>
    <row r="22">
      <c r="A22" t="inlineStr">
        <is>
          <t>FB-00021</t>
        </is>
      </c>
      <c r="B22" t="inlineStr">
        <is>
          <t>CUST-0420</t>
        </is>
      </c>
      <c r="C22" s="11" t="n">
        <v>45938</v>
      </c>
      <c r="D22" t="inlineStr">
        <is>
          <t>Feature Request</t>
        </is>
      </c>
      <c r="E22" t="inlineStr">
        <is>
          <t>Enterprise</t>
        </is>
      </c>
      <c r="F22" t="inlineStr">
        <is>
          <t>Enterprise</t>
        </is>
      </c>
      <c r="G22" t="inlineStr">
        <is>
          <t>Workflow Automation</t>
        </is>
      </c>
      <c r="H22" t="inlineStr">
        <is>
          <t>Feature Request</t>
        </is>
      </c>
      <c r="I22" t="inlineStr">
        <is>
          <t>Sharing this from our team. A library of workflow templates would cut our setup time. Let us know if you need examples.</t>
        </is>
      </c>
      <c r="J22" t="inlineStr">
        <is>
          <t>Neutral</t>
        </is>
      </c>
      <c r="K22" t="inlineStr">
        <is>
          <t>Low</t>
        </is>
      </c>
      <c r="L22" t="inlineStr">
        <is>
          <t>Minor Inconvenience</t>
        </is>
      </c>
      <c r="M22" t="inlineStr">
        <is>
          <t>wf_templates</t>
        </is>
      </c>
      <c r="N22" t="inlineStr">
        <is>
          <t>Workflow templates</t>
        </is>
      </c>
      <c r="O22" t="inlineStr">
        <is>
          <t>2025-10</t>
        </is>
      </c>
    </row>
    <row r="23">
      <c r="A23" t="inlineStr">
        <is>
          <t>FB-00022</t>
        </is>
      </c>
      <c r="B23" t="inlineStr">
        <is>
          <t>CUST-0286</t>
        </is>
      </c>
      <c r="C23" s="11" t="n">
        <v>45938</v>
      </c>
      <c r="D23" t="inlineStr">
        <is>
          <t>In-App Feedback</t>
        </is>
      </c>
      <c r="E23" t="inlineStr">
        <is>
          <t>Enterprise</t>
        </is>
      </c>
      <c r="F23" t="inlineStr">
        <is>
          <t>Enterprise</t>
        </is>
      </c>
      <c r="G23" t="inlineStr">
        <is>
          <t>Reporting</t>
        </is>
      </c>
      <c r="H23" t="inlineStr">
        <is>
          <t>Performance Issue</t>
        </is>
      </c>
      <c r="I23" t="inlineStr">
        <is>
          <t>Not what we expected for the price. Report load time got noticeably worse over the last few months. It affects our lead handoff process every cycle. Please look into it soon.</t>
        </is>
      </c>
      <c r="J23" t="inlineStr">
        <is>
          <t>Negative</t>
        </is>
      </c>
      <c r="K23" t="inlineStr">
        <is>
          <t>Medium</t>
        </is>
      </c>
      <c r="L23" t="inlineStr">
        <is>
          <t>Workflow Slowdown</t>
        </is>
      </c>
      <c r="M23" t="inlineStr">
        <is>
          <t>rep_slow</t>
        </is>
      </c>
      <c r="N23" t="inlineStr">
        <is>
          <t>Slow dashboards</t>
        </is>
      </c>
      <c r="O23" t="inlineStr">
        <is>
          <t>2025-10</t>
        </is>
      </c>
    </row>
    <row r="24">
      <c r="A24" t="inlineStr">
        <is>
          <t>FB-00023</t>
        </is>
      </c>
      <c r="B24" t="inlineStr">
        <is>
          <t>CUST-0140</t>
        </is>
      </c>
      <c r="C24" s="11" t="n">
        <v>45938</v>
      </c>
      <c r="D24" t="inlineStr">
        <is>
          <t>Customer Survey</t>
        </is>
      </c>
      <c r="E24" t="inlineStr">
        <is>
          <t>Professional</t>
        </is>
      </c>
      <c r="F24" t="inlineStr">
        <is>
          <t>Mid-Market</t>
        </is>
      </c>
      <c r="G24" t="inlineStr">
        <is>
          <t>Workflow Automation</t>
        </is>
      </c>
      <c r="H24" t="inlineStr">
        <is>
          <t>Bug</t>
        </is>
      </c>
      <c r="I24" t="inlineStr">
        <is>
          <t>Our team keeps running into this. Several workflow failures left deals stuck in the wrong stage. Our customer success lead flagged it while onboarding 34 new users. We need a fix before renewal.</t>
        </is>
      </c>
      <c r="J24" t="inlineStr">
        <is>
          <t>Negative</t>
        </is>
      </c>
      <c r="K24" t="inlineStr">
        <is>
          <t>Critical</t>
        </is>
      </c>
      <c r="L24" t="inlineStr">
        <is>
          <t>Blocks Key Task</t>
        </is>
      </c>
      <c r="M24" t="inlineStr">
        <is>
          <t>wf_fail</t>
        </is>
      </c>
      <c r="N24" t="inlineStr">
        <is>
          <t>Workflows failing silently</t>
        </is>
      </c>
      <c r="O24" t="inlineStr">
        <is>
          <t>2025-10</t>
        </is>
      </c>
    </row>
    <row r="25">
      <c r="A25" t="inlineStr">
        <is>
          <t>FB-00024</t>
        </is>
      </c>
      <c r="B25" t="inlineStr">
        <is>
          <t>CUST-0007</t>
        </is>
      </c>
      <c r="C25" s="11" t="n">
        <v>45938</v>
      </c>
      <c r="D25" t="inlineStr">
        <is>
          <t>Support Ticket</t>
        </is>
      </c>
      <c r="E25" t="inlineStr">
        <is>
          <t>Professional</t>
        </is>
      </c>
      <c r="F25" t="inlineStr">
        <is>
          <t>SMB</t>
        </is>
      </c>
      <c r="G25" t="inlineStr">
        <is>
          <t>Integrations</t>
        </is>
      </c>
      <c r="H25" t="inlineStr">
        <is>
          <t>Integration Issue</t>
        </is>
      </c>
      <c r="I25" t="inlineStr">
        <is>
          <t>This has been a recurring problem for us. The Outlook calendar sync duplicates meetings and misses replies. It affects our month-end reporting process every cycle. We need a fix before renewal.</t>
        </is>
      </c>
      <c r="J25" t="inlineStr">
        <is>
          <t>Negative</t>
        </is>
      </c>
      <c r="K25" t="inlineStr">
        <is>
          <t>High</t>
        </is>
      </c>
      <c r="L25" t="inlineStr">
        <is>
          <t>Blocks Key Task</t>
        </is>
      </c>
      <c r="M25" t="inlineStr">
        <is>
          <t>int_email</t>
        </is>
      </c>
      <c r="N25" t="inlineStr">
        <is>
          <t>Email and calendar sync drops</t>
        </is>
      </c>
      <c r="O25" t="inlineStr">
        <is>
          <t>2025-10</t>
        </is>
      </c>
    </row>
    <row r="26">
      <c r="A26" t="inlineStr">
        <is>
          <t>FB-00025</t>
        </is>
      </c>
      <c r="B26" t="inlineStr">
        <is>
          <t>CUST-0174</t>
        </is>
      </c>
      <c r="C26" s="11" t="n">
        <v>45939</v>
      </c>
      <c r="D26" t="inlineStr">
        <is>
          <t>In-App Feedback</t>
        </is>
      </c>
      <c r="E26" t="inlineStr">
        <is>
          <t>Professional</t>
        </is>
      </c>
      <c r="F26" t="inlineStr">
        <is>
          <t>Mid-Market</t>
        </is>
      </c>
      <c r="G26" t="inlineStr">
        <is>
          <t>Lead Management</t>
        </is>
      </c>
      <c r="H26" t="inlineStr">
        <is>
          <t>Feature Request</t>
        </is>
      </c>
      <c r="I26" t="inlineStr">
        <is>
          <t>We need automated lead scoring so reps can focus on the prospects most likely to close. It happens about 32 times a week for our team of 67. Let us know if you need examples.</t>
        </is>
      </c>
      <c r="J26" t="inlineStr">
        <is>
          <t>Neutral</t>
        </is>
      </c>
      <c r="K26" t="inlineStr">
        <is>
          <t>Low</t>
        </is>
      </c>
      <c r="L26" t="inlineStr">
        <is>
          <t>Workflow Slowdown</t>
        </is>
      </c>
      <c r="M26" t="inlineStr">
        <is>
          <t>lead_score</t>
        </is>
      </c>
      <c r="N26" t="inlineStr">
        <is>
          <t>Automated lead scoring</t>
        </is>
      </c>
      <c r="O26" t="inlineStr">
        <is>
          <t>2025-10</t>
        </is>
      </c>
    </row>
    <row r="27">
      <c r="A27" t="inlineStr">
        <is>
          <t>FB-00026</t>
        </is>
      </c>
      <c r="B27" t="inlineStr">
        <is>
          <t>CUST-0249</t>
        </is>
      </c>
      <c r="C27" s="11" t="n">
        <v>45939</v>
      </c>
      <c r="D27" t="inlineStr">
        <is>
          <t>Customer Survey</t>
        </is>
      </c>
      <c r="E27" t="inlineStr">
        <is>
          <t>Starter</t>
        </is>
      </c>
      <c r="F27" t="inlineStr">
        <is>
          <t>SMB</t>
        </is>
      </c>
      <c r="G27" t="inlineStr">
        <is>
          <t>User Interface</t>
        </is>
      </c>
      <c r="H27" t="inlineStr">
        <is>
          <t>Feature Request</t>
        </is>
      </c>
      <c r="I27" t="inlineStr">
        <is>
          <t>We lose notes whenever reps are away from a desk without mobile call logging. Let us know if you need examples.</t>
        </is>
      </c>
      <c r="J27" t="inlineStr">
        <is>
          <t>Neutral</t>
        </is>
      </c>
      <c r="K27" t="inlineStr">
        <is>
          <t>Low</t>
        </is>
      </c>
      <c r="L27" t="inlineStr">
        <is>
          <t>Minor Inconvenience</t>
        </is>
      </c>
      <c r="M27" t="inlineStr">
        <is>
          <t>ui_mobile</t>
        </is>
      </c>
      <c r="N27" t="inlineStr">
        <is>
          <t>Mobile app</t>
        </is>
      </c>
      <c r="O27" t="inlineStr">
        <is>
          <t>2025-10</t>
        </is>
      </c>
    </row>
    <row r="28">
      <c r="A28" t="inlineStr">
        <is>
          <t>FB-00027</t>
        </is>
      </c>
      <c r="B28" t="inlineStr">
        <is>
          <t>CUST-0222</t>
        </is>
      </c>
      <c r="C28" s="11" t="n">
        <v>45939</v>
      </c>
      <c r="D28" t="inlineStr">
        <is>
          <t>Feature Request</t>
        </is>
      </c>
      <c r="E28" t="inlineStr">
        <is>
          <t>Professional</t>
        </is>
      </c>
      <c r="F28" t="inlineStr">
        <is>
          <t>Mid-Market</t>
        </is>
      </c>
      <c r="G28" t="inlineStr">
        <is>
          <t>Workflow Automation</t>
        </is>
      </c>
      <c r="H28" t="inlineStr">
        <is>
          <t>Feature Request</t>
        </is>
      </c>
      <c r="I28" t="inlineStr">
        <is>
          <t>Requesting approval steps; today approvals happen over chat. It happens about 22 times a week for our team of 74. Happy to beta test.</t>
        </is>
      </c>
      <c r="J28" t="inlineStr">
        <is>
          <t>Positive</t>
        </is>
      </c>
      <c r="K28" t="inlineStr">
        <is>
          <t>Low</t>
        </is>
      </c>
      <c r="L28" t="inlineStr">
        <is>
          <t>Minor Inconvenience</t>
        </is>
      </c>
      <c r="M28" t="inlineStr">
        <is>
          <t>wf_approval</t>
        </is>
      </c>
      <c r="N28" t="inlineStr">
        <is>
          <t>Approval steps in workflows</t>
        </is>
      </c>
      <c r="O28" t="inlineStr">
        <is>
          <t>2025-10</t>
        </is>
      </c>
    </row>
    <row r="29">
      <c r="A29" t="inlineStr">
        <is>
          <t>FB-00028</t>
        </is>
      </c>
      <c r="B29" t="inlineStr">
        <is>
          <t>CUST-0277</t>
        </is>
      </c>
      <c r="C29" s="11" t="n">
        <v>45939</v>
      </c>
      <c r="D29" t="inlineStr">
        <is>
          <t>Customer Survey</t>
        </is>
      </c>
      <c r="E29" t="inlineStr">
        <is>
          <t>Professional</t>
        </is>
      </c>
      <c r="F29" t="inlineStr">
        <is>
          <t>Mid-Market</t>
        </is>
      </c>
      <c r="G29" t="inlineStr">
        <is>
          <t>Workflow Automation</t>
        </is>
      </c>
      <c r="H29" t="inlineStr">
        <is>
          <t>Feature Request</t>
        </is>
      </c>
      <c r="I29" t="inlineStr">
        <is>
          <t>We'd adopt automation faster with prebuilt automations we could customize. We estimate we lose roughly 34 hours a month on this. Let us know if you need examples.</t>
        </is>
      </c>
      <c r="J29" t="inlineStr">
        <is>
          <t>Neutral</t>
        </is>
      </c>
      <c r="K29" t="inlineStr">
        <is>
          <t>Medium</t>
        </is>
      </c>
      <c r="L29" t="inlineStr">
        <is>
          <t>Blocks Key Task</t>
        </is>
      </c>
      <c r="M29" t="inlineStr">
        <is>
          <t>wf_templates</t>
        </is>
      </c>
      <c r="N29" t="inlineStr">
        <is>
          <t>Workflow templates</t>
        </is>
      </c>
      <c r="O29" t="inlineStr">
        <is>
          <t>2025-10</t>
        </is>
      </c>
    </row>
    <row r="30">
      <c r="A30" t="inlineStr">
        <is>
          <t>FB-00029</t>
        </is>
      </c>
      <c r="B30" t="inlineStr">
        <is>
          <t>CUST-0116</t>
        </is>
      </c>
      <c r="C30" s="11" t="n">
        <v>45939</v>
      </c>
      <c r="D30" t="inlineStr">
        <is>
          <t>Support Ticket</t>
        </is>
      </c>
      <c r="E30" t="inlineStr">
        <is>
          <t>Professional</t>
        </is>
      </c>
      <c r="F30" t="inlineStr">
        <is>
          <t>SMB</t>
        </is>
      </c>
      <c r="G30" t="inlineStr">
        <is>
          <t>Lead Management</t>
        </is>
      </c>
      <c r="H30" t="inlineStr">
        <is>
          <t>Bug</t>
        </is>
      </c>
      <c r="I30" t="inlineStr">
        <is>
          <t>Quick note from our admin. There are duplicate lead records across our pipeline views and nobody knows which record is the source of truth.</t>
        </is>
      </c>
      <c r="J30" t="inlineStr">
        <is>
          <t>Neutral</t>
        </is>
      </c>
      <c r="K30" t="inlineStr">
        <is>
          <t>Medium</t>
        </is>
      </c>
      <c r="L30" t="inlineStr">
        <is>
          <t>Workflow Slowdown</t>
        </is>
      </c>
      <c r="M30" t="inlineStr">
        <is>
          <t>lead_dup</t>
        </is>
      </c>
      <c r="N30" t="inlineStr">
        <is>
          <t>Duplicate leads created</t>
        </is>
      </c>
      <c r="O30" t="inlineStr">
        <is>
          <t>2025-10</t>
        </is>
      </c>
    </row>
    <row r="31">
      <c r="A31" t="inlineStr">
        <is>
          <t>FB-00030</t>
        </is>
      </c>
      <c r="B31" t="inlineStr">
        <is>
          <t>CUST-0087</t>
        </is>
      </c>
      <c r="C31" s="11" t="n">
        <v>45940</v>
      </c>
      <c r="D31" t="inlineStr">
        <is>
          <t>Support Ticket</t>
        </is>
      </c>
      <c r="E31" t="inlineStr">
        <is>
          <t>Professional</t>
        </is>
      </c>
      <c r="F31" t="inlineStr">
        <is>
          <t>SMB</t>
        </is>
      </c>
      <c r="G31" t="inlineStr">
        <is>
          <t>Reporting</t>
        </is>
      </c>
      <c r="H31" t="inlineStr">
        <is>
          <t>Bug</t>
        </is>
      </c>
      <c r="I31" t="inlineStr">
        <is>
          <t>Feedback from our monthly review. Finance can't rely on the Excel export; totals don't match the screen. Our admin flagged it while onboarding 36 new users. Let us know if you need examples.</t>
        </is>
      </c>
      <c r="J31" t="inlineStr">
        <is>
          <t>Neutral</t>
        </is>
      </c>
      <c r="K31" t="inlineStr">
        <is>
          <t>Medium</t>
        </is>
      </c>
      <c r="L31" t="inlineStr">
        <is>
          <t>Workflow Slowdown</t>
        </is>
      </c>
      <c r="M31" t="inlineStr">
        <is>
          <t>rep_export</t>
        </is>
      </c>
      <c r="N31" t="inlineStr">
        <is>
          <t>Broken report exports</t>
        </is>
      </c>
      <c r="O31" t="inlineStr">
        <is>
          <t>2025-10</t>
        </is>
      </c>
    </row>
    <row r="32">
      <c r="A32" t="inlineStr">
        <is>
          <t>FB-00031</t>
        </is>
      </c>
      <c r="B32" t="inlineStr">
        <is>
          <t>CUST-0390</t>
        </is>
      </c>
      <c r="C32" s="11" t="n">
        <v>45940</v>
      </c>
      <c r="D32" t="inlineStr">
        <is>
          <t>Feature Request</t>
        </is>
      </c>
      <c r="E32" t="inlineStr">
        <is>
          <t>Professional</t>
        </is>
      </c>
      <c r="F32" t="inlineStr">
        <is>
          <t>Mid-Market</t>
        </is>
      </c>
      <c r="G32" t="inlineStr">
        <is>
          <t>Contact Management</t>
        </is>
      </c>
      <c r="H32" t="inlineStr">
        <is>
          <t>Feature Request</t>
        </is>
      </c>
      <c r="I32" t="inlineStr">
        <is>
          <t>Sharing this from our team. Please extend a contact relationship hierarchy; the current limit is too small for our use case. It happens about 27 times a week for our team of 68.</t>
        </is>
      </c>
      <c r="J32" t="inlineStr">
        <is>
          <t>Neutral</t>
        </is>
      </c>
      <c r="K32" t="inlineStr">
        <is>
          <t>Low</t>
        </is>
      </c>
      <c r="L32" t="inlineStr">
        <is>
          <t>Minor Inconvenience</t>
        </is>
      </c>
      <c r="M32" t="inlineStr">
        <is>
          <t>contact_custom</t>
        </is>
      </c>
      <c r="N32" t="inlineStr">
        <is>
          <t>Custom fields and hierarchy</t>
        </is>
      </c>
      <c r="O32" t="inlineStr">
        <is>
          <t>2025-10</t>
        </is>
      </c>
    </row>
    <row r="33">
      <c r="A33" t="inlineStr">
        <is>
          <t>FB-00032</t>
        </is>
      </c>
      <c r="B33" t="inlineStr">
        <is>
          <t>CUST-0276</t>
        </is>
      </c>
      <c r="C33" s="11" t="n">
        <v>45941</v>
      </c>
      <c r="D33" t="inlineStr">
        <is>
          <t>Customer Survey</t>
        </is>
      </c>
      <c r="E33" t="inlineStr">
        <is>
          <t>Professional</t>
        </is>
      </c>
      <c r="F33" t="inlineStr">
        <is>
          <t>SMB</t>
        </is>
      </c>
      <c r="G33" t="inlineStr">
        <is>
          <t>Lead Management</t>
        </is>
      </c>
      <c r="H33" t="inlineStr">
        <is>
          <t>Feature Request</t>
        </is>
      </c>
      <c r="I33" t="inlineStr">
        <is>
          <t>Sharing this from our team. We need lead scoring rules so reps can focus on the prospects most likely to close. Let us know if you need examples.</t>
        </is>
      </c>
      <c r="J33" t="inlineStr">
        <is>
          <t>Neutral</t>
        </is>
      </c>
      <c r="K33" t="inlineStr">
        <is>
          <t>Low</t>
        </is>
      </c>
      <c r="L33" t="inlineStr">
        <is>
          <t>Minor Inconvenience</t>
        </is>
      </c>
      <c r="M33" t="inlineStr">
        <is>
          <t>lead_score</t>
        </is>
      </c>
      <c r="N33" t="inlineStr">
        <is>
          <t>Automated lead scoring</t>
        </is>
      </c>
      <c r="O33" t="inlineStr">
        <is>
          <t>2025-10</t>
        </is>
      </c>
    </row>
    <row r="34">
      <c r="A34" t="inlineStr">
        <is>
          <t>FB-00033</t>
        </is>
      </c>
      <c r="B34" t="inlineStr">
        <is>
          <t>CUST-0314</t>
        </is>
      </c>
      <c r="C34" s="11" t="n">
        <v>45941</v>
      </c>
      <c r="D34" t="inlineStr">
        <is>
          <t>Feature Request</t>
        </is>
      </c>
      <c r="E34" t="inlineStr">
        <is>
          <t>Enterprise</t>
        </is>
      </c>
      <c r="F34" t="inlineStr">
        <is>
          <t>Mid-Market</t>
        </is>
      </c>
      <c r="G34" t="inlineStr">
        <is>
          <t>Contact Management</t>
        </is>
      </c>
      <c r="H34" t="inlineStr">
        <is>
          <t>Feature Request</t>
        </is>
      </c>
      <c r="I34" t="inlineStr">
        <is>
          <t>Recent updates have been a nice improvement. Is there any plan for contact de-duplication tooling? Merging one record at a time is not realistic. It affects our lead handoff process every cycle.</t>
        </is>
      </c>
      <c r="J34" t="inlineStr">
        <is>
          <t>Positive</t>
        </is>
      </c>
      <c r="K34" t="inlineStr">
        <is>
          <t>Medium</t>
        </is>
      </c>
      <c r="L34" t="inlineStr">
        <is>
          <t>Blocks Key Task</t>
        </is>
      </c>
      <c r="M34" t="inlineStr">
        <is>
          <t>contact_dedupe</t>
        </is>
      </c>
      <c r="N34" t="inlineStr">
        <is>
          <t>Bulk contact merge</t>
        </is>
      </c>
      <c r="O34" t="inlineStr">
        <is>
          <t>2025-10</t>
        </is>
      </c>
    </row>
    <row r="35">
      <c r="A35" t="inlineStr">
        <is>
          <t>FB-00034</t>
        </is>
      </c>
      <c r="B35" t="inlineStr">
        <is>
          <t>CUST-0086</t>
        </is>
      </c>
      <c r="C35" s="11" t="n">
        <v>45942</v>
      </c>
      <c r="D35" t="inlineStr">
        <is>
          <t>In-App Feedback</t>
        </is>
      </c>
      <c r="E35" t="inlineStr">
        <is>
          <t>Enterprise</t>
        </is>
      </c>
      <c r="F35" t="inlineStr">
        <is>
          <t>Enterprise</t>
        </is>
      </c>
      <c r="G35" t="inlineStr">
        <is>
          <t>Workflow Automation</t>
        </is>
      </c>
      <c r="H35" t="inlineStr">
        <is>
          <t>Bug</t>
        </is>
      </c>
      <c r="I35" t="inlineStr">
        <is>
          <t>We found automation misfires only because a customer complained. Is there a workaround?</t>
        </is>
      </c>
      <c r="J35" t="inlineStr">
        <is>
          <t>Negative</t>
        </is>
      </c>
      <c r="K35" t="inlineStr">
        <is>
          <t>High</t>
        </is>
      </c>
      <c r="L35" t="inlineStr">
        <is>
          <t>Blocks Key Task</t>
        </is>
      </c>
      <c r="M35" t="inlineStr">
        <is>
          <t>wf_fail</t>
        </is>
      </c>
      <c r="N35" t="inlineStr">
        <is>
          <t>Workflows failing silently</t>
        </is>
      </c>
      <c r="O35" t="inlineStr">
        <is>
          <t>2025-10</t>
        </is>
      </c>
    </row>
    <row r="36">
      <c r="A36" t="inlineStr">
        <is>
          <t>FB-00035</t>
        </is>
      </c>
      <c r="B36" t="inlineStr">
        <is>
          <t>CUST-0262</t>
        </is>
      </c>
      <c r="C36" s="11" t="n">
        <v>45943</v>
      </c>
      <c r="D36" t="inlineStr">
        <is>
          <t>In-App Feedback</t>
        </is>
      </c>
      <c r="E36" t="inlineStr">
        <is>
          <t>Professional</t>
        </is>
      </c>
      <c r="F36" t="inlineStr">
        <is>
          <t>Mid-Market</t>
        </is>
      </c>
      <c r="G36" t="inlineStr">
        <is>
          <t>Workflow Automation</t>
        </is>
      </c>
      <c r="H36" t="inlineStr">
        <is>
          <t>Bug</t>
        </is>
      </c>
      <c r="I36" t="inlineStr">
        <is>
          <t>This has been a recurring problem for us. We found automation misfires only because a customer complained. So far 54 people on our side have reported it. Is there a workaround?</t>
        </is>
      </c>
      <c r="J36" t="inlineStr">
        <is>
          <t>Negative</t>
        </is>
      </c>
      <c r="K36" t="inlineStr">
        <is>
          <t>Low</t>
        </is>
      </c>
      <c r="L36" t="inlineStr">
        <is>
          <t>Blocks Key Task</t>
        </is>
      </c>
      <c r="M36" t="inlineStr">
        <is>
          <t>wf_fail</t>
        </is>
      </c>
      <c r="N36" t="inlineStr">
        <is>
          <t>Workflows failing silently</t>
        </is>
      </c>
      <c r="O36" t="inlineStr">
        <is>
          <t>2025-10</t>
        </is>
      </c>
    </row>
    <row r="37">
      <c r="A37" t="inlineStr">
        <is>
          <t>FB-00036</t>
        </is>
      </c>
      <c r="B37" t="inlineStr">
        <is>
          <t>CUST-0352</t>
        </is>
      </c>
      <c r="C37" s="11" t="n">
        <v>45943</v>
      </c>
      <c r="D37" t="inlineStr">
        <is>
          <t>In-App Feedback</t>
        </is>
      </c>
      <c r="E37" t="inlineStr">
        <is>
          <t>Starter</t>
        </is>
      </c>
      <c r="F37" t="inlineStr">
        <is>
          <t>SMB</t>
        </is>
      </c>
      <c r="G37" t="inlineStr">
        <is>
          <t>Integrations</t>
        </is>
      </c>
      <c r="H37" t="inlineStr">
        <is>
          <t>Feature Request</t>
        </is>
      </c>
      <c r="I37" t="inlineStr">
        <is>
          <t>Overall we like the product. We would pay for a native accounting integration instead of maintaining Zapier chains. It affects our weekly pipeline review process every cycle. Keep up the good work.</t>
        </is>
      </c>
      <c r="J37" t="inlineStr">
        <is>
          <t>Positive</t>
        </is>
      </c>
      <c r="K37" t="inlineStr">
        <is>
          <t>Medium</t>
        </is>
      </c>
      <c r="L37" t="inlineStr">
        <is>
          <t>Workflow Slowdown</t>
        </is>
      </c>
      <c r="M37" t="inlineStr">
        <is>
          <t>int_native</t>
        </is>
      </c>
      <c r="N37" t="inlineStr">
        <is>
          <t>Native integrations</t>
        </is>
      </c>
      <c r="O37" t="inlineStr">
        <is>
          <t>2025-10</t>
        </is>
      </c>
    </row>
    <row r="38">
      <c r="A38" t="inlineStr">
        <is>
          <t>FB-00037</t>
        </is>
      </c>
      <c r="B38" t="inlineStr">
        <is>
          <t>CUST-0384</t>
        </is>
      </c>
      <c r="C38" s="11" t="n">
        <v>45943</v>
      </c>
      <c r="D38" t="inlineStr">
        <is>
          <t>Feature Request</t>
        </is>
      </c>
      <c r="E38" t="inlineStr">
        <is>
          <t>Enterprise</t>
        </is>
      </c>
      <c r="F38" t="inlineStr">
        <is>
          <t>Mid-Market</t>
        </is>
      </c>
      <c r="G38" t="inlineStr">
        <is>
          <t>Integrations</t>
        </is>
      </c>
      <c r="H38" t="inlineStr">
        <is>
          <t>Feature Request</t>
        </is>
      </c>
      <c r="I38" t="inlineStr">
        <is>
          <t>Feedback from our monthly review. Please add SSO support; managing users by hand does not scale.</t>
        </is>
      </c>
      <c r="J38" t="inlineStr">
        <is>
          <t>Neutral</t>
        </is>
      </c>
      <c r="K38" t="inlineStr">
        <is>
          <t>Low</t>
        </is>
      </c>
      <c r="L38" t="inlineStr">
        <is>
          <t>Minor Inconvenience</t>
        </is>
      </c>
      <c r="M38" t="inlineStr">
        <is>
          <t>int_sso</t>
        </is>
      </c>
      <c r="N38" t="inlineStr">
        <is>
          <t>SSO and provisioning</t>
        </is>
      </c>
      <c r="O38" t="inlineStr">
        <is>
          <t>2025-10</t>
        </is>
      </c>
    </row>
    <row r="39">
      <c r="A39" t="inlineStr">
        <is>
          <t>FB-00038</t>
        </is>
      </c>
      <c r="B39" t="inlineStr">
        <is>
          <t>CUST-0175</t>
        </is>
      </c>
      <c r="C39" s="11" t="n">
        <v>45943</v>
      </c>
      <c r="D39" t="inlineStr">
        <is>
          <t>In-App Feedback</t>
        </is>
      </c>
      <c r="E39" t="inlineStr">
        <is>
          <t>Professional</t>
        </is>
      </c>
      <c r="F39" t="inlineStr">
        <is>
          <t>Mid-Market</t>
        </is>
      </c>
      <c r="G39" t="inlineStr">
        <is>
          <t>Contact Management</t>
        </is>
      </c>
      <c r="H39" t="inlineStr">
        <is>
          <t>Bug</t>
        </is>
      </c>
      <c r="I39" t="inlineStr">
        <is>
          <t>Our team keeps running into this. The spreadsheet import silently skipped rows and we only noticed days later. So far 35 people on our side have reported it. Support suggested logging it here.</t>
        </is>
      </c>
      <c r="J39" t="inlineStr">
        <is>
          <t>Negative</t>
        </is>
      </c>
      <c r="K39" t="inlineStr">
        <is>
          <t>Critical</t>
        </is>
      </c>
      <c r="L39" t="inlineStr">
        <is>
          <t>Revenue/Operations Risk</t>
        </is>
      </c>
      <c r="M39" t="inlineStr">
        <is>
          <t>contact_import</t>
        </is>
      </c>
      <c r="N39" t="inlineStr">
        <is>
          <t>Unreliable contact imports</t>
        </is>
      </c>
      <c r="O39" t="inlineStr">
        <is>
          <t>2025-10</t>
        </is>
      </c>
    </row>
    <row r="40">
      <c r="A40" t="inlineStr">
        <is>
          <t>FB-00039</t>
        </is>
      </c>
      <c r="B40" t="inlineStr">
        <is>
          <t>CUST-0054</t>
        </is>
      </c>
      <c r="C40" s="11" t="n">
        <v>45944</v>
      </c>
      <c r="D40" t="inlineStr">
        <is>
          <t>In-App Feedback</t>
        </is>
      </c>
      <c r="E40" t="inlineStr">
        <is>
          <t>Enterprise</t>
        </is>
      </c>
      <c r="F40" t="inlineStr">
        <is>
          <t>Enterprise</t>
        </is>
      </c>
      <c r="G40" t="inlineStr">
        <is>
          <t>Lead Management</t>
        </is>
      </c>
      <c r="H40" t="inlineStr">
        <is>
          <t>Bug</t>
        </is>
      </c>
      <c r="I40" t="inlineStr">
        <is>
          <t>There are duplicate lead records across our pipeline views and nobody knows which record is the source of truth. So far 8 people on our side have reported it.</t>
        </is>
      </c>
      <c r="J40" t="inlineStr">
        <is>
          <t>Negative</t>
        </is>
      </c>
      <c r="K40" t="inlineStr">
        <is>
          <t>High</t>
        </is>
      </c>
      <c r="L40" t="inlineStr">
        <is>
          <t>Workflow Slowdown</t>
        </is>
      </c>
      <c r="M40" t="inlineStr">
        <is>
          <t>lead_dup</t>
        </is>
      </c>
      <c r="N40" t="inlineStr">
        <is>
          <t>Duplicate leads created</t>
        </is>
      </c>
      <c r="O40" t="inlineStr">
        <is>
          <t>2025-10</t>
        </is>
      </c>
    </row>
    <row r="41">
      <c r="A41" t="inlineStr">
        <is>
          <t>FB-00040</t>
        </is>
      </c>
      <c r="B41" t="inlineStr">
        <is>
          <t>CUST-0116</t>
        </is>
      </c>
      <c r="C41" s="11" t="n">
        <v>45944</v>
      </c>
      <c r="D41" t="inlineStr">
        <is>
          <t>Feature Request</t>
        </is>
      </c>
      <c r="E41" t="inlineStr">
        <is>
          <t>Professional</t>
        </is>
      </c>
      <c r="F41" t="inlineStr">
        <is>
          <t>SMB</t>
        </is>
      </c>
      <c r="G41" t="inlineStr">
        <is>
          <t>Lead Management</t>
        </is>
      </c>
      <c r="H41" t="inlineStr">
        <is>
          <t>Feature Request</t>
        </is>
      </c>
      <c r="I41" t="inlineStr">
        <is>
          <t>Great support experience recently. Would love to see a lead score model that marketing and sales can both tune.</t>
        </is>
      </c>
      <c r="J41" t="inlineStr">
        <is>
          <t>Positive</t>
        </is>
      </c>
      <c r="K41" t="inlineStr">
        <is>
          <t>Low</t>
        </is>
      </c>
      <c r="L41" t="inlineStr">
        <is>
          <t>Blocks Key Task</t>
        </is>
      </c>
      <c r="M41" t="inlineStr">
        <is>
          <t>lead_score</t>
        </is>
      </c>
      <c r="N41" t="inlineStr">
        <is>
          <t>Automated lead scoring</t>
        </is>
      </c>
      <c r="O41" t="inlineStr">
        <is>
          <t>2025-10</t>
        </is>
      </c>
    </row>
    <row r="42">
      <c r="A42" t="inlineStr">
        <is>
          <t>FB-00041</t>
        </is>
      </c>
      <c r="B42" t="inlineStr">
        <is>
          <t>CUST-0258</t>
        </is>
      </c>
      <c r="C42" s="11" t="n">
        <v>45944</v>
      </c>
      <c r="D42" t="inlineStr">
        <is>
          <t>Support Ticket</t>
        </is>
      </c>
      <c r="E42" t="inlineStr">
        <is>
          <t>Professional</t>
        </is>
      </c>
      <c r="F42" t="inlineStr">
        <is>
          <t>Mid-Market</t>
        </is>
      </c>
      <c r="G42" t="inlineStr">
        <is>
          <t>Reporting</t>
        </is>
      </c>
      <c r="H42" t="inlineStr">
        <is>
          <t>Bug</t>
        </is>
      </c>
      <c r="I42" t="inlineStr">
        <is>
          <t>Our report export drops formatting and shows dates as numbers. We need a fix before renewal.</t>
        </is>
      </c>
      <c r="J42" t="inlineStr">
        <is>
          <t>Negative</t>
        </is>
      </c>
      <c r="K42" t="inlineStr">
        <is>
          <t>Low</t>
        </is>
      </c>
      <c r="L42" t="inlineStr">
        <is>
          <t>Minor Inconvenience</t>
        </is>
      </c>
      <c r="M42" t="inlineStr">
        <is>
          <t>rep_export</t>
        </is>
      </c>
      <c r="N42" t="inlineStr">
        <is>
          <t>Broken report exports</t>
        </is>
      </c>
      <c r="O42" t="inlineStr">
        <is>
          <t>2025-10</t>
        </is>
      </c>
    </row>
    <row r="43">
      <c r="A43" t="inlineStr">
        <is>
          <t>FB-00042</t>
        </is>
      </c>
      <c r="B43" t="inlineStr">
        <is>
          <t>CUST-0243</t>
        </is>
      </c>
      <c r="C43" s="11" t="n">
        <v>45944</v>
      </c>
      <c r="D43" t="inlineStr">
        <is>
          <t>Support Ticket</t>
        </is>
      </c>
      <c r="E43" t="inlineStr">
        <is>
          <t>Professional</t>
        </is>
      </c>
      <c r="F43" t="inlineStr">
        <is>
          <t>SMB</t>
        </is>
      </c>
      <c r="G43" t="inlineStr">
        <is>
          <t>Integrations</t>
        </is>
      </c>
      <c r="H43" t="inlineStr">
        <is>
          <t>Integration Issue</t>
        </is>
      </c>
      <c r="I43" t="inlineStr">
        <is>
          <t>Escalating on behalf of our ops lead. API rate limits is unreliable and there is no retry or log we can inspect. Please look into it soon.</t>
        </is>
      </c>
      <c r="J43" t="inlineStr">
        <is>
          <t>Negative</t>
        </is>
      </c>
      <c r="K43" t="inlineStr">
        <is>
          <t>Low</t>
        </is>
      </c>
      <c r="L43" t="inlineStr">
        <is>
          <t>Workflow Slowdown</t>
        </is>
      </c>
      <c r="M43" t="inlineStr">
        <is>
          <t>int_api</t>
        </is>
      </c>
      <c r="N43" t="inlineStr">
        <is>
          <t>API limits and webhook failures</t>
        </is>
      </c>
      <c r="O43" t="inlineStr">
        <is>
          <t>2025-10</t>
        </is>
      </c>
    </row>
    <row r="44">
      <c r="A44" t="inlineStr">
        <is>
          <t>FB-00043</t>
        </is>
      </c>
      <c r="B44" t="inlineStr">
        <is>
          <t>CUST-0189</t>
        </is>
      </c>
      <c r="C44" s="11" t="n">
        <v>45944</v>
      </c>
      <c r="D44" t="inlineStr">
        <is>
          <t>In-App Feedback</t>
        </is>
      </c>
      <c r="E44" t="inlineStr">
        <is>
          <t>Starter</t>
        </is>
      </c>
      <c r="F44" t="inlineStr">
        <is>
          <t>SMB</t>
        </is>
      </c>
      <c r="G44" t="inlineStr">
        <is>
          <t>Contact Management</t>
        </is>
      </c>
      <c r="H44" t="inlineStr">
        <is>
          <t>Bug</t>
        </is>
      </c>
      <c r="I44" t="inlineStr">
        <is>
          <t>Frustrated with this one. The import field mapping silently skipped rows and we only noticed days later. Our RevOps lead flagged it while onboarding 93 new users. Support suggested logging it here.</t>
        </is>
      </c>
      <c r="J44" t="inlineStr">
        <is>
          <t>Negative</t>
        </is>
      </c>
      <c r="K44" t="inlineStr">
        <is>
          <t>High</t>
        </is>
      </c>
      <c r="L44" t="inlineStr">
        <is>
          <t>Workflow Slowdown</t>
        </is>
      </c>
      <c r="M44" t="inlineStr">
        <is>
          <t>contact_import</t>
        </is>
      </c>
      <c r="N44" t="inlineStr">
        <is>
          <t>Unreliable contact imports</t>
        </is>
      </c>
      <c r="O44" t="inlineStr">
        <is>
          <t>2025-10</t>
        </is>
      </c>
    </row>
    <row r="45">
      <c r="A45" t="inlineStr">
        <is>
          <t>FB-00044</t>
        </is>
      </c>
      <c r="B45" t="inlineStr">
        <is>
          <t>CUST-0385</t>
        </is>
      </c>
      <c r="C45" s="11" t="n">
        <v>45944</v>
      </c>
      <c r="D45" t="inlineStr">
        <is>
          <t>Support Ticket</t>
        </is>
      </c>
      <c r="E45" t="inlineStr">
        <is>
          <t>Starter</t>
        </is>
      </c>
      <c r="F45" t="inlineStr">
        <is>
          <t>SMB</t>
        </is>
      </c>
      <c r="G45" t="inlineStr">
        <is>
          <t>Integrations</t>
        </is>
      </c>
      <c r="H45" t="inlineStr">
        <is>
          <t>Integration Issue</t>
        </is>
      </c>
      <c r="I45" t="inlineStr">
        <is>
          <t>Raising this again after our last business review. After the token expires, Gmail sync stops with no warning. So far 47 people on our side have reported it.</t>
        </is>
      </c>
      <c r="J45" t="inlineStr">
        <is>
          <t>Negative</t>
        </is>
      </c>
      <c r="K45" t="inlineStr">
        <is>
          <t>Medium</t>
        </is>
      </c>
      <c r="L45" t="inlineStr">
        <is>
          <t>Workflow Slowdown</t>
        </is>
      </c>
      <c r="M45" t="inlineStr">
        <is>
          <t>int_email</t>
        </is>
      </c>
      <c r="N45" t="inlineStr">
        <is>
          <t>Email and calendar sync drops</t>
        </is>
      </c>
      <c r="O45" t="inlineStr">
        <is>
          <t>2025-10</t>
        </is>
      </c>
    </row>
    <row r="46">
      <c r="A46" t="inlineStr">
        <is>
          <t>FB-00045</t>
        </is>
      </c>
      <c r="B46" t="inlineStr">
        <is>
          <t>CUST-0265</t>
        </is>
      </c>
      <c r="C46" s="11" t="n">
        <v>45945</v>
      </c>
      <c r="D46" t="inlineStr">
        <is>
          <t>In-App Feedback</t>
        </is>
      </c>
      <c r="E46" t="inlineStr">
        <is>
          <t>Starter</t>
        </is>
      </c>
      <c r="F46" t="inlineStr">
        <is>
          <t>SMB</t>
        </is>
      </c>
      <c r="G46" t="inlineStr">
        <is>
          <t>Lead Management</t>
        </is>
      </c>
      <c r="H46" t="inlineStr">
        <is>
          <t>Performance Issue</t>
        </is>
      </c>
      <c r="I46" t="inlineStr">
        <is>
          <t>Not what we expected for the price. The lead list loading gets very slow once we pass a few thousand open leads. We estimate we lose roughly 56 hours a month on this. We need a fix before renewal.</t>
        </is>
      </c>
      <c r="J46" t="inlineStr">
        <is>
          <t>Negative</t>
        </is>
      </c>
      <c r="K46" t="inlineStr">
        <is>
          <t>High</t>
        </is>
      </c>
      <c r="L46" t="inlineStr">
        <is>
          <t>Blocks Key Task</t>
        </is>
      </c>
      <c r="M46" t="inlineStr">
        <is>
          <t>lead_slow</t>
        </is>
      </c>
      <c r="N46" t="inlineStr">
        <is>
          <t>Slow lead lists and pipeline board</t>
        </is>
      </c>
      <c r="O46" t="inlineStr">
        <is>
          <t>2025-10</t>
        </is>
      </c>
    </row>
    <row r="47">
      <c r="A47" t="inlineStr">
        <is>
          <t>FB-00046</t>
        </is>
      </c>
      <c r="B47" t="inlineStr">
        <is>
          <t>CUST-0419</t>
        </is>
      </c>
      <c r="C47" s="11" t="n">
        <v>45945</v>
      </c>
      <c r="D47" t="inlineStr">
        <is>
          <t>Feature Request</t>
        </is>
      </c>
      <c r="E47" t="inlineStr">
        <is>
          <t>Starter</t>
        </is>
      </c>
      <c r="F47" t="inlineStr">
        <is>
          <t>SMB</t>
        </is>
      </c>
      <c r="G47" t="inlineStr">
        <is>
          <t>Lead Management</t>
        </is>
      </c>
      <c r="H47" t="inlineStr">
        <is>
          <t>Feature Request</t>
        </is>
      </c>
      <c r="I47" t="inlineStr">
        <is>
          <t>Overall we like the product. Please add a lead score model based on engagement, company size and recent activity. Thanks to the team.</t>
        </is>
      </c>
      <c r="J47" t="inlineStr">
        <is>
          <t>Positive</t>
        </is>
      </c>
      <c r="K47" t="inlineStr">
        <is>
          <t>Low</t>
        </is>
      </c>
      <c r="L47" t="inlineStr">
        <is>
          <t>Minor Inconvenience</t>
        </is>
      </c>
      <c r="M47" t="inlineStr">
        <is>
          <t>lead_score</t>
        </is>
      </c>
      <c r="N47" t="inlineStr">
        <is>
          <t>Automated lead scoring</t>
        </is>
      </c>
      <c r="O47" t="inlineStr">
        <is>
          <t>2025-10</t>
        </is>
      </c>
    </row>
    <row r="48">
      <c r="A48" t="inlineStr">
        <is>
          <t>FB-00047</t>
        </is>
      </c>
      <c r="B48" t="inlineStr">
        <is>
          <t>CUST-0035</t>
        </is>
      </c>
      <c r="C48" s="11" t="n">
        <v>45945</v>
      </c>
      <c r="D48" t="inlineStr">
        <is>
          <t>Feature Request</t>
        </is>
      </c>
      <c r="E48" t="inlineStr">
        <is>
          <t>Professional</t>
        </is>
      </c>
      <c r="F48" t="inlineStr">
        <is>
          <t>Enterprise</t>
        </is>
      </c>
      <c r="G48" t="inlineStr">
        <is>
          <t>Contact Management</t>
        </is>
      </c>
      <c r="H48" t="inlineStr">
        <is>
          <t>Feature Request</t>
        </is>
      </c>
      <c r="I48" t="inlineStr">
        <is>
          <t>Noting this during onboarding. Is there any plan for a bulk contact merge? Merging one record at a time is not realistic. Happy to join a feedback call.</t>
        </is>
      </c>
      <c r="J48" t="inlineStr">
        <is>
          <t>Neutral</t>
        </is>
      </c>
      <c r="K48" t="inlineStr">
        <is>
          <t>Low</t>
        </is>
      </c>
      <c r="L48" t="inlineStr">
        <is>
          <t>Minor Inconvenience</t>
        </is>
      </c>
      <c r="M48" t="inlineStr">
        <is>
          <t>contact_dedupe</t>
        </is>
      </c>
      <c r="N48" t="inlineStr">
        <is>
          <t>Bulk contact merge</t>
        </is>
      </c>
      <c r="O48" t="inlineStr">
        <is>
          <t>2025-10</t>
        </is>
      </c>
    </row>
    <row r="49">
      <c r="A49" t="inlineStr">
        <is>
          <t>FB-00048</t>
        </is>
      </c>
      <c r="B49" t="inlineStr">
        <is>
          <t>CUST-0216</t>
        </is>
      </c>
      <c r="C49" s="11" t="n">
        <v>45945</v>
      </c>
      <c r="D49" t="inlineStr">
        <is>
          <t>Support Ticket</t>
        </is>
      </c>
      <c r="E49" t="inlineStr">
        <is>
          <t>Starter</t>
        </is>
      </c>
      <c r="F49" t="inlineStr">
        <is>
          <t>Mid-Market</t>
        </is>
      </c>
      <c r="G49" t="inlineStr">
        <is>
          <t>Integrations</t>
        </is>
      </c>
      <c r="H49" t="inlineStr">
        <is>
          <t>Feature Request</t>
        </is>
      </c>
      <c r="I49" t="inlineStr">
        <is>
          <t>Raising this again after our last business review. We would pay for a native Slack integration instead of maintaining Zapier chains. Support suggested logging it here.</t>
        </is>
      </c>
      <c r="J49" t="inlineStr">
        <is>
          <t>Negative</t>
        </is>
      </c>
      <c r="K49" t="inlineStr">
        <is>
          <t>Low</t>
        </is>
      </c>
      <c r="L49" t="inlineStr">
        <is>
          <t>Blocks Key Task</t>
        </is>
      </c>
      <c r="M49" t="inlineStr">
        <is>
          <t>int_native</t>
        </is>
      </c>
      <c r="N49" t="inlineStr">
        <is>
          <t>Native integrations</t>
        </is>
      </c>
      <c r="O49" t="inlineStr">
        <is>
          <t>2025-10</t>
        </is>
      </c>
    </row>
    <row r="50">
      <c r="A50" t="inlineStr">
        <is>
          <t>FB-00049</t>
        </is>
      </c>
      <c r="B50" t="inlineStr">
        <is>
          <t>CUST-0002</t>
        </is>
      </c>
      <c r="C50" s="11" t="n">
        <v>45945</v>
      </c>
      <c r="D50" t="inlineStr">
        <is>
          <t>In-App Feedback</t>
        </is>
      </c>
      <c r="E50" t="inlineStr">
        <is>
          <t>Starter</t>
        </is>
      </c>
      <c r="F50" t="inlineStr">
        <is>
          <t>SMB</t>
        </is>
      </c>
      <c r="G50" t="inlineStr">
        <is>
          <t>Workflow Automation</t>
        </is>
      </c>
      <c r="H50" t="inlineStr">
        <is>
          <t>Usability Issue</t>
        </is>
      </c>
      <c r="I50" t="inlineStr">
        <is>
          <t>Our new admins struggle with the workflow builder; there is no guidance or validation. Please look into it soon.</t>
        </is>
      </c>
      <c r="J50" t="inlineStr">
        <is>
          <t>Negative</t>
        </is>
      </c>
      <c r="K50" t="inlineStr">
        <is>
          <t>Low</t>
        </is>
      </c>
      <c r="L50" t="inlineStr">
        <is>
          <t>Minor Inconvenience</t>
        </is>
      </c>
      <c r="M50" t="inlineStr">
        <is>
          <t>wf_builder</t>
        </is>
      </c>
      <c r="N50" t="inlineStr">
        <is>
          <t>Confusing workflow builder</t>
        </is>
      </c>
      <c r="O50" t="inlineStr">
        <is>
          <t>2025-10</t>
        </is>
      </c>
    </row>
    <row r="51">
      <c r="A51" t="inlineStr">
        <is>
          <t>FB-00050</t>
        </is>
      </c>
      <c r="B51" t="inlineStr">
        <is>
          <t>CUST-0265</t>
        </is>
      </c>
      <c r="C51" s="11" t="n">
        <v>45946</v>
      </c>
      <c r="D51" t="inlineStr">
        <is>
          <t>Support Ticket</t>
        </is>
      </c>
      <c r="E51" t="inlineStr">
        <is>
          <t>Starter</t>
        </is>
      </c>
      <c r="F51" t="inlineStr">
        <is>
          <t>SMB</t>
        </is>
      </c>
      <c r="G51" t="inlineStr">
        <is>
          <t>User Interface</t>
        </is>
      </c>
      <c r="H51" t="inlineStr">
        <is>
          <t>Performance Issue</t>
        </is>
      </c>
      <c r="I51" t="inlineStr">
        <is>
          <t>Quick note from our admin. The page lag gets worse in the afternoon. Our customer success lead flagged it while onboarding 72 new users. Let us know if you need examples.</t>
        </is>
      </c>
      <c r="J51" t="inlineStr">
        <is>
          <t>Neutral</t>
        </is>
      </c>
      <c r="K51" t="inlineStr">
        <is>
          <t>Medium</t>
        </is>
      </c>
      <c r="L51" t="inlineStr">
        <is>
          <t>Workflow Slowdown</t>
        </is>
      </c>
      <c r="M51" t="inlineStr">
        <is>
          <t>ui_perf</t>
        </is>
      </c>
      <c r="N51" t="inlineStr">
        <is>
          <t>Laggy pages</t>
        </is>
      </c>
      <c r="O51" t="inlineStr">
        <is>
          <t>2025-10</t>
        </is>
      </c>
    </row>
    <row r="52">
      <c r="A52" t="inlineStr">
        <is>
          <t>FB-00051</t>
        </is>
      </c>
      <c r="B52" t="inlineStr">
        <is>
          <t>CUST-0402</t>
        </is>
      </c>
      <c r="C52" s="11" t="n">
        <v>45946</v>
      </c>
      <c r="D52" t="inlineStr">
        <is>
          <t>In-App Feedback</t>
        </is>
      </c>
      <c r="E52" t="inlineStr">
        <is>
          <t>Professional</t>
        </is>
      </c>
      <c r="F52" t="inlineStr">
        <is>
          <t>Mid-Market</t>
        </is>
      </c>
      <c r="G52" t="inlineStr">
        <is>
          <t>User Interface</t>
        </is>
      </c>
      <c r="H52" t="inlineStr">
        <is>
          <t>Feature Request</t>
        </is>
      </c>
      <c r="I52" t="inlineStr">
        <is>
          <t>Sharing this from our team. Please add bulk actions on lists; changing records one at a time wastes hours. It happens about 28 times a week for our team of 43. Happy to join a feedback call.</t>
        </is>
      </c>
      <c r="J52" t="inlineStr">
        <is>
          <t>Neutral</t>
        </is>
      </c>
      <c r="K52" t="inlineStr">
        <is>
          <t>Low</t>
        </is>
      </c>
      <c r="L52" t="inlineStr">
        <is>
          <t>Minor Inconvenience</t>
        </is>
      </c>
      <c r="M52" t="inlineStr">
        <is>
          <t>ui_bulk</t>
        </is>
      </c>
      <c r="N52" t="inlineStr">
        <is>
          <t>Bulk actions</t>
        </is>
      </c>
      <c r="O52" t="inlineStr">
        <is>
          <t>2025-10</t>
        </is>
      </c>
    </row>
    <row r="53">
      <c r="A53" t="inlineStr">
        <is>
          <t>FB-00052</t>
        </is>
      </c>
      <c r="B53" t="inlineStr">
        <is>
          <t>CUST-0248</t>
        </is>
      </c>
      <c r="C53" s="11" t="n">
        <v>45946</v>
      </c>
      <c r="D53" t="inlineStr">
        <is>
          <t>Support Ticket</t>
        </is>
      </c>
      <c r="E53" t="inlineStr">
        <is>
          <t>Starter</t>
        </is>
      </c>
      <c r="F53" t="inlineStr">
        <is>
          <t>SMB</t>
        </is>
      </c>
      <c r="G53" t="inlineStr">
        <is>
          <t>User Interface</t>
        </is>
      </c>
      <c r="H53" t="inlineStr">
        <is>
          <t>Usability Issue</t>
        </is>
      </c>
      <c r="I53" t="inlineStr">
        <is>
          <t>New hires get lost in the navigation menu; it takes weeks to learn. Please look into it soon.</t>
        </is>
      </c>
      <c r="J53" t="inlineStr">
        <is>
          <t>Negative</t>
        </is>
      </c>
      <c r="K53" t="inlineStr">
        <is>
          <t>Medium</t>
        </is>
      </c>
      <c r="L53" t="inlineStr">
        <is>
          <t>Workflow Slowdown</t>
        </is>
      </c>
      <c r="M53" t="inlineStr">
        <is>
          <t>ui_nav</t>
        </is>
      </c>
      <c r="N53" t="inlineStr">
        <is>
          <t>Cluttered navigation</t>
        </is>
      </c>
      <c r="O53" t="inlineStr">
        <is>
          <t>2025-10</t>
        </is>
      </c>
    </row>
    <row r="54">
      <c r="A54" t="inlineStr">
        <is>
          <t>FB-00053</t>
        </is>
      </c>
      <c r="B54" t="inlineStr">
        <is>
          <t>CUST-0284</t>
        </is>
      </c>
      <c r="C54" s="11" t="n">
        <v>45946</v>
      </c>
      <c r="D54" t="inlineStr">
        <is>
          <t>Feature Request</t>
        </is>
      </c>
      <c r="E54" t="inlineStr">
        <is>
          <t>Enterprise</t>
        </is>
      </c>
      <c r="F54" t="inlineStr">
        <is>
          <t>Enterprise</t>
        </is>
      </c>
      <c r="G54" t="inlineStr">
        <is>
          <t>User Interface</t>
        </is>
      </c>
      <c r="H54" t="inlineStr">
        <is>
          <t>Feature Request</t>
        </is>
      </c>
      <c r="I54" t="inlineStr">
        <is>
          <t>Happy with most of the product. Requesting offline mobile access so reps can log activity right after a meeting. Keep up the good work.</t>
        </is>
      </c>
      <c r="J54" t="inlineStr">
        <is>
          <t>Positive</t>
        </is>
      </c>
      <c r="K54" t="inlineStr">
        <is>
          <t>Low</t>
        </is>
      </c>
      <c r="L54" t="inlineStr">
        <is>
          <t>Minor Inconvenience</t>
        </is>
      </c>
      <c r="M54" t="inlineStr">
        <is>
          <t>ui_mobile</t>
        </is>
      </c>
      <c r="N54" t="inlineStr">
        <is>
          <t>Mobile app</t>
        </is>
      </c>
      <c r="O54" t="inlineStr">
        <is>
          <t>2025-10</t>
        </is>
      </c>
    </row>
    <row r="55">
      <c r="A55" t="inlineStr">
        <is>
          <t>FB-00054</t>
        </is>
      </c>
      <c r="B55" t="inlineStr">
        <is>
          <t>CUST-0229</t>
        </is>
      </c>
      <c r="C55" s="11" t="n">
        <v>45946</v>
      </c>
      <c r="D55" t="inlineStr">
        <is>
          <t>Customer Survey</t>
        </is>
      </c>
      <c r="E55" t="inlineStr">
        <is>
          <t>Starter</t>
        </is>
      </c>
      <c r="F55" t="inlineStr">
        <is>
          <t>Mid-Market</t>
        </is>
      </c>
      <c r="G55" t="inlineStr">
        <is>
          <t>Lead Management</t>
        </is>
      </c>
      <c r="H55" t="inlineStr">
        <is>
          <t>Feature Request</t>
        </is>
      </c>
      <c r="I55" t="inlineStr">
        <is>
          <t>Quick note from our admin. Right now reps rank leads by gut feel; a lead score model would fix that.</t>
        </is>
      </c>
      <c r="J55" t="inlineStr">
        <is>
          <t>Neutral</t>
        </is>
      </c>
      <c r="K55" t="inlineStr">
        <is>
          <t>Medium</t>
        </is>
      </c>
      <c r="L55" t="inlineStr">
        <is>
          <t>Workflow Slowdown</t>
        </is>
      </c>
      <c r="M55" t="inlineStr">
        <is>
          <t>lead_score</t>
        </is>
      </c>
      <c r="N55" t="inlineStr">
        <is>
          <t>Automated lead scoring</t>
        </is>
      </c>
      <c r="O55" t="inlineStr">
        <is>
          <t>2025-10</t>
        </is>
      </c>
    </row>
    <row r="56">
      <c r="A56" t="inlineStr">
        <is>
          <t>FB-00055</t>
        </is>
      </c>
      <c r="B56" t="inlineStr">
        <is>
          <t>CUST-0082</t>
        </is>
      </c>
      <c r="C56" s="11" t="n">
        <v>45946</v>
      </c>
      <c r="D56" t="inlineStr">
        <is>
          <t>Customer Survey</t>
        </is>
      </c>
      <c r="E56" t="inlineStr">
        <is>
          <t>Starter</t>
        </is>
      </c>
      <c r="F56" t="inlineStr">
        <is>
          <t>SMB</t>
        </is>
      </c>
      <c r="G56" t="inlineStr">
        <is>
          <t>Contact Management</t>
        </is>
      </c>
      <c r="H56" t="inlineStr">
        <is>
          <t>Bug</t>
        </is>
      </c>
      <c r="I56" t="inlineStr">
        <is>
          <t>The import field mapping rejects files with accented characters in names. We estimate we lose roughly 20 hours a month on this. We need a fix before renewal.</t>
        </is>
      </c>
      <c r="J56" t="inlineStr">
        <is>
          <t>Negative</t>
        </is>
      </c>
      <c r="K56" t="inlineStr">
        <is>
          <t>Low</t>
        </is>
      </c>
      <c r="L56" t="inlineStr">
        <is>
          <t>Workflow Slowdown</t>
        </is>
      </c>
      <c r="M56" t="inlineStr">
        <is>
          <t>contact_import</t>
        </is>
      </c>
      <c r="N56" t="inlineStr">
        <is>
          <t>Unreliable contact imports</t>
        </is>
      </c>
      <c r="O56" t="inlineStr">
        <is>
          <t>2025-10</t>
        </is>
      </c>
    </row>
    <row r="57">
      <c r="A57" t="inlineStr">
        <is>
          <t>FB-00056</t>
        </is>
      </c>
      <c r="B57" t="inlineStr">
        <is>
          <t>CUST-0187</t>
        </is>
      </c>
      <c r="C57" s="11" t="n">
        <v>45947</v>
      </c>
      <c r="D57" t="inlineStr">
        <is>
          <t>Feature Request</t>
        </is>
      </c>
      <c r="E57" t="inlineStr">
        <is>
          <t>Enterprise</t>
        </is>
      </c>
      <c r="F57" t="inlineStr">
        <is>
          <t>Mid-Market</t>
        </is>
      </c>
      <c r="G57" t="inlineStr">
        <is>
          <t>Contact Management</t>
        </is>
      </c>
      <c r="H57" t="inlineStr">
        <is>
          <t>Feature Request</t>
        </is>
      </c>
      <c r="I57" t="inlineStr">
        <is>
          <t>Is there any plan for a tool to merge duplicate contacts? Merging one record at a time is not realistic.</t>
        </is>
      </c>
      <c r="J57" t="inlineStr">
        <is>
          <t>Positive</t>
        </is>
      </c>
      <c r="K57" t="inlineStr">
        <is>
          <t>Low</t>
        </is>
      </c>
      <c r="L57" t="inlineStr">
        <is>
          <t>Minor Inconvenience</t>
        </is>
      </c>
      <c r="M57" t="inlineStr">
        <is>
          <t>contact_dedupe</t>
        </is>
      </c>
      <c r="N57" t="inlineStr">
        <is>
          <t>Bulk contact merge</t>
        </is>
      </c>
      <c r="O57" t="inlineStr">
        <is>
          <t>2025-10</t>
        </is>
      </c>
    </row>
    <row r="58">
      <c r="A58" t="inlineStr">
        <is>
          <t>FB-00057</t>
        </is>
      </c>
      <c r="B58" t="inlineStr">
        <is>
          <t>CUST-0099</t>
        </is>
      </c>
      <c r="C58" s="11" t="n">
        <v>45947</v>
      </c>
      <c r="D58" t="inlineStr">
        <is>
          <t>Customer Survey</t>
        </is>
      </c>
      <c r="E58" t="inlineStr">
        <is>
          <t>Starter</t>
        </is>
      </c>
      <c r="F58" t="inlineStr">
        <is>
          <t>Mid-Market</t>
        </is>
      </c>
      <c r="G58" t="inlineStr">
        <is>
          <t>Integrations</t>
        </is>
      </c>
      <c r="H58" t="inlineStr">
        <is>
          <t>Feature Request</t>
        </is>
      </c>
      <c r="I58" t="inlineStr">
        <is>
          <t>Overall we like the product. Lack of a native Slack integration is a gap versus other CRMs we evaluated. It affects our onboarding process every cycle. Happy to beta test.</t>
        </is>
      </c>
      <c r="J58" t="inlineStr">
        <is>
          <t>Positive</t>
        </is>
      </c>
      <c r="K58" t="inlineStr">
        <is>
          <t>Medium</t>
        </is>
      </c>
      <c r="L58" t="inlineStr">
        <is>
          <t>Workflow Slowdown</t>
        </is>
      </c>
      <c r="M58" t="inlineStr">
        <is>
          <t>int_native</t>
        </is>
      </c>
      <c r="N58" t="inlineStr">
        <is>
          <t>Native integrations</t>
        </is>
      </c>
      <c r="O58" t="inlineStr">
        <is>
          <t>2025-10</t>
        </is>
      </c>
    </row>
    <row r="59">
      <c r="A59" t="inlineStr">
        <is>
          <t>FB-00058</t>
        </is>
      </c>
      <c r="B59" t="inlineStr">
        <is>
          <t>CUST-0229</t>
        </is>
      </c>
      <c r="C59" s="11" t="n">
        <v>45947</v>
      </c>
      <c r="D59" t="inlineStr">
        <is>
          <t>Support Ticket</t>
        </is>
      </c>
      <c r="E59" t="inlineStr">
        <is>
          <t>Starter</t>
        </is>
      </c>
      <c r="F59" t="inlineStr">
        <is>
          <t>Mid-Market</t>
        </is>
      </c>
      <c r="G59" t="inlineStr">
        <is>
          <t>Integrations</t>
        </is>
      </c>
      <c r="H59" t="inlineStr">
        <is>
          <t>Integration Issue</t>
        </is>
      </c>
      <c r="I59" t="inlineStr">
        <is>
          <t>Our team keeps running into this. Reps no longer trust email sync, so they log activity by hand. It affects our weekly pipeline review process every cycle. Is there a workaround?</t>
        </is>
      </c>
      <c r="J59" t="inlineStr">
        <is>
          <t>Negative</t>
        </is>
      </c>
      <c r="K59" t="inlineStr">
        <is>
          <t>High</t>
        </is>
      </c>
      <c r="L59" t="inlineStr">
        <is>
          <t>Workflow Slowdown</t>
        </is>
      </c>
      <c r="M59" t="inlineStr">
        <is>
          <t>int_email</t>
        </is>
      </c>
      <c r="N59" t="inlineStr">
        <is>
          <t>Email and calendar sync drops</t>
        </is>
      </c>
      <c r="O59" t="inlineStr">
        <is>
          <t>2025-10</t>
        </is>
      </c>
    </row>
    <row r="60">
      <c r="A60" t="inlineStr">
        <is>
          <t>FB-00059</t>
        </is>
      </c>
      <c r="B60" t="inlineStr">
        <is>
          <t>CUST-0181</t>
        </is>
      </c>
      <c r="C60" s="11" t="n">
        <v>45947</v>
      </c>
      <c r="D60" t="inlineStr">
        <is>
          <t>Support Ticket</t>
        </is>
      </c>
      <c r="E60" t="inlineStr">
        <is>
          <t>Starter</t>
        </is>
      </c>
      <c r="F60" t="inlineStr">
        <is>
          <t>SMB</t>
        </is>
      </c>
      <c r="G60" t="inlineStr">
        <is>
          <t>Workflow Automation</t>
        </is>
      </c>
      <c r="H60" t="inlineStr">
        <is>
          <t>Feature Request</t>
        </is>
      </c>
      <c r="I60" t="inlineStr">
        <is>
          <t>Feedback from our monthly review. We'd adopt automation faster with workflow templates we could customize. It happens about 39 times a week for our team of 36.</t>
        </is>
      </c>
      <c r="J60" t="inlineStr">
        <is>
          <t>Neutral</t>
        </is>
      </c>
      <c r="K60" t="inlineStr">
        <is>
          <t>High</t>
        </is>
      </c>
      <c r="L60" t="inlineStr">
        <is>
          <t>Blocks Key Task</t>
        </is>
      </c>
      <c r="M60" t="inlineStr">
        <is>
          <t>wf_templates</t>
        </is>
      </c>
      <c r="N60" t="inlineStr">
        <is>
          <t>Workflow templates</t>
        </is>
      </c>
      <c r="O60" t="inlineStr">
        <is>
          <t>2025-10</t>
        </is>
      </c>
    </row>
    <row r="61">
      <c r="A61" t="inlineStr">
        <is>
          <t>FB-00060</t>
        </is>
      </c>
      <c r="B61" t="inlineStr">
        <is>
          <t>CUST-0047</t>
        </is>
      </c>
      <c r="C61" s="11" t="n">
        <v>45948</v>
      </c>
      <c r="D61" t="inlineStr">
        <is>
          <t>Customer Survey</t>
        </is>
      </c>
      <c r="E61" t="inlineStr">
        <is>
          <t>Starter</t>
        </is>
      </c>
      <c r="F61" t="inlineStr">
        <is>
          <t>SMB</t>
        </is>
      </c>
      <c r="G61" t="inlineStr">
        <is>
          <t>User Interface</t>
        </is>
      </c>
      <c r="H61" t="inlineStr">
        <is>
          <t>Usability Issue</t>
        </is>
      </c>
      <c r="I61" t="inlineStr">
        <is>
          <t>This has been a recurring problem for us. Too many clicks to reach common screens because of the settings navigation. So far 67 people on our side have reported it. We need a fix before renewal.</t>
        </is>
      </c>
      <c r="J61" t="inlineStr">
        <is>
          <t>Negative</t>
        </is>
      </c>
      <c r="K61" t="inlineStr">
        <is>
          <t>Low</t>
        </is>
      </c>
      <c r="L61" t="inlineStr">
        <is>
          <t>Minor Inconvenience</t>
        </is>
      </c>
      <c r="M61" t="inlineStr">
        <is>
          <t>ui_nav</t>
        </is>
      </c>
      <c r="N61" t="inlineStr">
        <is>
          <t>Cluttered navigation</t>
        </is>
      </c>
      <c r="O61" t="inlineStr">
        <is>
          <t>2025-10</t>
        </is>
      </c>
    </row>
    <row r="62">
      <c r="A62" t="inlineStr">
        <is>
          <t>FB-00061</t>
        </is>
      </c>
      <c r="B62" t="inlineStr">
        <is>
          <t>CUST-0284</t>
        </is>
      </c>
      <c r="C62" s="11" t="n">
        <v>45948</v>
      </c>
      <c r="D62" t="inlineStr">
        <is>
          <t>In-App Feedback</t>
        </is>
      </c>
      <c r="E62" t="inlineStr">
        <is>
          <t>Enterprise</t>
        </is>
      </c>
      <c r="F62" t="inlineStr">
        <is>
          <t>Enterprise</t>
        </is>
      </c>
      <c r="G62" t="inlineStr">
        <is>
          <t>Workflow Automation</t>
        </is>
      </c>
      <c r="H62" t="inlineStr">
        <is>
          <t>Bug</t>
        </is>
      </c>
      <c r="I62" t="inlineStr">
        <is>
          <t>Sharing this from our team. We are hitting automation misfires: emails don't send and nobody gets notified. We estimate we lose roughly 5 hours a month on this.</t>
        </is>
      </c>
      <c r="J62" t="inlineStr">
        <is>
          <t>Neutral</t>
        </is>
      </c>
      <c r="K62" t="inlineStr">
        <is>
          <t>Critical</t>
        </is>
      </c>
      <c r="L62" t="inlineStr">
        <is>
          <t>Blocks Key Task</t>
        </is>
      </c>
      <c r="M62" t="inlineStr">
        <is>
          <t>wf_fail</t>
        </is>
      </c>
      <c r="N62" t="inlineStr">
        <is>
          <t>Workflows failing silently</t>
        </is>
      </c>
      <c r="O62" t="inlineStr">
        <is>
          <t>2025-10</t>
        </is>
      </c>
    </row>
    <row r="63">
      <c r="A63" t="inlineStr">
        <is>
          <t>FB-00062</t>
        </is>
      </c>
      <c r="B63" t="inlineStr">
        <is>
          <t>CUST-0117</t>
        </is>
      </c>
      <c r="C63" s="11" t="n">
        <v>45949</v>
      </c>
      <c r="D63" t="inlineStr">
        <is>
          <t>Customer Survey</t>
        </is>
      </c>
      <c r="E63" t="inlineStr">
        <is>
          <t>Professional</t>
        </is>
      </c>
      <c r="F63" t="inlineStr">
        <is>
          <t>Mid-Market</t>
        </is>
      </c>
      <c r="G63" t="inlineStr">
        <is>
          <t>Workflow Automation</t>
        </is>
      </c>
      <c r="H63" t="inlineStr">
        <is>
          <t>Feature Request</t>
        </is>
      </c>
      <c r="I63" t="inlineStr">
        <is>
          <t>A library of workflow templates would cut our setup time. It happens about 30 times a week for our team of 119. Thanks to the team.</t>
        </is>
      </c>
      <c r="J63" t="inlineStr">
        <is>
          <t>Positive</t>
        </is>
      </c>
      <c r="K63" t="inlineStr">
        <is>
          <t>Medium</t>
        </is>
      </c>
      <c r="L63" t="inlineStr">
        <is>
          <t>Workflow Slowdown</t>
        </is>
      </c>
      <c r="M63" t="inlineStr">
        <is>
          <t>wf_templates</t>
        </is>
      </c>
      <c r="N63" t="inlineStr">
        <is>
          <t>Workflow templates</t>
        </is>
      </c>
      <c r="O63" t="inlineStr">
        <is>
          <t>2025-10</t>
        </is>
      </c>
    </row>
    <row r="64">
      <c r="A64" t="inlineStr">
        <is>
          <t>FB-00063</t>
        </is>
      </c>
      <c r="B64" t="inlineStr">
        <is>
          <t>CUST-0181</t>
        </is>
      </c>
      <c r="C64" s="11" t="n">
        <v>45949</v>
      </c>
      <c r="D64" t="inlineStr">
        <is>
          <t>Customer Survey</t>
        </is>
      </c>
      <c r="E64" t="inlineStr">
        <is>
          <t>Starter</t>
        </is>
      </c>
      <c r="F64" t="inlineStr">
        <is>
          <t>SMB</t>
        </is>
      </c>
      <c r="G64" t="inlineStr">
        <is>
          <t>Contact Management</t>
        </is>
      </c>
      <c r="H64" t="inlineStr">
        <is>
          <t>Bug</t>
        </is>
      </c>
      <c r="I64" t="inlineStr">
        <is>
          <t>The spreadsheet import fails halfway through with a generic error and no row-level detail. It affects our onboarding process every cycle. Please look into it soon.</t>
        </is>
      </c>
      <c r="J64" t="inlineStr">
        <is>
          <t>Negative</t>
        </is>
      </c>
      <c r="K64" t="inlineStr">
        <is>
          <t>Medium</t>
        </is>
      </c>
      <c r="L64" t="inlineStr">
        <is>
          <t>Workflow Slowdown</t>
        </is>
      </c>
      <c r="M64" t="inlineStr">
        <is>
          <t>contact_import</t>
        </is>
      </c>
      <c r="N64" t="inlineStr">
        <is>
          <t>Unreliable contact imports</t>
        </is>
      </c>
      <c r="O64" t="inlineStr">
        <is>
          <t>2025-10</t>
        </is>
      </c>
    </row>
    <row r="65">
      <c r="A65" t="inlineStr">
        <is>
          <t>FB-00064</t>
        </is>
      </c>
      <c r="B65" t="inlineStr">
        <is>
          <t>CUST-0286</t>
        </is>
      </c>
      <c r="C65" s="11" t="n">
        <v>45950</v>
      </c>
      <c r="D65" t="inlineStr">
        <is>
          <t>In-App Feedback</t>
        </is>
      </c>
      <c r="E65" t="inlineStr">
        <is>
          <t>Enterprise</t>
        </is>
      </c>
      <c r="F65" t="inlineStr">
        <is>
          <t>Enterprise</t>
        </is>
      </c>
      <c r="G65" t="inlineStr">
        <is>
          <t>Contact Management</t>
        </is>
      </c>
      <c r="H65" t="inlineStr">
        <is>
          <t>Performance Issue</t>
        </is>
      </c>
      <c r="I65" t="inlineStr">
        <is>
          <t>Feedback from our monthly review. Our contact search is slow and often returns stale results right after an update. Our admin flagged it while onboarding 42 new users.</t>
        </is>
      </c>
      <c r="J65" t="inlineStr">
        <is>
          <t>Neutral</t>
        </is>
      </c>
      <c r="K65" t="inlineStr">
        <is>
          <t>High</t>
        </is>
      </c>
      <c r="L65" t="inlineStr">
        <is>
          <t>Blocks Key Task</t>
        </is>
      </c>
      <c r="M65" t="inlineStr">
        <is>
          <t>contact_search</t>
        </is>
      </c>
      <c r="N65" t="inlineStr">
        <is>
          <t>Slow contact search</t>
        </is>
      </c>
      <c r="O65" t="inlineStr">
        <is>
          <t>2025-10</t>
        </is>
      </c>
    </row>
    <row r="66">
      <c r="A66" t="inlineStr">
        <is>
          <t>FB-00065</t>
        </is>
      </c>
      <c r="B66" t="inlineStr">
        <is>
          <t>CUST-0401</t>
        </is>
      </c>
      <c r="C66" s="11" t="n">
        <v>45951</v>
      </c>
      <c r="D66" t="inlineStr">
        <is>
          <t>Customer Survey</t>
        </is>
      </c>
      <c r="E66" t="inlineStr">
        <is>
          <t>Professional</t>
        </is>
      </c>
      <c r="F66" t="inlineStr">
        <is>
          <t>SMB</t>
        </is>
      </c>
      <c r="G66" t="inlineStr">
        <is>
          <t>Integrations</t>
        </is>
      </c>
      <c r="H66" t="inlineStr">
        <is>
          <t>Integration Issue</t>
        </is>
      </c>
      <c r="I66" t="inlineStr">
        <is>
          <t>Frustrated with this one. Webhook delivery is unreliable and there is no retry or log we can inspect. Our RevOps lead flagged it while onboarding 39 new users. Please look into it soon.</t>
        </is>
      </c>
      <c r="J66" t="inlineStr">
        <is>
          <t>Negative</t>
        </is>
      </c>
      <c r="K66" t="inlineStr">
        <is>
          <t>High</t>
        </is>
      </c>
      <c r="L66" t="inlineStr">
        <is>
          <t>Workflow Slowdown</t>
        </is>
      </c>
      <c r="M66" t="inlineStr">
        <is>
          <t>int_api</t>
        </is>
      </c>
      <c r="N66" t="inlineStr">
        <is>
          <t>API limits and webhook failures</t>
        </is>
      </c>
      <c r="O66" t="inlineStr">
        <is>
          <t>2025-10</t>
        </is>
      </c>
    </row>
    <row r="67">
      <c r="A67" t="inlineStr">
        <is>
          <t>FB-00066</t>
        </is>
      </c>
      <c r="B67" t="inlineStr">
        <is>
          <t>CUST-0345</t>
        </is>
      </c>
      <c r="C67" s="11" t="n">
        <v>45951</v>
      </c>
      <c r="D67" t="inlineStr">
        <is>
          <t>In-App Feedback</t>
        </is>
      </c>
      <c r="E67" t="inlineStr">
        <is>
          <t>Enterprise</t>
        </is>
      </c>
      <c r="F67" t="inlineStr">
        <is>
          <t>Enterprise</t>
        </is>
      </c>
      <c r="G67" t="inlineStr">
        <is>
          <t>Reporting</t>
        </is>
      </c>
      <c r="H67" t="inlineStr">
        <is>
          <t>Bug</t>
        </is>
      </c>
      <c r="I67" t="inlineStr">
        <is>
          <t>Great support experience recently. Finance can't rely on the report export; totals don't match the screen. It happens about 35 times a week for our team of 32.</t>
        </is>
      </c>
      <c r="J67" t="inlineStr">
        <is>
          <t>Positive</t>
        </is>
      </c>
      <c r="K67" t="inlineStr">
        <is>
          <t>Low</t>
        </is>
      </c>
      <c r="L67" t="inlineStr">
        <is>
          <t>Minor Inconvenience</t>
        </is>
      </c>
      <c r="M67" t="inlineStr">
        <is>
          <t>rep_export</t>
        </is>
      </c>
      <c r="N67" t="inlineStr">
        <is>
          <t>Broken report exports</t>
        </is>
      </c>
      <c r="O67" t="inlineStr">
        <is>
          <t>2025-10</t>
        </is>
      </c>
    </row>
    <row r="68">
      <c r="A68" t="inlineStr">
        <is>
          <t>FB-00067</t>
        </is>
      </c>
      <c r="B68" t="inlineStr">
        <is>
          <t>CUST-0306</t>
        </is>
      </c>
      <c r="C68" s="11" t="n">
        <v>45952</v>
      </c>
      <c r="D68" t="inlineStr">
        <is>
          <t>Customer Survey</t>
        </is>
      </c>
      <c r="E68" t="inlineStr">
        <is>
          <t>Professional</t>
        </is>
      </c>
      <c r="F68" t="inlineStr">
        <is>
          <t>SMB</t>
        </is>
      </c>
      <c r="G68" t="inlineStr">
        <is>
          <t>User Interface</t>
        </is>
      </c>
      <c r="H68" t="inlineStr">
        <is>
          <t>Feature Request</t>
        </is>
      </c>
      <c r="I68" t="inlineStr">
        <is>
          <t>Requesting bulk actions on lists across every list view. Happy to join a feedback call.</t>
        </is>
      </c>
      <c r="J68" t="inlineStr">
        <is>
          <t>Neutral</t>
        </is>
      </c>
      <c r="K68" t="inlineStr">
        <is>
          <t>Low</t>
        </is>
      </c>
      <c r="L68" t="inlineStr">
        <is>
          <t>Minor Inconvenience</t>
        </is>
      </c>
      <c r="M68" t="inlineStr">
        <is>
          <t>ui_bulk</t>
        </is>
      </c>
      <c r="N68" t="inlineStr">
        <is>
          <t>Bulk actions</t>
        </is>
      </c>
      <c r="O68" t="inlineStr">
        <is>
          <t>2025-10</t>
        </is>
      </c>
    </row>
    <row r="69">
      <c r="A69" t="inlineStr">
        <is>
          <t>FB-00068</t>
        </is>
      </c>
      <c r="B69" t="inlineStr">
        <is>
          <t>CUST-0055</t>
        </is>
      </c>
      <c r="C69" s="11" t="n">
        <v>45952</v>
      </c>
      <c r="D69" t="inlineStr">
        <is>
          <t>Feature Request</t>
        </is>
      </c>
      <c r="E69" t="inlineStr">
        <is>
          <t>Professional</t>
        </is>
      </c>
      <c r="F69" t="inlineStr">
        <is>
          <t>Mid-Market</t>
        </is>
      </c>
      <c r="G69" t="inlineStr">
        <is>
          <t>User Interface</t>
        </is>
      </c>
      <c r="H69" t="inlineStr">
        <is>
          <t>Feature Request</t>
        </is>
      </c>
      <c r="I69" t="inlineStr">
        <is>
          <t>Escalating on behalf of our ops lead. Please prioritize a mobile app; the mobile web view is hard to use. We need a fix before renewal.</t>
        </is>
      </c>
      <c r="J69" t="inlineStr">
        <is>
          <t>Negative</t>
        </is>
      </c>
      <c r="K69" t="inlineStr">
        <is>
          <t>Medium</t>
        </is>
      </c>
      <c r="L69" t="inlineStr">
        <is>
          <t>Workflow Slowdown</t>
        </is>
      </c>
      <c r="M69" t="inlineStr">
        <is>
          <t>ui_mobile</t>
        </is>
      </c>
      <c r="N69" t="inlineStr">
        <is>
          <t>Mobile app</t>
        </is>
      </c>
      <c r="O69" t="inlineStr">
        <is>
          <t>2025-10</t>
        </is>
      </c>
    </row>
    <row r="70">
      <c r="A70" t="inlineStr">
        <is>
          <t>FB-00069</t>
        </is>
      </c>
      <c r="B70" t="inlineStr">
        <is>
          <t>CUST-0325</t>
        </is>
      </c>
      <c r="C70" s="11" t="n">
        <v>45952</v>
      </c>
      <c r="D70" t="inlineStr">
        <is>
          <t>Feature Request</t>
        </is>
      </c>
      <c r="E70" t="inlineStr">
        <is>
          <t>Starter</t>
        </is>
      </c>
      <c r="F70" t="inlineStr">
        <is>
          <t>SMB</t>
        </is>
      </c>
      <c r="G70" t="inlineStr">
        <is>
          <t>User Interface</t>
        </is>
      </c>
      <c r="H70" t="inlineStr">
        <is>
          <t>Feature Request</t>
        </is>
      </c>
      <c r="I70" t="inlineStr">
        <is>
          <t>Our field reps need mobile call logging to update deals between visits. It affects our onboarding process every cycle. Let us know if you need examples.</t>
        </is>
      </c>
      <c r="J70" t="inlineStr">
        <is>
          <t>Neutral</t>
        </is>
      </c>
      <c r="K70" t="inlineStr">
        <is>
          <t>Low</t>
        </is>
      </c>
      <c r="L70" t="inlineStr">
        <is>
          <t>Minor Inconvenience</t>
        </is>
      </c>
      <c r="M70" t="inlineStr">
        <is>
          <t>ui_mobile</t>
        </is>
      </c>
      <c r="N70" t="inlineStr">
        <is>
          <t>Mobile app</t>
        </is>
      </c>
      <c r="O70" t="inlineStr">
        <is>
          <t>2025-10</t>
        </is>
      </c>
    </row>
    <row r="71">
      <c r="A71" t="inlineStr">
        <is>
          <t>FB-00070</t>
        </is>
      </c>
      <c r="B71" t="inlineStr">
        <is>
          <t>CUST-0146</t>
        </is>
      </c>
      <c r="C71" s="11" t="n">
        <v>45952</v>
      </c>
      <c r="D71" t="inlineStr">
        <is>
          <t>Support Ticket</t>
        </is>
      </c>
      <c r="E71" t="inlineStr">
        <is>
          <t>Starter</t>
        </is>
      </c>
      <c r="F71" t="inlineStr">
        <is>
          <t>SMB</t>
        </is>
      </c>
      <c r="G71" t="inlineStr">
        <is>
          <t>User Interface</t>
        </is>
      </c>
      <c r="H71" t="inlineStr">
        <is>
          <t>Feature Request</t>
        </is>
      </c>
      <c r="I71" t="inlineStr">
        <is>
          <t>Overall we like the product. Requesting a mobile app so reps can log activity right after a meeting.</t>
        </is>
      </c>
      <c r="J71" t="inlineStr">
        <is>
          <t>Positive</t>
        </is>
      </c>
      <c r="K71" t="inlineStr">
        <is>
          <t>Low</t>
        </is>
      </c>
      <c r="L71" t="inlineStr">
        <is>
          <t>Workflow Slowdown</t>
        </is>
      </c>
      <c r="M71" t="inlineStr">
        <is>
          <t>ui_mobile</t>
        </is>
      </c>
      <c r="N71" t="inlineStr">
        <is>
          <t>Mobile app</t>
        </is>
      </c>
      <c r="O71" t="inlineStr">
        <is>
          <t>2025-10</t>
        </is>
      </c>
    </row>
    <row r="72">
      <c r="A72" t="inlineStr">
        <is>
          <t>FB-00071</t>
        </is>
      </c>
      <c r="B72" t="inlineStr">
        <is>
          <t>CUST-0136</t>
        </is>
      </c>
      <c r="C72" s="11" t="n">
        <v>45953</v>
      </c>
      <c r="D72" t="inlineStr">
        <is>
          <t>Customer Survey</t>
        </is>
      </c>
      <c r="E72" t="inlineStr">
        <is>
          <t>Starter</t>
        </is>
      </c>
      <c r="F72" t="inlineStr">
        <is>
          <t>SMB</t>
        </is>
      </c>
      <c r="G72" t="inlineStr">
        <is>
          <t>Reporting</t>
        </is>
      </c>
      <c r="H72" t="inlineStr">
        <is>
          <t>Feature Request</t>
        </is>
      </c>
      <c r="I72" t="inlineStr">
        <is>
          <t>We need a custom report builder so non-technical managers can create their own views. Support suggested logging it here.</t>
        </is>
      </c>
      <c r="J72" t="inlineStr">
        <is>
          <t>Negative</t>
        </is>
      </c>
      <c r="K72" t="inlineStr">
        <is>
          <t>Low</t>
        </is>
      </c>
      <c r="L72" t="inlineStr">
        <is>
          <t>Workflow Slowdown</t>
        </is>
      </c>
      <c r="M72" t="inlineStr">
        <is>
          <t>rep_custom</t>
        </is>
      </c>
      <c r="N72" t="inlineStr">
        <is>
          <t>Custom and scheduled reports</t>
        </is>
      </c>
      <c r="O72" t="inlineStr">
        <is>
          <t>2025-10</t>
        </is>
      </c>
    </row>
    <row r="73">
      <c r="A73" t="inlineStr">
        <is>
          <t>FB-00072</t>
        </is>
      </c>
      <c r="B73" t="inlineStr">
        <is>
          <t>CUST-0108</t>
        </is>
      </c>
      <c r="C73" s="11" t="n">
        <v>45953</v>
      </c>
      <c r="D73" t="inlineStr">
        <is>
          <t>Customer Survey</t>
        </is>
      </c>
      <c r="E73" t="inlineStr">
        <is>
          <t>Enterprise</t>
        </is>
      </c>
      <c r="F73" t="inlineStr">
        <is>
          <t>Mid-Market</t>
        </is>
      </c>
      <c r="G73" t="inlineStr">
        <is>
          <t>Integrations</t>
        </is>
      </c>
      <c r="H73" t="inlineStr">
        <is>
          <t>Integration Issue</t>
        </is>
      </c>
      <c r="I73" t="inlineStr">
        <is>
          <t>Our Gmail sync keeps disconnecting and activities are missing from the contact timeline. So far 67 people on our side have reported it.</t>
        </is>
      </c>
      <c r="J73" t="inlineStr">
        <is>
          <t>Negative</t>
        </is>
      </c>
      <c r="K73" t="inlineStr">
        <is>
          <t>Medium</t>
        </is>
      </c>
      <c r="L73" t="inlineStr">
        <is>
          <t>Workflow Slowdown</t>
        </is>
      </c>
      <c r="M73" t="inlineStr">
        <is>
          <t>int_email</t>
        </is>
      </c>
      <c r="N73" t="inlineStr">
        <is>
          <t>Email and calendar sync drops</t>
        </is>
      </c>
      <c r="O73" t="inlineStr">
        <is>
          <t>2025-10</t>
        </is>
      </c>
    </row>
    <row r="74">
      <c r="A74" t="inlineStr">
        <is>
          <t>FB-00073</t>
        </is>
      </c>
      <c r="B74" t="inlineStr">
        <is>
          <t>CUST-0235</t>
        </is>
      </c>
      <c r="C74" s="11" t="n">
        <v>45953</v>
      </c>
      <c r="D74" t="inlineStr">
        <is>
          <t>Support Ticket</t>
        </is>
      </c>
      <c r="E74" t="inlineStr">
        <is>
          <t>Enterprise</t>
        </is>
      </c>
      <c r="F74" t="inlineStr">
        <is>
          <t>Mid-Market</t>
        </is>
      </c>
      <c r="G74" t="inlineStr">
        <is>
          <t>Integrations</t>
        </is>
      </c>
      <c r="H74" t="inlineStr">
        <is>
          <t>Integration Issue</t>
        </is>
      </c>
      <c r="I74" t="inlineStr">
        <is>
          <t>Not what we expected for the price. API timeouts is unreliable and there is no retry or log we can inspect. It affects our month-end reporting process every cycle. We need a fix before renewal.</t>
        </is>
      </c>
      <c r="J74" t="inlineStr">
        <is>
          <t>Negative</t>
        </is>
      </c>
      <c r="K74" t="inlineStr">
        <is>
          <t>Low</t>
        </is>
      </c>
      <c r="L74" t="inlineStr">
        <is>
          <t>Minor Inconvenience</t>
        </is>
      </c>
      <c r="M74" t="inlineStr">
        <is>
          <t>int_api</t>
        </is>
      </c>
      <c r="N74" t="inlineStr">
        <is>
          <t>API limits and webhook failures</t>
        </is>
      </c>
      <c r="O74" t="inlineStr">
        <is>
          <t>2025-10</t>
        </is>
      </c>
    </row>
    <row r="75">
      <c r="A75" t="inlineStr">
        <is>
          <t>FB-00074</t>
        </is>
      </c>
      <c r="B75" t="inlineStr">
        <is>
          <t>CUST-0196</t>
        </is>
      </c>
      <c r="C75" s="11" t="n">
        <v>45953</v>
      </c>
      <c r="D75" t="inlineStr">
        <is>
          <t>Support Ticket</t>
        </is>
      </c>
      <c r="E75" t="inlineStr">
        <is>
          <t>Enterprise</t>
        </is>
      </c>
      <c r="F75" t="inlineStr">
        <is>
          <t>Enterprise</t>
        </is>
      </c>
      <c r="G75" t="inlineStr">
        <is>
          <t>User Interface</t>
        </is>
      </c>
      <c r="H75" t="inlineStr">
        <is>
          <t>Performance Issue</t>
        </is>
      </c>
      <c r="I75" t="inlineStr">
        <is>
          <t>FYI for the product team. Since the redesign there is more page lag on older laptops. We estimate we lose roughly 23 hours a month on this. Let us know if you need examples.</t>
        </is>
      </c>
      <c r="J75" t="inlineStr">
        <is>
          <t>Neutral</t>
        </is>
      </c>
      <c r="K75" t="inlineStr">
        <is>
          <t>Critical</t>
        </is>
      </c>
      <c r="L75" t="inlineStr">
        <is>
          <t>Revenue/Operations Risk</t>
        </is>
      </c>
      <c r="M75" t="inlineStr">
        <is>
          <t>ui_perf</t>
        </is>
      </c>
      <c r="N75" t="inlineStr">
        <is>
          <t>Laggy pages</t>
        </is>
      </c>
      <c r="O75" t="inlineStr">
        <is>
          <t>2025-10</t>
        </is>
      </c>
    </row>
    <row r="76">
      <c r="A76" t="inlineStr">
        <is>
          <t>FB-00075</t>
        </is>
      </c>
      <c r="B76" t="inlineStr">
        <is>
          <t>CUST-0322</t>
        </is>
      </c>
      <c r="C76" s="11" t="n">
        <v>45954</v>
      </c>
      <c r="D76" t="inlineStr">
        <is>
          <t>Support Ticket</t>
        </is>
      </c>
      <c r="E76" t="inlineStr">
        <is>
          <t>Starter</t>
        </is>
      </c>
      <c r="F76" t="inlineStr">
        <is>
          <t>SMB</t>
        </is>
      </c>
      <c r="G76" t="inlineStr">
        <is>
          <t>Lead Management</t>
        </is>
      </c>
      <c r="H76" t="inlineStr">
        <is>
          <t>Performance Issue</t>
        </is>
      </c>
      <c r="I76" t="inlineStr">
        <is>
          <t>Complaint about pipeline board loading: the board freezes while cards render. Our sales manager flagged it while onboarding 45 new users. Let us know if you need examples.</t>
        </is>
      </c>
      <c r="J76" t="inlineStr">
        <is>
          <t>Neutral</t>
        </is>
      </c>
      <c r="K76" t="inlineStr">
        <is>
          <t>Critical</t>
        </is>
      </c>
      <c r="L76" t="inlineStr">
        <is>
          <t>Revenue/Operations Risk</t>
        </is>
      </c>
      <c r="M76" t="inlineStr">
        <is>
          <t>lead_slow</t>
        </is>
      </c>
      <c r="N76" t="inlineStr">
        <is>
          <t>Slow lead lists and pipeline board</t>
        </is>
      </c>
      <c r="O76" t="inlineStr">
        <is>
          <t>2025-10</t>
        </is>
      </c>
    </row>
    <row r="77">
      <c r="A77" t="inlineStr">
        <is>
          <t>FB-00076</t>
        </is>
      </c>
      <c r="B77" t="inlineStr">
        <is>
          <t>CUST-0203</t>
        </is>
      </c>
      <c r="C77" s="11" t="n">
        <v>45954</v>
      </c>
      <c r="D77" t="inlineStr">
        <is>
          <t>Feature Request</t>
        </is>
      </c>
      <c r="E77" t="inlineStr">
        <is>
          <t>Professional</t>
        </is>
      </c>
      <c r="F77" t="inlineStr">
        <is>
          <t>Mid-Market</t>
        </is>
      </c>
      <c r="G77" t="inlineStr">
        <is>
          <t>Reporting</t>
        </is>
      </c>
      <c r="H77" t="inlineStr">
        <is>
          <t>Feature Request</t>
        </is>
      </c>
      <c r="I77" t="inlineStr">
        <is>
          <t>Overall we like the product. We need scheduled report emails so non-technical managers can create their own views. Keep up the good work.</t>
        </is>
      </c>
      <c r="J77" t="inlineStr">
        <is>
          <t>Positive</t>
        </is>
      </c>
      <c r="K77" t="inlineStr">
        <is>
          <t>Low</t>
        </is>
      </c>
      <c r="L77" t="inlineStr">
        <is>
          <t>Minor Inconvenience</t>
        </is>
      </c>
      <c r="M77" t="inlineStr">
        <is>
          <t>rep_custom</t>
        </is>
      </c>
      <c r="N77" t="inlineStr">
        <is>
          <t>Custom and scheduled reports</t>
        </is>
      </c>
      <c r="O77" t="inlineStr">
        <is>
          <t>2025-10</t>
        </is>
      </c>
    </row>
    <row r="78">
      <c r="A78" t="inlineStr">
        <is>
          <t>FB-00077</t>
        </is>
      </c>
      <c r="B78" t="inlineStr">
        <is>
          <t>CUST-0224</t>
        </is>
      </c>
      <c r="C78" s="11" t="n">
        <v>45954</v>
      </c>
      <c r="D78" t="inlineStr">
        <is>
          <t>Feature Request</t>
        </is>
      </c>
      <c r="E78" t="inlineStr">
        <is>
          <t>Enterprise</t>
        </is>
      </c>
      <c r="F78" t="inlineStr">
        <is>
          <t>Mid-Market</t>
        </is>
      </c>
      <c r="G78" t="inlineStr">
        <is>
          <t>Reporting</t>
        </is>
      </c>
      <c r="H78" t="inlineStr">
        <is>
          <t>Feature Request</t>
        </is>
      </c>
      <c r="I78" t="inlineStr">
        <is>
          <t>Please add scheduled report emails; today an analyst rebuilds the same report every week. Let us know if you need examples.</t>
        </is>
      </c>
      <c r="J78" t="inlineStr">
        <is>
          <t>Neutral</t>
        </is>
      </c>
      <c r="K78" t="inlineStr">
        <is>
          <t>Low</t>
        </is>
      </c>
      <c r="L78" t="inlineStr">
        <is>
          <t>Workflow Slowdown</t>
        </is>
      </c>
      <c r="M78" t="inlineStr">
        <is>
          <t>rep_custom</t>
        </is>
      </c>
      <c r="N78" t="inlineStr">
        <is>
          <t>Custom and scheduled reports</t>
        </is>
      </c>
      <c r="O78" t="inlineStr">
        <is>
          <t>2025-10</t>
        </is>
      </c>
    </row>
    <row r="79">
      <c r="A79" t="inlineStr">
        <is>
          <t>FB-00078</t>
        </is>
      </c>
      <c r="B79" t="inlineStr">
        <is>
          <t>CUST-0022</t>
        </is>
      </c>
      <c r="C79" s="11" t="n">
        <v>45954</v>
      </c>
      <c r="D79" t="inlineStr">
        <is>
          <t>Support Ticket</t>
        </is>
      </c>
      <c r="E79" t="inlineStr">
        <is>
          <t>Starter</t>
        </is>
      </c>
      <c r="F79" t="inlineStr">
        <is>
          <t>SMB</t>
        </is>
      </c>
      <c r="G79" t="inlineStr">
        <is>
          <t>Lead Management</t>
        </is>
      </c>
      <c r="H79" t="inlineStr">
        <is>
          <t>Bug</t>
        </is>
      </c>
      <c r="I79" t="inlineStr">
        <is>
          <t>After every list import we find lead de-duplication failures that have to be cleaned up by hand. So far 43 people on our side have reported it. Is there a workaround?</t>
        </is>
      </c>
      <c r="J79" t="inlineStr">
        <is>
          <t>Negative</t>
        </is>
      </c>
      <c r="K79" t="inlineStr">
        <is>
          <t>Medium</t>
        </is>
      </c>
      <c r="L79" t="inlineStr">
        <is>
          <t>Workflow Slowdown</t>
        </is>
      </c>
      <c r="M79" t="inlineStr">
        <is>
          <t>lead_dup</t>
        </is>
      </c>
      <c r="N79" t="inlineStr">
        <is>
          <t>Duplicate leads created</t>
        </is>
      </c>
      <c r="O79" t="inlineStr">
        <is>
          <t>2025-10</t>
        </is>
      </c>
    </row>
    <row r="80">
      <c r="A80" t="inlineStr">
        <is>
          <t>FB-00079</t>
        </is>
      </c>
      <c r="B80" t="inlineStr">
        <is>
          <t>CUST-0355</t>
        </is>
      </c>
      <c r="C80" s="11" t="n">
        <v>45954</v>
      </c>
      <c r="D80" t="inlineStr">
        <is>
          <t>Support Ticket</t>
        </is>
      </c>
      <c r="E80" t="inlineStr">
        <is>
          <t>Starter</t>
        </is>
      </c>
      <c r="F80" t="inlineStr">
        <is>
          <t>Mid-Market</t>
        </is>
      </c>
      <c r="G80" t="inlineStr">
        <is>
          <t>Contact Management</t>
        </is>
      </c>
      <c r="H80" t="inlineStr">
        <is>
          <t>Performance Issue</t>
        </is>
      </c>
      <c r="I80" t="inlineStr">
        <is>
          <t>The saved contact filters times out on our largest accounts. It affects our lead handoff process every cycle.</t>
        </is>
      </c>
      <c r="J80" t="inlineStr">
        <is>
          <t>Neutral</t>
        </is>
      </c>
      <c r="K80" t="inlineStr">
        <is>
          <t>High</t>
        </is>
      </c>
      <c r="L80" t="inlineStr">
        <is>
          <t>Workflow Slowdown</t>
        </is>
      </c>
      <c r="M80" t="inlineStr">
        <is>
          <t>contact_search</t>
        </is>
      </c>
      <c r="N80" t="inlineStr">
        <is>
          <t>Slow contact search</t>
        </is>
      </c>
      <c r="O80" t="inlineStr">
        <is>
          <t>2025-10</t>
        </is>
      </c>
    </row>
    <row r="81">
      <c r="A81" t="inlineStr">
        <is>
          <t>FB-00080</t>
        </is>
      </c>
      <c r="B81" t="inlineStr">
        <is>
          <t>CUST-0055</t>
        </is>
      </c>
      <c r="C81" s="11" t="n">
        <v>45954</v>
      </c>
      <c r="D81" t="inlineStr">
        <is>
          <t>In-App Feedback</t>
        </is>
      </c>
      <c r="E81" t="inlineStr">
        <is>
          <t>Professional</t>
        </is>
      </c>
      <c r="F81" t="inlineStr">
        <is>
          <t>Mid-Market</t>
        </is>
      </c>
      <c r="G81" t="inlineStr">
        <is>
          <t>Reporting</t>
        </is>
      </c>
      <c r="H81" t="inlineStr">
        <is>
          <t>Bug</t>
        </is>
      </c>
      <c r="I81" t="inlineStr">
        <is>
          <t>This has been a recurring problem for us. Finance can't rely on the Excel export; totals don't match the screen. We estimate we lose roughly 47 hours a month on this. Is there a workaround?</t>
        </is>
      </c>
      <c r="J81" t="inlineStr">
        <is>
          <t>Negative</t>
        </is>
      </c>
      <c r="K81" t="inlineStr">
        <is>
          <t>High</t>
        </is>
      </c>
      <c r="L81" t="inlineStr">
        <is>
          <t>Blocks Key Task</t>
        </is>
      </c>
      <c r="M81" t="inlineStr">
        <is>
          <t>rep_export</t>
        </is>
      </c>
      <c r="N81" t="inlineStr">
        <is>
          <t>Broken report exports</t>
        </is>
      </c>
      <c r="O81" t="inlineStr">
        <is>
          <t>2025-10</t>
        </is>
      </c>
    </row>
    <row r="82">
      <c r="A82" t="inlineStr">
        <is>
          <t>FB-00081</t>
        </is>
      </c>
      <c r="B82" t="inlineStr">
        <is>
          <t>CUST-0069</t>
        </is>
      </c>
      <c r="C82" s="11" t="n">
        <v>45955</v>
      </c>
      <c r="D82" t="inlineStr">
        <is>
          <t>Customer Survey</t>
        </is>
      </c>
      <c r="E82" t="inlineStr">
        <is>
          <t>Starter</t>
        </is>
      </c>
      <c r="F82" t="inlineStr">
        <is>
          <t>Mid-Market</t>
        </is>
      </c>
      <c r="G82" t="inlineStr">
        <is>
          <t>Lead Management</t>
        </is>
      </c>
      <c r="H82" t="inlineStr">
        <is>
          <t>Bug</t>
        </is>
      </c>
      <c r="I82" t="inlineStr">
        <is>
          <t>Sharing this from our team. After every list import we find duplicated leads that have to be cleaned up by hand. Our customer success lead flagged it while onboarding 113 new users.</t>
        </is>
      </c>
      <c r="J82" t="inlineStr">
        <is>
          <t>Neutral</t>
        </is>
      </c>
      <c r="K82" t="inlineStr">
        <is>
          <t>Medium</t>
        </is>
      </c>
      <c r="L82" t="inlineStr">
        <is>
          <t>Workflow Slowdown</t>
        </is>
      </c>
      <c r="M82" t="inlineStr">
        <is>
          <t>lead_dup</t>
        </is>
      </c>
      <c r="N82" t="inlineStr">
        <is>
          <t>Duplicate leads created</t>
        </is>
      </c>
      <c r="O82" t="inlineStr">
        <is>
          <t>2025-10</t>
        </is>
      </c>
    </row>
    <row r="83">
      <c r="A83" t="inlineStr">
        <is>
          <t>FB-00082</t>
        </is>
      </c>
      <c r="B83" t="inlineStr">
        <is>
          <t>CUST-0158</t>
        </is>
      </c>
      <c r="C83" s="11" t="n">
        <v>45955</v>
      </c>
      <c r="D83" t="inlineStr">
        <is>
          <t>Customer Survey</t>
        </is>
      </c>
      <c r="E83" t="inlineStr">
        <is>
          <t>Starter</t>
        </is>
      </c>
      <c r="F83" t="inlineStr">
        <is>
          <t>SMB</t>
        </is>
      </c>
      <c r="G83" t="inlineStr">
        <is>
          <t>Reporting</t>
        </is>
      </c>
      <c r="H83" t="inlineStr">
        <is>
          <t>Performance Issue</t>
        </is>
      </c>
      <c r="I83" t="inlineStr">
        <is>
          <t>The report load time is painfully slow with a full year of data.</t>
        </is>
      </c>
      <c r="J83" t="inlineStr">
        <is>
          <t>Neutral</t>
        </is>
      </c>
      <c r="K83" t="inlineStr">
        <is>
          <t>Medium</t>
        </is>
      </c>
      <c r="L83" t="inlineStr">
        <is>
          <t>Blocks Key Task</t>
        </is>
      </c>
      <c r="M83" t="inlineStr">
        <is>
          <t>rep_slow</t>
        </is>
      </c>
      <c r="N83" t="inlineStr">
        <is>
          <t>Slow dashboards</t>
        </is>
      </c>
      <c r="O83" t="inlineStr">
        <is>
          <t>2025-10</t>
        </is>
      </c>
    </row>
    <row r="84">
      <c r="A84" t="inlineStr">
        <is>
          <t>FB-00083</t>
        </is>
      </c>
      <c r="B84" t="inlineStr">
        <is>
          <t>CUST-0315</t>
        </is>
      </c>
      <c r="C84" s="11" t="n">
        <v>45955</v>
      </c>
      <c r="D84" t="inlineStr">
        <is>
          <t>Support Ticket</t>
        </is>
      </c>
      <c r="E84" t="inlineStr">
        <is>
          <t>Professional</t>
        </is>
      </c>
      <c r="F84" t="inlineStr">
        <is>
          <t>SMB</t>
        </is>
      </c>
      <c r="G84" t="inlineStr">
        <is>
          <t>Integrations</t>
        </is>
      </c>
      <c r="H84" t="inlineStr">
        <is>
          <t>Integration Issue</t>
        </is>
      </c>
      <c r="I84" t="inlineStr">
        <is>
          <t>Our email sync keeps disconnecting and activities are missing from the contact timeline. It affects our month-end reporting process every cycle.</t>
        </is>
      </c>
      <c r="J84" t="inlineStr">
        <is>
          <t>Negative</t>
        </is>
      </c>
      <c r="K84" t="inlineStr">
        <is>
          <t>High</t>
        </is>
      </c>
      <c r="L84" t="inlineStr">
        <is>
          <t>Workflow Slowdown</t>
        </is>
      </c>
      <c r="M84" t="inlineStr">
        <is>
          <t>int_email</t>
        </is>
      </c>
      <c r="N84" t="inlineStr">
        <is>
          <t>Email and calendar sync drops</t>
        </is>
      </c>
      <c r="O84" t="inlineStr">
        <is>
          <t>2025-10</t>
        </is>
      </c>
    </row>
    <row r="85">
      <c r="A85" t="inlineStr">
        <is>
          <t>FB-00084</t>
        </is>
      </c>
      <c r="B85" t="inlineStr">
        <is>
          <t>CUST-0394</t>
        </is>
      </c>
      <c r="C85" s="11" t="n">
        <v>45955</v>
      </c>
      <c r="D85" t="inlineStr">
        <is>
          <t>Customer Survey</t>
        </is>
      </c>
      <c r="E85" t="inlineStr">
        <is>
          <t>Enterprise</t>
        </is>
      </c>
      <c r="F85" t="inlineStr">
        <is>
          <t>Enterprise</t>
        </is>
      </c>
      <c r="G85" t="inlineStr">
        <is>
          <t>Integrations</t>
        </is>
      </c>
      <c r="H85" t="inlineStr">
        <is>
          <t>Feature Request</t>
        </is>
      </c>
      <c r="I85" t="inlineStr">
        <is>
          <t>Happy with most of the product. Our security team requires SCIM provisioning before we can expand seats. So far 13 people on our side have reported it. Keep up the good work.</t>
        </is>
      </c>
      <c r="J85" t="inlineStr">
        <is>
          <t>Positive</t>
        </is>
      </c>
      <c r="K85" t="inlineStr">
        <is>
          <t>Low</t>
        </is>
      </c>
      <c r="L85" t="inlineStr">
        <is>
          <t>Minor Inconvenience</t>
        </is>
      </c>
      <c r="M85" t="inlineStr">
        <is>
          <t>int_sso</t>
        </is>
      </c>
      <c r="N85" t="inlineStr">
        <is>
          <t>SSO and provisioning</t>
        </is>
      </c>
      <c r="O85" t="inlineStr">
        <is>
          <t>2025-10</t>
        </is>
      </c>
    </row>
    <row r="86">
      <c r="A86" t="inlineStr">
        <is>
          <t>FB-00085</t>
        </is>
      </c>
      <c r="B86" t="inlineStr">
        <is>
          <t>CUST-0251</t>
        </is>
      </c>
      <c r="C86" s="11" t="n">
        <v>45955</v>
      </c>
      <c r="D86" t="inlineStr">
        <is>
          <t>Feature Request</t>
        </is>
      </c>
      <c r="E86" t="inlineStr">
        <is>
          <t>Professional</t>
        </is>
      </c>
      <c r="F86" t="inlineStr">
        <is>
          <t>Mid-Market</t>
        </is>
      </c>
      <c r="G86" t="inlineStr">
        <is>
          <t>Integrations</t>
        </is>
      </c>
      <c r="H86" t="inlineStr">
        <is>
          <t>Feature Request</t>
        </is>
      </c>
      <c r="I86" t="inlineStr">
        <is>
          <t>Sharing this from our team. Please build a native Slack integration; our team copies data across systems daily.</t>
        </is>
      </c>
      <c r="J86" t="inlineStr">
        <is>
          <t>Neutral</t>
        </is>
      </c>
      <c r="K86" t="inlineStr">
        <is>
          <t>Low</t>
        </is>
      </c>
      <c r="L86" t="inlineStr">
        <is>
          <t>Workflow Slowdown</t>
        </is>
      </c>
      <c r="M86" t="inlineStr">
        <is>
          <t>int_native</t>
        </is>
      </c>
      <c r="N86" t="inlineStr">
        <is>
          <t>Native integrations</t>
        </is>
      </c>
      <c r="O86" t="inlineStr">
        <is>
          <t>2025-10</t>
        </is>
      </c>
    </row>
    <row r="87">
      <c r="A87" t="inlineStr">
        <is>
          <t>FB-00086</t>
        </is>
      </c>
      <c r="B87" t="inlineStr">
        <is>
          <t>CUST-0049</t>
        </is>
      </c>
      <c r="C87" s="11" t="n">
        <v>45955</v>
      </c>
      <c r="D87" t="inlineStr">
        <is>
          <t>In-App Feedback</t>
        </is>
      </c>
      <c r="E87" t="inlineStr">
        <is>
          <t>Starter</t>
        </is>
      </c>
      <c r="F87" t="inlineStr">
        <is>
          <t>SMB</t>
        </is>
      </c>
      <c r="G87" t="inlineStr">
        <is>
          <t>User Interface</t>
        </is>
      </c>
      <c r="H87" t="inlineStr">
        <is>
          <t>Feature Request</t>
        </is>
      </c>
      <c r="I87" t="inlineStr">
        <is>
          <t>Happy with most of the product. Requesting mobile call logging so reps can log activity right after a meeting. It happens about 2 times a week for our team of 109.</t>
        </is>
      </c>
      <c r="J87" t="inlineStr">
        <is>
          <t>Positive</t>
        </is>
      </c>
      <c r="K87" t="inlineStr">
        <is>
          <t>Low</t>
        </is>
      </c>
      <c r="L87" t="inlineStr">
        <is>
          <t>Minor Inconvenience</t>
        </is>
      </c>
      <c r="M87" t="inlineStr">
        <is>
          <t>ui_mobile</t>
        </is>
      </c>
      <c r="N87" t="inlineStr">
        <is>
          <t>Mobile app</t>
        </is>
      </c>
      <c r="O87" t="inlineStr">
        <is>
          <t>2025-10</t>
        </is>
      </c>
    </row>
    <row r="88">
      <c r="A88" t="inlineStr">
        <is>
          <t>FB-00087</t>
        </is>
      </c>
      <c r="B88" t="inlineStr">
        <is>
          <t>CUST-0084</t>
        </is>
      </c>
      <c r="C88" s="11" t="n">
        <v>45956</v>
      </c>
      <c r="D88" t="inlineStr">
        <is>
          <t>Customer Survey</t>
        </is>
      </c>
      <c r="E88" t="inlineStr">
        <is>
          <t>Enterprise</t>
        </is>
      </c>
      <c r="F88" t="inlineStr">
        <is>
          <t>Enterprise</t>
        </is>
      </c>
      <c r="G88" t="inlineStr">
        <is>
          <t>Integrations</t>
        </is>
      </c>
      <c r="H88" t="inlineStr">
        <is>
          <t>Feature Request</t>
        </is>
      </c>
      <c r="I88" t="inlineStr">
        <is>
          <t>Sharing this from our team. Please add SAML login; managing users by hand does not scale. It affects our month-end reporting process every cycle.</t>
        </is>
      </c>
      <c r="J88" t="inlineStr">
        <is>
          <t>Neutral</t>
        </is>
      </c>
      <c r="K88" t="inlineStr">
        <is>
          <t>High</t>
        </is>
      </c>
      <c r="L88" t="inlineStr">
        <is>
          <t>Blocks Key Task</t>
        </is>
      </c>
      <c r="M88" t="inlineStr">
        <is>
          <t>int_sso</t>
        </is>
      </c>
      <c r="N88" t="inlineStr">
        <is>
          <t>SSO and provisioning</t>
        </is>
      </c>
      <c r="O88" t="inlineStr">
        <is>
          <t>2025-10</t>
        </is>
      </c>
    </row>
    <row r="89">
      <c r="A89" t="inlineStr">
        <is>
          <t>FB-00088</t>
        </is>
      </c>
      <c r="B89" t="inlineStr">
        <is>
          <t>CUST-0415</t>
        </is>
      </c>
      <c r="C89" s="11" t="n">
        <v>45956</v>
      </c>
      <c r="D89" t="inlineStr">
        <is>
          <t>Customer Survey</t>
        </is>
      </c>
      <c r="E89" t="inlineStr">
        <is>
          <t>Enterprise</t>
        </is>
      </c>
      <c r="F89" t="inlineStr">
        <is>
          <t>Mid-Market</t>
        </is>
      </c>
      <c r="G89" t="inlineStr">
        <is>
          <t>Workflow Automation</t>
        </is>
      </c>
      <c r="H89" t="inlineStr">
        <is>
          <t>Feature Request</t>
        </is>
      </c>
      <c r="I89" t="inlineStr">
        <is>
          <t>Great support experience recently. Requesting approval steps; today approvals happen over chat. Our finance analyst flagged it while onboarding 113 new users.</t>
        </is>
      </c>
      <c r="J89" t="inlineStr">
        <is>
          <t>Positive</t>
        </is>
      </c>
      <c r="K89" t="inlineStr">
        <is>
          <t>Low</t>
        </is>
      </c>
      <c r="L89" t="inlineStr">
        <is>
          <t>Workflow Slowdown</t>
        </is>
      </c>
      <c r="M89" t="inlineStr">
        <is>
          <t>wf_approval</t>
        </is>
      </c>
      <c r="N89" t="inlineStr">
        <is>
          <t>Approval steps in workflows</t>
        </is>
      </c>
      <c r="O89" t="inlineStr">
        <is>
          <t>2025-10</t>
        </is>
      </c>
    </row>
    <row r="90">
      <c r="A90" t="inlineStr">
        <is>
          <t>FB-00089</t>
        </is>
      </c>
      <c r="B90" t="inlineStr">
        <is>
          <t>CUST-0187</t>
        </is>
      </c>
      <c r="C90" s="11" t="n">
        <v>45956</v>
      </c>
      <c r="D90" t="inlineStr">
        <is>
          <t>Support Ticket</t>
        </is>
      </c>
      <c r="E90" t="inlineStr">
        <is>
          <t>Enterprise</t>
        </is>
      </c>
      <c r="F90" t="inlineStr">
        <is>
          <t>Mid-Market</t>
        </is>
      </c>
      <c r="G90" t="inlineStr">
        <is>
          <t>Integrations</t>
        </is>
      </c>
      <c r="H90" t="inlineStr">
        <is>
          <t>Integration Issue</t>
        </is>
      </c>
      <c r="I90" t="inlineStr">
        <is>
          <t>Noting this during onboarding. We keep hitting API timeouts during nightly syncs with our data warehouse. So far 52 people on our side have reported it. Let us know if you need examples.</t>
        </is>
      </c>
      <c r="J90" t="inlineStr">
        <is>
          <t>Neutral</t>
        </is>
      </c>
      <c r="K90" t="inlineStr">
        <is>
          <t>Low</t>
        </is>
      </c>
      <c r="L90" t="inlineStr">
        <is>
          <t>Workflow Slowdown</t>
        </is>
      </c>
      <c r="M90" t="inlineStr">
        <is>
          <t>int_api</t>
        </is>
      </c>
      <c r="N90" t="inlineStr">
        <is>
          <t>API limits and webhook failures</t>
        </is>
      </c>
      <c r="O90" t="inlineStr">
        <is>
          <t>2025-10</t>
        </is>
      </c>
    </row>
    <row r="91">
      <c r="A91" t="inlineStr">
        <is>
          <t>FB-00090</t>
        </is>
      </c>
      <c r="B91" t="inlineStr">
        <is>
          <t>CUST-0007</t>
        </is>
      </c>
      <c r="C91" s="11" t="n">
        <v>45956</v>
      </c>
      <c r="D91" t="inlineStr">
        <is>
          <t>Customer Survey</t>
        </is>
      </c>
      <c r="E91" t="inlineStr">
        <is>
          <t>Professional</t>
        </is>
      </c>
      <c r="F91" t="inlineStr">
        <is>
          <t>SMB</t>
        </is>
      </c>
      <c r="G91" t="inlineStr">
        <is>
          <t>Reporting</t>
        </is>
      </c>
      <c r="H91" t="inlineStr">
        <is>
          <t>Bug</t>
        </is>
      </c>
      <c r="I91" t="inlineStr">
        <is>
          <t>Finance can't rely on the Excel export; totals don't match the screen. So far 31 people on our side have reported it. Let us know if you need examples.</t>
        </is>
      </c>
      <c r="J91" t="inlineStr">
        <is>
          <t>Neutral</t>
        </is>
      </c>
      <c r="K91" t="inlineStr">
        <is>
          <t>Critical</t>
        </is>
      </c>
      <c r="L91" t="inlineStr">
        <is>
          <t>Revenue/Operations Risk</t>
        </is>
      </c>
      <c r="M91" t="inlineStr">
        <is>
          <t>rep_export</t>
        </is>
      </c>
      <c r="N91" t="inlineStr">
        <is>
          <t>Broken report exports</t>
        </is>
      </c>
      <c r="O91" t="inlineStr">
        <is>
          <t>2025-10</t>
        </is>
      </c>
    </row>
    <row r="92">
      <c r="A92" t="inlineStr">
        <is>
          <t>FB-00091</t>
        </is>
      </c>
      <c r="B92" t="inlineStr">
        <is>
          <t>CUST-0126</t>
        </is>
      </c>
      <c r="C92" s="11" t="n">
        <v>45956</v>
      </c>
      <c r="D92" t="inlineStr">
        <is>
          <t>In-App Feedback</t>
        </is>
      </c>
      <c r="E92" t="inlineStr">
        <is>
          <t>Professional</t>
        </is>
      </c>
      <c r="F92" t="inlineStr">
        <is>
          <t>Mid-Market</t>
        </is>
      </c>
      <c r="G92" t="inlineStr">
        <is>
          <t>Contact Management</t>
        </is>
      </c>
      <c r="H92" t="inlineStr">
        <is>
          <t>Feature Request</t>
        </is>
      </c>
      <c r="I92" t="inlineStr">
        <is>
          <t>Overall we like the product. Please extend an account hierarchy view; the current limit is too small for our use case. Happy to beta test.</t>
        </is>
      </c>
      <c r="J92" t="inlineStr">
        <is>
          <t>Positive</t>
        </is>
      </c>
      <c r="K92" t="inlineStr">
        <is>
          <t>Low</t>
        </is>
      </c>
      <c r="L92" t="inlineStr">
        <is>
          <t>Minor Inconvenience</t>
        </is>
      </c>
      <c r="M92" t="inlineStr">
        <is>
          <t>contact_custom</t>
        </is>
      </c>
      <c r="N92" t="inlineStr">
        <is>
          <t>Custom fields and hierarchy</t>
        </is>
      </c>
      <c r="O92" t="inlineStr">
        <is>
          <t>2025-10</t>
        </is>
      </c>
    </row>
    <row r="93">
      <c r="A93" t="inlineStr">
        <is>
          <t>FB-00092</t>
        </is>
      </c>
      <c r="B93" t="inlineStr">
        <is>
          <t>CUST-0232</t>
        </is>
      </c>
      <c r="C93" s="11" t="n">
        <v>45957</v>
      </c>
      <c r="D93" t="inlineStr">
        <is>
          <t>Feature Request</t>
        </is>
      </c>
      <c r="E93" t="inlineStr">
        <is>
          <t>Enterprise</t>
        </is>
      </c>
      <c r="F93" t="inlineStr">
        <is>
          <t>Mid-Market</t>
        </is>
      </c>
      <c r="G93" t="inlineStr">
        <is>
          <t>Contact Management</t>
        </is>
      </c>
      <c r="H93" t="inlineStr">
        <is>
          <t>Feature Request</t>
        </is>
      </c>
      <c r="I93" t="inlineStr">
        <is>
          <t>Feedback from our monthly review. Requesting an account hierarchy view so account managers can see who reports to whom. We estimate we lose roughly 6 hours a month on this. Happy to join a feedback call.</t>
        </is>
      </c>
      <c r="J93" t="inlineStr">
        <is>
          <t>Neutral</t>
        </is>
      </c>
      <c r="K93" t="inlineStr">
        <is>
          <t>Low</t>
        </is>
      </c>
      <c r="L93" t="inlineStr">
        <is>
          <t>Minor Inconvenience</t>
        </is>
      </c>
      <c r="M93" t="inlineStr">
        <is>
          <t>contact_custom</t>
        </is>
      </c>
      <c r="N93" t="inlineStr">
        <is>
          <t>Custom fields and hierarchy</t>
        </is>
      </c>
      <c r="O93" t="inlineStr">
        <is>
          <t>2025-10</t>
        </is>
      </c>
    </row>
    <row r="94">
      <c r="A94" t="inlineStr">
        <is>
          <t>FB-00093</t>
        </is>
      </c>
      <c r="B94" t="inlineStr">
        <is>
          <t>CUST-0203</t>
        </is>
      </c>
      <c r="C94" s="11" t="n">
        <v>45957</v>
      </c>
      <c r="D94" t="inlineStr">
        <is>
          <t>In-App Feedback</t>
        </is>
      </c>
      <c r="E94" t="inlineStr">
        <is>
          <t>Professional</t>
        </is>
      </c>
      <c r="F94" t="inlineStr">
        <is>
          <t>Mid-Market</t>
        </is>
      </c>
      <c r="G94" t="inlineStr">
        <is>
          <t>Integrations</t>
        </is>
      </c>
      <c r="H94" t="inlineStr">
        <is>
          <t>Integration Issue</t>
        </is>
      </c>
      <c r="I94" t="inlineStr">
        <is>
          <t>Our email sync keeps disconnecting and activities are missing from the contact timeline. Please look into it soon.</t>
        </is>
      </c>
      <c r="J94" t="inlineStr">
        <is>
          <t>Negative</t>
        </is>
      </c>
      <c r="K94" t="inlineStr">
        <is>
          <t>Low</t>
        </is>
      </c>
      <c r="L94" t="inlineStr">
        <is>
          <t>Minor Inconvenience</t>
        </is>
      </c>
      <c r="M94" t="inlineStr">
        <is>
          <t>int_email</t>
        </is>
      </c>
      <c r="N94" t="inlineStr">
        <is>
          <t>Email and calendar sync drops</t>
        </is>
      </c>
      <c r="O94" t="inlineStr">
        <is>
          <t>2025-10</t>
        </is>
      </c>
    </row>
    <row r="95">
      <c r="A95" t="inlineStr">
        <is>
          <t>FB-00094</t>
        </is>
      </c>
      <c r="B95" t="inlineStr">
        <is>
          <t>CUST-0080</t>
        </is>
      </c>
      <c r="C95" s="11" t="n">
        <v>45958</v>
      </c>
      <c r="D95" t="inlineStr">
        <is>
          <t>Customer Survey</t>
        </is>
      </c>
      <c r="E95" t="inlineStr">
        <is>
          <t>Professional</t>
        </is>
      </c>
      <c r="F95" t="inlineStr">
        <is>
          <t>Mid-Market</t>
        </is>
      </c>
      <c r="G95" t="inlineStr">
        <is>
          <t>User Interface</t>
        </is>
      </c>
      <c r="H95" t="inlineStr">
        <is>
          <t>Usability Issue</t>
        </is>
      </c>
      <c r="I95" t="inlineStr">
        <is>
          <t>Feedback from our monthly review. New hires get lost in the navigation menu; it takes weeks to learn.</t>
        </is>
      </c>
      <c r="J95" t="inlineStr">
        <is>
          <t>Neutral</t>
        </is>
      </c>
      <c r="K95" t="inlineStr">
        <is>
          <t>Medium</t>
        </is>
      </c>
      <c r="L95" t="inlineStr">
        <is>
          <t>Blocks Key Task</t>
        </is>
      </c>
      <c r="M95" t="inlineStr">
        <is>
          <t>ui_nav</t>
        </is>
      </c>
      <c r="N95" t="inlineStr">
        <is>
          <t>Cluttered navigation</t>
        </is>
      </c>
      <c r="O95" t="inlineStr">
        <is>
          <t>2025-10</t>
        </is>
      </c>
    </row>
    <row r="96">
      <c r="A96" t="inlineStr">
        <is>
          <t>FB-00095</t>
        </is>
      </c>
      <c r="B96" t="inlineStr">
        <is>
          <t>CUST-0306</t>
        </is>
      </c>
      <c r="C96" s="11" t="n">
        <v>45958</v>
      </c>
      <c r="D96" t="inlineStr">
        <is>
          <t>Feature Request</t>
        </is>
      </c>
      <c r="E96" t="inlineStr">
        <is>
          <t>Professional</t>
        </is>
      </c>
      <c r="F96" t="inlineStr">
        <is>
          <t>SMB</t>
        </is>
      </c>
      <c r="G96" t="inlineStr">
        <is>
          <t>User Interface</t>
        </is>
      </c>
      <c r="H96" t="inlineStr">
        <is>
          <t>Feature Request</t>
        </is>
      </c>
      <c r="I96" t="inlineStr">
        <is>
          <t>Admins ask for multi-select actions every time we reorganize territories. It affects our renewal process every cycle. Happy to beta test.</t>
        </is>
      </c>
      <c r="J96" t="inlineStr">
        <is>
          <t>Positive</t>
        </is>
      </c>
      <c r="K96" t="inlineStr">
        <is>
          <t>High</t>
        </is>
      </c>
      <c r="L96" t="inlineStr">
        <is>
          <t>Workflow Slowdown</t>
        </is>
      </c>
      <c r="M96" t="inlineStr">
        <is>
          <t>ui_bulk</t>
        </is>
      </c>
      <c r="N96" t="inlineStr">
        <is>
          <t>Bulk actions</t>
        </is>
      </c>
      <c r="O96" t="inlineStr">
        <is>
          <t>2025-10</t>
        </is>
      </c>
    </row>
    <row r="97">
      <c r="A97" t="inlineStr">
        <is>
          <t>FB-00096</t>
        </is>
      </c>
      <c r="B97" t="inlineStr">
        <is>
          <t>CUST-0136</t>
        </is>
      </c>
      <c r="C97" s="11" t="n">
        <v>45958</v>
      </c>
      <c r="D97" t="inlineStr">
        <is>
          <t>Customer Survey</t>
        </is>
      </c>
      <c r="E97" t="inlineStr">
        <is>
          <t>Starter</t>
        </is>
      </c>
      <c r="F97" t="inlineStr">
        <is>
          <t>SMB</t>
        </is>
      </c>
      <c r="G97" t="inlineStr">
        <is>
          <t>Workflow Automation</t>
        </is>
      </c>
      <c r="H97" t="inlineStr">
        <is>
          <t>Usability Issue</t>
        </is>
      </c>
      <c r="I97" t="inlineStr">
        <is>
          <t>Sharing this from our team. The workflow editor is hard to follow once a flow has more than a handful of steps. Our sales manager flagged it while onboarding 106 new users. Happy to join a feedback call.</t>
        </is>
      </c>
      <c r="J97" t="inlineStr">
        <is>
          <t>Neutral</t>
        </is>
      </c>
      <c r="K97" t="inlineStr">
        <is>
          <t>Medium</t>
        </is>
      </c>
      <c r="L97" t="inlineStr">
        <is>
          <t>Blocks Key Task</t>
        </is>
      </c>
      <c r="M97" t="inlineStr">
        <is>
          <t>wf_builder</t>
        </is>
      </c>
      <c r="N97" t="inlineStr">
        <is>
          <t>Confusing workflow builder</t>
        </is>
      </c>
      <c r="O97" t="inlineStr">
        <is>
          <t>2025-10</t>
        </is>
      </c>
    </row>
    <row r="98">
      <c r="A98" t="inlineStr">
        <is>
          <t>FB-00097</t>
        </is>
      </c>
      <c r="B98" t="inlineStr">
        <is>
          <t>CUST-0259</t>
        </is>
      </c>
      <c r="C98" s="11" t="n">
        <v>45958</v>
      </c>
      <c r="D98" t="inlineStr">
        <is>
          <t>Support Ticket</t>
        </is>
      </c>
      <c r="E98" t="inlineStr">
        <is>
          <t>Starter</t>
        </is>
      </c>
      <c r="F98" t="inlineStr">
        <is>
          <t>SMB</t>
        </is>
      </c>
      <c r="G98" t="inlineStr">
        <is>
          <t>Contact Management</t>
        </is>
      </c>
      <c r="H98" t="inlineStr">
        <is>
          <t>Bug</t>
        </is>
      </c>
      <c r="I98" t="inlineStr">
        <is>
          <t>The spreadsheet import silently skipped rows and we only noticed days later. We estimate we lose roughly 42 hours a month on this.</t>
        </is>
      </c>
      <c r="J98" t="inlineStr">
        <is>
          <t>Negative</t>
        </is>
      </c>
      <c r="K98" t="inlineStr">
        <is>
          <t>Low</t>
        </is>
      </c>
      <c r="L98" t="inlineStr">
        <is>
          <t>Workflow Slowdown</t>
        </is>
      </c>
      <c r="M98" t="inlineStr">
        <is>
          <t>contact_import</t>
        </is>
      </c>
      <c r="N98" t="inlineStr">
        <is>
          <t>Unreliable contact imports</t>
        </is>
      </c>
      <c r="O98" t="inlineStr">
        <is>
          <t>2025-10</t>
        </is>
      </c>
    </row>
    <row r="99">
      <c r="A99" t="inlineStr">
        <is>
          <t>FB-00098</t>
        </is>
      </c>
      <c r="B99" t="inlineStr">
        <is>
          <t>CUST-0324</t>
        </is>
      </c>
      <c r="C99" s="11" t="n">
        <v>45959</v>
      </c>
      <c r="D99" t="inlineStr">
        <is>
          <t>Support Ticket</t>
        </is>
      </c>
      <c r="E99" t="inlineStr">
        <is>
          <t>Starter</t>
        </is>
      </c>
      <c r="F99" t="inlineStr">
        <is>
          <t>SMB</t>
        </is>
      </c>
      <c r="G99" t="inlineStr">
        <is>
          <t>Workflow Automation</t>
        </is>
      </c>
      <c r="H99" t="inlineStr">
        <is>
          <t>Usability Issue</t>
        </is>
      </c>
      <c r="I99" t="inlineStr">
        <is>
          <t>Our new admins struggle with the workflow editor; there is no guidance or validation.</t>
        </is>
      </c>
      <c r="J99" t="inlineStr">
        <is>
          <t>Negative</t>
        </is>
      </c>
      <c r="K99" t="inlineStr">
        <is>
          <t>High</t>
        </is>
      </c>
      <c r="L99" t="inlineStr">
        <is>
          <t>Workflow Slowdown</t>
        </is>
      </c>
      <c r="M99" t="inlineStr">
        <is>
          <t>wf_builder</t>
        </is>
      </c>
      <c r="N99" t="inlineStr">
        <is>
          <t>Confusing workflow builder</t>
        </is>
      </c>
      <c r="O99" t="inlineStr">
        <is>
          <t>2025-10</t>
        </is>
      </c>
    </row>
    <row r="100">
      <c r="A100" t="inlineStr">
        <is>
          <t>FB-00099</t>
        </is>
      </c>
      <c r="B100" t="inlineStr">
        <is>
          <t>CUST-0048</t>
        </is>
      </c>
      <c r="C100" s="11" t="n">
        <v>45959</v>
      </c>
      <c r="D100" t="inlineStr">
        <is>
          <t>Feature Request</t>
        </is>
      </c>
      <c r="E100" t="inlineStr">
        <is>
          <t>Starter</t>
        </is>
      </c>
      <c r="F100" t="inlineStr">
        <is>
          <t>SMB</t>
        </is>
      </c>
      <c r="G100" t="inlineStr">
        <is>
          <t>Lead Management</t>
        </is>
      </c>
      <c r="H100" t="inlineStr">
        <is>
          <t>Feature Request</t>
        </is>
      </c>
      <c r="I100" t="inlineStr">
        <is>
          <t>Sharing this from our team. Would love to see lead scoring rules that marketing and sales can both tune. So far 109 people on our side have reported it.</t>
        </is>
      </c>
      <c r="J100" t="inlineStr">
        <is>
          <t>Neutral</t>
        </is>
      </c>
      <c r="K100" t="inlineStr">
        <is>
          <t>Medium</t>
        </is>
      </c>
      <c r="L100" t="inlineStr">
        <is>
          <t>Minor Inconvenience</t>
        </is>
      </c>
      <c r="M100" t="inlineStr">
        <is>
          <t>lead_score</t>
        </is>
      </c>
      <c r="N100" t="inlineStr">
        <is>
          <t>Automated lead scoring</t>
        </is>
      </c>
      <c r="O100" t="inlineStr">
        <is>
          <t>2025-10</t>
        </is>
      </c>
    </row>
    <row r="101">
      <c r="A101" t="inlineStr">
        <is>
          <t>FB-00100</t>
        </is>
      </c>
      <c r="B101" t="inlineStr">
        <is>
          <t>CUST-0084</t>
        </is>
      </c>
      <c r="C101" s="11" t="n">
        <v>45959</v>
      </c>
      <c r="D101" t="inlineStr">
        <is>
          <t>Support Ticket</t>
        </is>
      </c>
      <c r="E101" t="inlineStr">
        <is>
          <t>Enterprise</t>
        </is>
      </c>
      <c r="F101" t="inlineStr">
        <is>
          <t>Enterprise</t>
        </is>
      </c>
      <c r="G101" t="inlineStr">
        <is>
          <t>Lead Management</t>
        </is>
      </c>
      <c r="H101" t="inlineStr">
        <is>
          <t>Bug</t>
        </is>
      </c>
      <c r="I101" t="inlineStr">
        <is>
          <t>Web form submissions keep creating duplicate lead records, and reps end up calling the same prospect twice. We need a fix before renewal.</t>
        </is>
      </c>
      <c r="J101" t="inlineStr">
        <is>
          <t>Negative</t>
        </is>
      </c>
      <c r="K101" t="inlineStr">
        <is>
          <t>Medium</t>
        </is>
      </c>
      <c r="L101" t="inlineStr">
        <is>
          <t>Blocks Key Task</t>
        </is>
      </c>
      <c r="M101" t="inlineStr">
        <is>
          <t>lead_dup</t>
        </is>
      </c>
      <c r="N101" t="inlineStr">
        <is>
          <t>Duplicate leads created</t>
        </is>
      </c>
      <c r="O101" t="inlineStr">
        <is>
          <t>2025-10</t>
        </is>
      </c>
    </row>
    <row r="102">
      <c r="A102" t="inlineStr">
        <is>
          <t>FB-00101</t>
        </is>
      </c>
      <c r="B102" t="inlineStr">
        <is>
          <t>CUST-0243</t>
        </is>
      </c>
      <c r="C102" s="11" t="n">
        <v>45959</v>
      </c>
      <c r="D102" t="inlineStr">
        <is>
          <t>Support Ticket</t>
        </is>
      </c>
      <c r="E102" t="inlineStr">
        <is>
          <t>Professional</t>
        </is>
      </c>
      <c r="F102" t="inlineStr">
        <is>
          <t>SMB</t>
        </is>
      </c>
      <c r="G102" t="inlineStr">
        <is>
          <t>Reporting</t>
        </is>
      </c>
      <c r="H102" t="inlineStr">
        <is>
          <t>Bug</t>
        </is>
      </c>
      <c r="I102" t="inlineStr">
        <is>
          <t>Our Excel export drops formatting and shows dates as numbers. So far 41 people on our side have reported it.</t>
        </is>
      </c>
      <c r="J102" t="inlineStr">
        <is>
          <t>Negative</t>
        </is>
      </c>
      <c r="K102" t="inlineStr">
        <is>
          <t>High</t>
        </is>
      </c>
      <c r="L102" t="inlineStr">
        <is>
          <t>Workflow Slowdown</t>
        </is>
      </c>
      <c r="M102" t="inlineStr">
        <is>
          <t>rep_export</t>
        </is>
      </c>
      <c r="N102" t="inlineStr">
        <is>
          <t>Broken report exports</t>
        </is>
      </c>
      <c r="O102" t="inlineStr">
        <is>
          <t>2025-10</t>
        </is>
      </c>
    </row>
    <row r="103">
      <c r="A103" t="inlineStr">
        <is>
          <t>FB-00102</t>
        </is>
      </c>
      <c r="B103" t="inlineStr">
        <is>
          <t>CUST-0043</t>
        </is>
      </c>
      <c r="C103" s="11" t="n">
        <v>45959</v>
      </c>
      <c r="D103" t="inlineStr">
        <is>
          <t>Customer Survey</t>
        </is>
      </c>
      <c r="E103" t="inlineStr">
        <is>
          <t>Starter</t>
        </is>
      </c>
      <c r="F103" t="inlineStr">
        <is>
          <t>SMB</t>
        </is>
      </c>
      <c r="G103" t="inlineStr">
        <is>
          <t>Reporting</t>
        </is>
      </c>
      <c r="H103" t="inlineStr">
        <is>
          <t>Feature Request</t>
        </is>
      </c>
      <c r="I103" t="inlineStr">
        <is>
          <t>Requesting a custom report builder so leadership gets numbers without logging in. It happens about 37 times a week for our team of 74. Let us know if you need examples.</t>
        </is>
      </c>
      <c r="J103" t="inlineStr">
        <is>
          <t>Neutral</t>
        </is>
      </c>
      <c r="K103" t="inlineStr">
        <is>
          <t>Medium</t>
        </is>
      </c>
      <c r="L103" t="inlineStr">
        <is>
          <t>Minor Inconvenience</t>
        </is>
      </c>
      <c r="M103" t="inlineStr">
        <is>
          <t>rep_custom</t>
        </is>
      </c>
      <c r="N103" t="inlineStr">
        <is>
          <t>Custom and scheduled reports</t>
        </is>
      </c>
      <c r="O103" t="inlineStr">
        <is>
          <t>2025-10</t>
        </is>
      </c>
    </row>
    <row r="104">
      <c r="A104" t="inlineStr">
        <is>
          <t>FB-00103</t>
        </is>
      </c>
      <c r="B104" t="inlineStr">
        <is>
          <t>CUST-0263</t>
        </is>
      </c>
      <c r="C104" s="11" t="n">
        <v>45960</v>
      </c>
      <c r="D104" t="inlineStr">
        <is>
          <t>In-App Feedback</t>
        </is>
      </c>
      <c r="E104" t="inlineStr">
        <is>
          <t>Professional</t>
        </is>
      </c>
      <c r="F104" t="inlineStr">
        <is>
          <t>Mid-Market</t>
        </is>
      </c>
      <c r="G104" t="inlineStr">
        <is>
          <t>Reporting</t>
        </is>
      </c>
      <c r="H104" t="inlineStr">
        <is>
          <t>Bug</t>
        </is>
      </c>
      <c r="I104" t="inlineStr">
        <is>
          <t>FYI for the product team. The report export times out for date ranges longer than a quarter. Let us know if you need examples.</t>
        </is>
      </c>
      <c r="J104" t="inlineStr">
        <is>
          <t>Neutral</t>
        </is>
      </c>
      <c r="K104" t="inlineStr">
        <is>
          <t>Critical</t>
        </is>
      </c>
      <c r="L104" t="inlineStr">
        <is>
          <t>Blocks Key Task</t>
        </is>
      </c>
      <c r="M104" t="inlineStr">
        <is>
          <t>rep_export</t>
        </is>
      </c>
      <c r="N104" t="inlineStr">
        <is>
          <t>Broken report exports</t>
        </is>
      </c>
      <c r="O104" t="inlineStr">
        <is>
          <t>2025-10</t>
        </is>
      </c>
    </row>
    <row r="105">
      <c r="A105" t="inlineStr">
        <is>
          <t>FB-00104</t>
        </is>
      </c>
      <c r="B105" t="inlineStr">
        <is>
          <t>CUST-0197</t>
        </is>
      </c>
      <c r="C105" s="11" t="n">
        <v>45960</v>
      </c>
      <c r="D105" t="inlineStr">
        <is>
          <t>Feature Request</t>
        </is>
      </c>
      <c r="E105" t="inlineStr">
        <is>
          <t>Professional</t>
        </is>
      </c>
      <c r="F105" t="inlineStr">
        <is>
          <t>Mid-Market</t>
        </is>
      </c>
      <c r="G105" t="inlineStr">
        <is>
          <t>Contact Management</t>
        </is>
      </c>
      <c r="H105" t="inlineStr">
        <is>
          <t>Feature Request</t>
        </is>
      </c>
      <c r="I105" t="inlineStr">
        <is>
          <t>A bulk contact merge that keeps activity history would save our ops team hours. It happens about 3 times a week for our team of 106. Let us know if you need examples.</t>
        </is>
      </c>
      <c r="J105" t="inlineStr">
        <is>
          <t>Neutral</t>
        </is>
      </c>
      <c r="K105" t="inlineStr">
        <is>
          <t>Medium</t>
        </is>
      </c>
      <c r="L105" t="inlineStr">
        <is>
          <t>Workflow Slowdown</t>
        </is>
      </c>
      <c r="M105" t="inlineStr">
        <is>
          <t>contact_dedupe</t>
        </is>
      </c>
      <c r="N105" t="inlineStr">
        <is>
          <t>Bulk contact merge</t>
        </is>
      </c>
      <c r="O105" t="inlineStr">
        <is>
          <t>2025-10</t>
        </is>
      </c>
    </row>
    <row r="106">
      <c r="A106" t="inlineStr">
        <is>
          <t>FB-00105</t>
        </is>
      </c>
      <c r="B106" t="inlineStr">
        <is>
          <t>CUST-0054</t>
        </is>
      </c>
      <c r="C106" s="11" t="n">
        <v>45960</v>
      </c>
      <c r="D106" t="inlineStr">
        <is>
          <t>Support Ticket</t>
        </is>
      </c>
      <c r="E106" t="inlineStr">
        <is>
          <t>Enterprise</t>
        </is>
      </c>
      <c r="F106" t="inlineStr">
        <is>
          <t>Enterprise</t>
        </is>
      </c>
      <c r="G106" t="inlineStr">
        <is>
          <t>Reporting</t>
        </is>
      </c>
      <c r="H106" t="inlineStr">
        <is>
          <t>Feature Request</t>
        </is>
      </c>
      <c r="I106" t="inlineStr">
        <is>
          <t>Sharing this from our team. Without a custom report builder we export raw data and rebuild everything elsewhere. So far 5 people on our side have reported it.</t>
        </is>
      </c>
      <c r="J106" t="inlineStr">
        <is>
          <t>Neutral</t>
        </is>
      </c>
      <c r="K106" t="inlineStr">
        <is>
          <t>Medium</t>
        </is>
      </c>
      <c r="L106" t="inlineStr">
        <is>
          <t>Workflow Slowdown</t>
        </is>
      </c>
      <c r="M106" t="inlineStr">
        <is>
          <t>rep_custom</t>
        </is>
      </c>
      <c r="N106" t="inlineStr">
        <is>
          <t>Custom and scheduled reports</t>
        </is>
      </c>
      <c r="O106" t="inlineStr">
        <is>
          <t>2025-10</t>
        </is>
      </c>
    </row>
    <row r="107">
      <c r="A107" t="inlineStr">
        <is>
          <t>FB-00106</t>
        </is>
      </c>
      <c r="B107" t="inlineStr">
        <is>
          <t>CUST-0349</t>
        </is>
      </c>
      <c r="C107" s="11" t="n">
        <v>45960</v>
      </c>
      <c r="D107" t="inlineStr">
        <is>
          <t>Customer Survey</t>
        </is>
      </c>
      <c r="E107" t="inlineStr">
        <is>
          <t>Professional</t>
        </is>
      </c>
      <c r="F107" t="inlineStr">
        <is>
          <t>Mid-Market</t>
        </is>
      </c>
      <c r="G107" t="inlineStr">
        <is>
          <t>Contact Management</t>
        </is>
      </c>
      <c r="H107" t="inlineStr">
        <is>
          <t>Feature Request</t>
        </is>
      </c>
      <c r="I107" t="inlineStr">
        <is>
          <t>This has been a recurring problem for us. Lacking a contact relationship hierarchy forces us to keep a parallel spreadsheet. Our customer success lead flagged it while onboarding 80 new users. Is there a workaround?</t>
        </is>
      </c>
      <c r="J107" t="inlineStr">
        <is>
          <t>Negative</t>
        </is>
      </c>
      <c r="K107" t="inlineStr">
        <is>
          <t>Medium</t>
        </is>
      </c>
      <c r="L107" t="inlineStr">
        <is>
          <t>Minor Inconvenience</t>
        </is>
      </c>
      <c r="M107" t="inlineStr">
        <is>
          <t>contact_custom</t>
        </is>
      </c>
      <c r="N107" t="inlineStr">
        <is>
          <t>Custom fields and hierarchy</t>
        </is>
      </c>
      <c r="O107" t="inlineStr">
        <is>
          <t>2025-10</t>
        </is>
      </c>
    </row>
    <row r="108">
      <c r="A108" t="inlineStr">
        <is>
          <t>FB-00107</t>
        </is>
      </c>
      <c r="B108" t="inlineStr">
        <is>
          <t>CUST-0334</t>
        </is>
      </c>
      <c r="C108" s="11" t="n">
        <v>45961</v>
      </c>
      <c r="D108" t="inlineStr">
        <is>
          <t>Feature Request</t>
        </is>
      </c>
      <c r="E108" t="inlineStr">
        <is>
          <t>Enterprise</t>
        </is>
      </c>
      <c r="F108" t="inlineStr">
        <is>
          <t>SMB</t>
        </is>
      </c>
      <c r="G108" t="inlineStr">
        <is>
          <t>Lead Management</t>
        </is>
      </c>
      <c r="H108" t="inlineStr">
        <is>
          <t>Feature Request</t>
        </is>
      </c>
      <c r="I108" t="inlineStr">
        <is>
          <t>Right now reps rank leads by gut feel; lead scoring rules would fix that. So far 23 people on our side have reported it.</t>
        </is>
      </c>
      <c r="J108" t="inlineStr">
        <is>
          <t>Neutral</t>
        </is>
      </c>
      <c r="K108" t="inlineStr">
        <is>
          <t>Low</t>
        </is>
      </c>
      <c r="L108" t="inlineStr">
        <is>
          <t>Workflow Slowdown</t>
        </is>
      </c>
      <c r="M108" t="inlineStr">
        <is>
          <t>lead_score</t>
        </is>
      </c>
      <c r="N108" t="inlineStr">
        <is>
          <t>Automated lead scoring</t>
        </is>
      </c>
      <c r="O108" t="inlineStr">
        <is>
          <t>2025-10</t>
        </is>
      </c>
    </row>
    <row r="109">
      <c r="A109" t="inlineStr">
        <is>
          <t>FB-00108</t>
        </is>
      </c>
      <c r="B109" t="inlineStr">
        <is>
          <t>CUST-0349</t>
        </is>
      </c>
      <c r="C109" s="11" t="n">
        <v>45961</v>
      </c>
      <c r="D109" t="inlineStr">
        <is>
          <t>Support Ticket</t>
        </is>
      </c>
      <c r="E109" t="inlineStr">
        <is>
          <t>Professional</t>
        </is>
      </c>
      <c r="F109" t="inlineStr">
        <is>
          <t>Mid-Market</t>
        </is>
      </c>
      <c r="G109" t="inlineStr">
        <is>
          <t>Workflow Automation</t>
        </is>
      </c>
      <c r="H109" t="inlineStr">
        <is>
          <t>Usability Issue</t>
        </is>
      </c>
      <c r="I109" t="inlineStr">
        <is>
          <t>Recent updates have been a nice improvement. I can't tell what a branch does in the workflow builder without opening every node. So far 17 people on our side have reported it.</t>
        </is>
      </c>
      <c r="J109" t="inlineStr">
        <is>
          <t>Positive</t>
        </is>
      </c>
      <c r="K109" t="inlineStr">
        <is>
          <t>Low</t>
        </is>
      </c>
      <c r="L109" t="inlineStr">
        <is>
          <t>Minor Inconvenience</t>
        </is>
      </c>
      <c r="M109" t="inlineStr">
        <is>
          <t>wf_builder</t>
        </is>
      </c>
      <c r="N109" t="inlineStr">
        <is>
          <t>Confusing workflow builder</t>
        </is>
      </c>
      <c r="O109" t="inlineStr">
        <is>
          <t>2025-10</t>
        </is>
      </c>
    </row>
    <row r="110">
      <c r="A110" t="inlineStr">
        <is>
          <t>FB-00109</t>
        </is>
      </c>
      <c r="B110" t="inlineStr">
        <is>
          <t>CUST-0284</t>
        </is>
      </c>
      <c r="C110" s="11" t="n">
        <v>45961</v>
      </c>
      <c r="D110" t="inlineStr">
        <is>
          <t>Support Ticket</t>
        </is>
      </c>
      <c r="E110" t="inlineStr">
        <is>
          <t>Enterprise</t>
        </is>
      </c>
      <c r="F110" t="inlineStr">
        <is>
          <t>Enterprise</t>
        </is>
      </c>
      <c r="G110" t="inlineStr">
        <is>
          <t>Workflow Automation</t>
        </is>
      </c>
      <c r="H110" t="inlineStr">
        <is>
          <t>Bug</t>
        </is>
      </c>
      <c r="I110" t="inlineStr">
        <is>
          <t>Great support experience recently. Since the last release we've had workflow failures and tasks are being created twice. So far 41 people on our side have reported it. Happy to beta test.</t>
        </is>
      </c>
      <c r="J110" t="inlineStr">
        <is>
          <t>Positive</t>
        </is>
      </c>
      <c r="K110" t="inlineStr">
        <is>
          <t>Low</t>
        </is>
      </c>
      <c r="L110" t="inlineStr">
        <is>
          <t>Minor Inconvenience</t>
        </is>
      </c>
      <c r="M110" t="inlineStr">
        <is>
          <t>wf_fail</t>
        </is>
      </c>
      <c r="N110" t="inlineStr">
        <is>
          <t>Workflows failing silently</t>
        </is>
      </c>
      <c r="O110" t="inlineStr">
        <is>
          <t>2025-10</t>
        </is>
      </c>
    </row>
    <row r="111">
      <c r="A111" t="inlineStr">
        <is>
          <t>FB-00110</t>
        </is>
      </c>
      <c r="B111" t="inlineStr">
        <is>
          <t>CUST-0334</t>
        </is>
      </c>
      <c r="C111" s="11" t="n">
        <v>45961</v>
      </c>
      <c r="D111" t="inlineStr">
        <is>
          <t>Support Ticket</t>
        </is>
      </c>
      <c r="E111" t="inlineStr">
        <is>
          <t>Enterprise</t>
        </is>
      </c>
      <c r="F111" t="inlineStr">
        <is>
          <t>SMB</t>
        </is>
      </c>
      <c r="G111" t="inlineStr">
        <is>
          <t>Reporting</t>
        </is>
      </c>
      <c r="H111" t="inlineStr">
        <is>
          <t>Bug</t>
        </is>
      </c>
      <c r="I111" t="inlineStr">
        <is>
          <t>Not what we expected for the price. The Excel export times out for date ranges longer than a quarter. Support suggested logging it here.</t>
        </is>
      </c>
      <c r="J111" t="inlineStr">
        <is>
          <t>Negative</t>
        </is>
      </c>
      <c r="K111" t="inlineStr">
        <is>
          <t>Low</t>
        </is>
      </c>
      <c r="L111" t="inlineStr">
        <is>
          <t>Minor Inconvenience</t>
        </is>
      </c>
      <c r="M111" t="inlineStr">
        <is>
          <t>rep_export</t>
        </is>
      </c>
      <c r="N111" t="inlineStr">
        <is>
          <t>Broken report exports</t>
        </is>
      </c>
      <c r="O111" t="inlineStr">
        <is>
          <t>2025-10</t>
        </is>
      </c>
    </row>
    <row r="112">
      <c r="A112" t="inlineStr">
        <is>
          <t>FB-00111</t>
        </is>
      </c>
      <c r="B112" t="inlineStr">
        <is>
          <t>CUST-0046</t>
        </is>
      </c>
      <c r="C112" s="11" t="n">
        <v>45961</v>
      </c>
      <c r="D112" t="inlineStr">
        <is>
          <t>Feature Request</t>
        </is>
      </c>
      <c r="E112" t="inlineStr">
        <is>
          <t>Professional</t>
        </is>
      </c>
      <c r="F112" t="inlineStr">
        <is>
          <t>Mid-Market</t>
        </is>
      </c>
      <c r="G112" t="inlineStr">
        <is>
          <t>User Interface</t>
        </is>
      </c>
      <c r="H112" t="inlineStr">
        <is>
          <t>Usability Issue</t>
        </is>
      </c>
      <c r="I112" t="inlineStr">
        <is>
          <t>FYI for the product team. The page layout changed and nobody told us where things moved. We estimate we lose roughly 51 hours a month on this. Let us know if you need examples.</t>
        </is>
      </c>
      <c r="J112" t="inlineStr">
        <is>
          <t>Neutral</t>
        </is>
      </c>
      <c r="K112" t="inlineStr">
        <is>
          <t>Medium</t>
        </is>
      </c>
      <c r="L112" t="inlineStr">
        <is>
          <t>Minor Inconvenience</t>
        </is>
      </c>
      <c r="M112" t="inlineStr">
        <is>
          <t>ui_nav</t>
        </is>
      </c>
      <c r="N112" t="inlineStr">
        <is>
          <t>Cluttered navigation</t>
        </is>
      </c>
      <c r="O112" t="inlineStr">
        <is>
          <t>2025-10</t>
        </is>
      </c>
    </row>
    <row r="113">
      <c r="A113" t="inlineStr">
        <is>
          <t>FB-00112</t>
        </is>
      </c>
      <c r="B113" t="inlineStr">
        <is>
          <t>CUST-0222</t>
        </is>
      </c>
      <c r="C113" s="11" t="n">
        <v>45961</v>
      </c>
      <c r="D113" t="inlineStr">
        <is>
          <t>Customer Survey</t>
        </is>
      </c>
      <c r="E113" t="inlineStr">
        <is>
          <t>Professional</t>
        </is>
      </c>
      <c r="F113" t="inlineStr">
        <is>
          <t>Mid-Market</t>
        </is>
      </c>
      <c r="G113" t="inlineStr">
        <is>
          <t>Workflow Automation</t>
        </is>
      </c>
      <c r="H113" t="inlineStr">
        <is>
          <t>Usability Issue</t>
        </is>
      </c>
      <c r="I113" t="inlineStr">
        <is>
          <t>Frustrated with this one. I can't tell what a branch does in the workflow builder without opening every node. It affects our renewal process every cycle. Support suggested logging it here.</t>
        </is>
      </c>
      <c r="J113" t="inlineStr">
        <is>
          <t>Negative</t>
        </is>
      </c>
      <c r="K113" t="inlineStr">
        <is>
          <t>Low</t>
        </is>
      </c>
      <c r="L113" t="inlineStr">
        <is>
          <t>Workflow Slowdown</t>
        </is>
      </c>
      <c r="M113" t="inlineStr">
        <is>
          <t>wf_builder</t>
        </is>
      </c>
      <c r="N113" t="inlineStr">
        <is>
          <t>Confusing workflow builder</t>
        </is>
      </c>
      <c r="O113" t="inlineStr">
        <is>
          <t>2025-10</t>
        </is>
      </c>
    </row>
    <row r="114">
      <c r="A114" t="inlineStr">
        <is>
          <t>FB-00113</t>
        </is>
      </c>
      <c r="B114" t="inlineStr">
        <is>
          <t>CUST-0132</t>
        </is>
      </c>
      <c r="C114" s="11" t="n">
        <v>45962</v>
      </c>
      <c r="D114" t="inlineStr">
        <is>
          <t>Support Ticket</t>
        </is>
      </c>
      <c r="E114" t="inlineStr">
        <is>
          <t>Starter</t>
        </is>
      </c>
      <c r="F114" t="inlineStr">
        <is>
          <t>SMB</t>
        </is>
      </c>
      <c r="G114" t="inlineStr">
        <is>
          <t>Workflow Automation</t>
        </is>
      </c>
      <c r="H114" t="inlineStr">
        <is>
          <t>Bug</t>
        </is>
      </c>
      <c r="I114" t="inlineStr">
        <is>
          <t>Since the last release we've had workflow runs failing silently and tasks are being created twice. Our customer success lead flagged it while onboarding 13 new users. Is there a workaround?</t>
        </is>
      </c>
      <c r="J114" t="inlineStr">
        <is>
          <t>Negative</t>
        </is>
      </c>
      <c r="K114" t="inlineStr">
        <is>
          <t>Critical</t>
        </is>
      </c>
      <c r="L114" t="inlineStr">
        <is>
          <t>Revenue/Operations Risk</t>
        </is>
      </c>
      <c r="M114" t="inlineStr">
        <is>
          <t>wf_fail</t>
        </is>
      </c>
      <c r="N114" t="inlineStr">
        <is>
          <t>Workflows failing silently</t>
        </is>
      </c>
      <c r="O114" t="inlineStr">
        <is>
          <t>2025-11</t>
        </is>
      </c>
    </row>
    <row r="115">
      <c r="A115" t="inlineStr">
        <is>
          <t>FB-00114</t>
        </is>
      </c>
      <c r="B115" t="inlineStr">
        <is>
          <t>CUST-0284</t>
        </is>
      </c>
      <c r="C115" s="11" t="n">
        <v>45962</v>
      </c>
      <c r="D115" t="inlineStr">
        <is>
          <t>In-App Feedback</t>
        </is>
      </c>
      <c r="E115" t="inlineStr">
        <is>
          <t>Enterprise</t>
        </is>
      </c>
      <c r="F115" t="inlineStr">
        <is>
          <t>Enterprise</t>
        </is>
      </c>
      <c r="G115" t="inlineStr">
        <is>
          <t>Workflow Automation</t>
        </is>
      </c>
      <c r="H115" t="inlineStr">
        <is>
          <t>Usability Issue</t>
        </is>
      </c>
      <c r="I115" t="inlineStr">
        <is>
          <t>Raising this again after our last business review. I can't tell what a branch does in the workflow editor without opening every node.</t>
        </is>
      </c>
      <c r="J115" t="inlineStr">
        <is>
          <t>Negative</t>
        </is>
      </c>
      <c r="K115" t="inlineStr">
        <is>
          <t>Medium</t>
        </is>
      </c>
      <c r="L115" t="inlineStr">
        <is>
          <t>Workflow Slowdown</t>
        </is>
      </c>
      <c r="M115" t="inlineStr">
        <is>
          <t>wf_builder</t>
        </is>
      </c>
      <c r="N115" t="inlineStr">
        <is>
          <t>Confusing workflow builder</t>
        </is>
      </c>
      <c r="O115" t="inlineStr">
        <is>
          <t>2025-11</t>
        </is>
      </c>
    </row>
    <row r="116">
      <c r="A116" t="inlineStr">
        <is>
          <t>FB-00115</t>
        </is>
      </c>
      <c r="B116" t="inlineStr">
        <is>
          <t>CUST-0137</t>
        </is>
      </c>
      <c r="C116" s="11" t="n">
        <v>45962</v>
      </c>
      <c r="D116" t="inlineStr">
        <is>
          <t>Feature Request</t>
        </is>
      </c>
      <c r="E116" t="inlineStr">
        <is>
          <t>Starter</t>
        </is>
      </c>
      <c r="F116" t="inlineStr">
        <is>
          <t>SMB</t>
        </is>
      </c>
      <c r="G116" t="inlineStr">
        <is>
          <t>Integrations</t>
        </is>
      </c>
      <c r="H116" t="inlineStr">
        <is>
          <t>Feature Request</t>
        </is>
      </c>
      <c r="I116" t="inlineStr">
        <is>
          <t>Requesting a marketing automation connector to remove manual re-entry. It affects our month-end reporting process every cycle. Thanks to the team.</t>
        </is>
      </c>
      <c r="J116" t="inlineStr">
        <is>
          <t>Positive</t>
        </is>
      </c>
      <c r="K116" t="inlineStr">
        <is>
          <t>Low</t>
        </is>
      </c>
      <c r="L116" t="inlineStr">
        <is>
          <t>Minor Inconvenience</t>
        </is>
      </c>
      <c r="M116" t="inlineStr">
        <is>
          <t>int_native</t>
        </is>
      </c>
      <c r="N116" t="inlineStr">
        <is>
          <t>Native integrations</t>
        </is>
      </c>
      <c r="O116" t="inlineStr">
        <is>
          <t>2025-11</t>
        </is>
      </c>
    </row>
    <row r="117">
      <c r="A117" t="inlineStr">
        <is>
          <t>FB-00116</t>
        </is>
      </c>
      <c r="B117" t="inlineStr">
        <is>
          <t>CUST-0257</t>
        </is>
      </c>
      <c r="C117" s="11" t="n">
        <v>45962</v>
      </c>
      <c r="D117" t="inlineStr">
        <is>
          <t>Customer Survey</t>
        </is>
      </c>
      <c r="E117" t="inlineStr">
        <is>
          <t>Enterprise</t>
        </is>
      </c>
      <c r="F117" t="inlineStr">
        <is>
          <t>Mid-Market</t>
        </is>
      </c>
      <c r="G117" t="inlineStr">
        <is>
          <t>Contact Management</t>
        </is>
      </c>
      <c r="H117" t="inlineStr">
        <is>
          <t>Feature Request</t>
        </is>
      </c>
      <c r="I117" t="inlineStr">
        <is>
          <t>Feedback from our monthly review. Is there any plan for a tool to merge duplicate contacts? Merging one record at a time is not realistic. It happens about 38 times a week for our team of 64. Let us know if you need examples.</t>
        </is>
      </c>
      <c r="J117" t="inlineStr">
        <is>
          <t>Neutral</t>
        </is>
      </c>
      <c r="K117" t="inlineStr">
        <is>
          <t>Low</t>
        </is>
      </c>
      <c r="L117" t="inlineStr">
        <is>
          <t>Minor Inconvenience</t>
        </is>
      </c>
      <c r="M117" t="inlineStr">
        <is>
          <t>contact_dedupe</t>
        </is>
      </c>
      <c r="N117" t="inlineStr">
        <is>
          <t>Bulk contact merge</t>
        </is>
      </c>
      <c r="O117" t="inlineStr">
        <is>
          <t>2025-11</t>
        </is>
      </c>
    </row>
    <row r="118">
      <c r="A118" t="inlineStr">
        <is>
          <t>FB-00117</t>
        </is>
      </c>
      <c r="B118" t="inlineStr">
        <is>
          <t>CUST-0286</t>
        </is>
      </c>
      <c r="C118" s="11" t="n">
        <v>45962</v>
      </c>
      <c r="D118" t="inlineStr">
        <is>
          <t>In-App Feedback</t>
        </is>
      </c>
      <c r="E118" t="inlineStr">
        <is>
          <t>Enterprise</t>
        </is>
      </c>
      <c r="F118" t="inlineStr">
        <is>
          <t>Enterprise</t>
        </is>
      </c>
      <c r="G118" t="inlineStr">
        <is>
          <t>Reporting</t>
        </is>
      </c>
      <c r="H118" t="inlineStr">
        <is>
          <t>Feature Request</t>
        </is>
      </c>
      <c r="I118" t="inlineStr">
        <is>
          <t>Noting this during onboarding. Requesting a custom report builder so leadership gets numbers without logging in. So far 106 people on our side have reported it. Let us know if you need examples.</t>
        </is>
      </c>
      <c r="J118" t="inlineStr">
        <is>
          <t>Neutral</t>
        </is>
      </c>
      <c r="K118" t="inlineStr">
        <is>
          <t>High</t>
        </is>
      </c>
      <c r="L118" t="inlineStr">
        <is>
          <t>Workflow Slowdown</t>
        </is>
      </c>
      <c r="M118" t="inlineStr">
        <is>
          <t>rep_custom</t>
        </is>
      </c>
      <c r="N118" t="inlineStr">
        <is>
          <t>Custom and scheduled reports</t>
        </is>
      </c>
      <c r="O118" t="inlineStr">
        <is>
          <t>2025-11</t>
        </is>
      </c>
    </row>
    <row r="119">
      <c r="A119" t="inlineStr">
        <is>
          <t>FB-00118</t>
        </is>
      </c>
      <c r="B119" t="inlineStr">
        <is>
          <t>CUST-0168</t>
        </is>
      </c>
      <c r="C119" s="11" t="n">
        <v>45962</v>
      </c>
      <c r="D119" t="inlineStr">
        <is>
          <t>In-App Feedback</t>
        </is>
      </c>
      <c r="E119" t="inlineStr">
        <is>
          <t>Professional</t>
        </is>
      </c>
      <c r="F119" t="inlineStr">
        <is>
          <t>Mid-Market</t>
        </is>
      </c>
      <c r="G119" t="inlineStr">
        <is>
          <t>Integrations</t>
        </is>
      </c>
      <c r="H119" t="inlineStr">
        <is>
          <t>Integration Issue</t>
        </is>
      </c>
      <c r="I119" t="inlineStr">
        <is>
          <t>The Outlook calendar sync duplicates meetings and misses replies. It happens about 2 times a week for our team of 52.</t>
        </is>
      </c>
      <c r="J119" t="inlineStr">
        <is>
          <t>Neutral</t>
        </is>
      </c>
      <c r="K119" t="inlineStr">
        <is>
          <t>Low</t>
        </is>
      </c>
      <c r="L119" t="inlineStr">
        <is>
          <t>Minor Inconvenience</t>
        </is>
      </c>
      <c r="M119" t="inlineStr">
        <is>
          <t>int_email</t>
        </is>
      </c>
      <c r="N119" t="inlineStr">
        <is>
          <t>Email and calendar sync drops</t>
        </is>
      </c>
      <c r="O119" t="inlineStr">
        <is>
          <t>2025-11</t>
        </is>
      </c>
    </row>
    <row r="120">
      <c r="A120" t="inlineStr">
        <is>
          <t>FB-00119</t>
        </is>
      </c>
      <c r="B120" t="inlineStr">
        <is>
          <t>CUST-0288</t>
        </is>
      </c>
      <c r="C120" s="11" t="n">
        <v>45962</v>
      </c>
      <c r="D120" t="inlineStr">
        <is>
          <t>Customer Survey</t>
        </is>
      </c>
      <c r="E120" t="inlineStr">
        <is>
          <t>Professional</t>
        </is>
      </c>
      <c r="F120" t="inlineStr">
        <is>
          <t>Mid-Market</t>
        </is>
      </c>
      <c r="G120" t="inlineStr">
        <is>
          <t>Contact Management</t>
        </is>
      </c>
      <c r="H120" t="inlineStr">
        <is>
          <t>Performance Issue</t>
        </is>
      </c>
      <c r="I120" t="inlineStr">
        <is>
          <t>Not what we expected for the price. Our contact search is slow and often returns stale results right after an update. Is there a workaround?</t>
        </is>
      </c>
      <c r="J120" t="inlineStr">
        <is>
          <t>Negative</t>
        </is>
      </c>
      <c r="K120" t="inlineStr">
        <is>
          <t>Medium</t>
        </is>
      </c>
      <c r="L120" t="inlineStr">
        <is>
          <t>Minor Inconvenience</t>
        </is>
      </c>
      <c r="M120" t="inlineStr">
        <is>
          <t>contact_search</t>
        </is>
      </c>
      <c r="N120" t="inlineStr">
        <is>
          <t>Slow contact search</t>
        </is>
      </c>
      <c r="O120" t="inlineStr">
        <is>
          <t>2025-11</t>
        </is>
      </c>
    </row>
    <row r="121">
      <c r="A121" t="inlineStr">
        <is>
          <t>FB-00120</t>
        </is>
      </c>
      <c r="B121" t="inlineStr">
        <is>
          <t>CUST-0409</t>
        </is>
      </c>
      <c r="C121" s="11" t="n">
        <v>45963</v>
      </c>
      <c r="D121" t="inlineStr">
        <is>
          <t>In-App Feedback</t>
        </is>
      </c>
      <c r="E121" t="inlineStr">
        <is>
          <t>Starter</t>
        </is>
      </c>
      <c r="F121" t="inlineStr">
        <is>
          <t>SMB</t>
        </is>
      </c>
      <c r="G121" t="inlineStr">
        <is>
          <t>Lead Management</t>
        </is>
      </c>
      <c r="H121" t="inlineStr">
        <is>
          <t>Usability Issue</t>
        </is>
      </c>
      <c r="I121" t="inlineStr">
        <is>
          <t>Sharing this from our team. Setting up round-robin lead assignment takes too many steps and the options don't cover territories. Our finance analyst flagged it while onboarding 32 new users. Let us know if you need examples.</t>
        </is>
      </c>
      <c r="J121" t="inlineStr">
        <is>
          <t>Neutral</t>
        </is>
      </c>
      <c r="K121" t="inlineStr">
        <is>
          <t>Medium</t>
        </is>
      </c>
      <c r="L121" t="inlineStr">
        <is>
          <t>Workflow Slowdown</t>
        </is>
      </c>
      <c r="M121" t="inlineStr">
        <is>
          <t>lead_assign</t>
        </is>
      </c>
      <c r="N121" t="inlineStr">
        <is>
          <t>Lead routing is inflexible</t>
        </is>
      </c>
      <c r="O121" t="inlineStr">
        <is>
          <t>2025-11</t>
        </is>
      </c>
    </row>
    <row r="122">
      <c r="A122" t="inlineStr">
        <is>
          <t>FB-00121</t>
        </is>
      </c>
      <c r="B122" t="inlineStr">
        <is>
          <t>CUST-0132</t>
        </is>
      </c>
      <c r="C122" s="11" t="n">
        <v>45963</v>
      </c>
      <c r="D122" t="inlineStr">
        <is>
          <t>Feature Request</t>
        </is>
      </c>
      <c r="E122" t="inlineStr">
        <is>
          <t>Starter</t>
        </is>
      </c>
      <c r="F122" t="inlineStr">
        <is>
          <t>SMB</t>
        </is>
      </c>
      <c r="G122" t="inlineStr">
        <is>
          <t>Contact Management</t>
        </is>
      </c>
      <c r="H122" t="inlineStr">
        <is>
          <t>Performance Issue</t>
        </is>
      </c>
      <c r="I122" t="inlineStr">
        <is>
          <t>Sharing this from our team. The contact list filtering times out on our largest accounts. It affects our lead handoff process every cycle. Happy to join a feedback call.</t>
        </is>
      </c>
      <c r="J122" t="inlineStr">
        <is>
          <t>Neutral</t>
        </is>
      </c>
      <c r="K122" t="inlineStr">
        <is>
          <t>Low</t>
        </is>
      </c>
      <c r="L122" t="inlineStr">
        <is>
          <t>Workflow Slowdown</t>
        </is>
      </c>
      <c r="M122" t="inlineStr">
        <is>
          <t>contact_search</t>
        </is>
      </c>
      <c r="N122" t="inlineStr">
        <is>
          <t>Slow contact search</t>
        </is>
      </c>
      <c r="O122" t="inlineStr">
        <is>
          <t>2025-11</t>
        </is>
      </c>
    </row>
    <row r="123">
      <c r="A123" t="inlineStr">
        <is>
          <t>FB-00122</t>
        </is>
      </c>
      <c r="B123" t="inlineStr">
        <is>
          <t>CUST-0411</t>
        </is>
      </c>
      <c r="C123" s="11" t="n">
        <v>45964</v>
      </c>
      <c r="D123" t="inlineStr">
        <is>
          <t>Support Ticket</t>
        </is>
      </c>
      <c r="E123" t="inlineStr">
        <is>
          <t>Starter</t>
        </is>
      </c>
      <c r="F123" t="inlineStr">
        <is>
          <t>SMB</t>
        </is>
      </c>
      <c r="G123" t="inlineStr">
        <is>
          <t>Lead Management</t>
        </is>
      </c>
      <c r="H123" t="inlineStr">
        <is>
          <t>Bug</t>
        </is>
      </c>
      <c r="I123" t="inlineStr">
        <is>
          <t>This has been a recurring problem for us. Web form submissions keep creating duplicated leads, and reps end up calling the same prospect twice. So far 118 people on our side have reported it.</t>
        </is>
      </c>
      <c r="J123" t="inlineStr">
        <is>
          <t>Negative</t>
        </is>
      </c>
      <c r="K123" t="inlineStr">
        <is>
          <t>Medium</t>
        </is>
      </c>
      <c r="L123" t="inlineStr">
        <is>
          <t>Blocks Key Task</t>
        </is>
      </c>
      <c r="M123" t="inlineStr">
        <is>
          <t>lead_dup</t>
        </is>
      </c>
      <c r="N123" t="inlineStr">
        <is>
          <t>Duplicate leads created</t>
        </is>
      </c>
      <c r="O123" t="inlineStr">
        <is>
          <t>2025-11</t>
        </is>
      </c>
    </row>
    <row r="124">
      <c r="A124" t="inlineStr">
        <is>
          <t>FB-00123</t>
        </is>
      </c>
      <c r="B124" t="inlineStr">
        <is>
          <t>CUST-0251</t>
        </is>
      </c>
      <c r="C124" s="11" t="n">
        <v>45964</v>
      </c>
      <c r="D124" t="inlineStr">
        <is>
          <t>Feature Request</t>
        </is>
      </c>
      <c r="E124" t="inlineStr">
        <is>
          <t>Professional</t>
        </is>
      </c>
      <c r="F124" t="inlineStr">
        <is>
          <t>Mid-Market</t>
        </is>
      </c>
      <c r="G124" t="inlineStr">
        <is>
          <t>Workflow Automation</t>
        </is>
      </c>
      <c r="H124" t="inlineStr">
        <is>
          <t>Feature Request</t>
        </is>
      </c>
      <c r="I124" t="inlineStr">
        <is>
          <t>Overall we like the product. We'd adopt automation faster with workflow templates we could customize. Our finance analyst flagged it while onboarding 43 new users.</t>
        </is>
      </c>
      <c r="J124" t="inlineStr">
        <is>
          <t>Positive</t>
        </is>
      </c>
      <c r="K124" t="inlineStr">
        <is>
          <t>Low</t>
        </is>
      </c>
      <c r="L124" t="inlineStr">
        <is>
          <t>Workflow Slowdown</t>
        </is>
      </c>
      <c r="M124" t="inlineStr">
        <is>
          <t>wf_templates</t>
        </is>
      </c>
      <c r="N124" t="inlineStr">
        <is>
          <t>Workflow templates</t>
        </is>
      </c>
      <c r="O124" t="inlineStr">
        <is>
          <t>2025-11</t>
        </is>
      </c>
    </row>
    <row r="125">
      <c r="A125" t="inlineStr">
        <is>
          <t>FB-00124</t>
        </is>
      </c>
      <c r="B125" t="inlineStr">
        <is>
          <t>CUST-0057</t>
        </is>
      </c>
      <c r="C125" s="11" t="n">
        <v>45964</v>
      </c>
      <c r="D125" t="inlineStr">
        <is>
          <t>Customer Survey</t>
        </is>
      </c>
      <c r="E125" t="inlineStr">
        <is>
          <t>Professional</t>
        </is>
      </c>
      <c r="F125" t="inlineStr">
        <is>
          <t>SMB</t>
        </is>
      </c>
      <c r="G125" t="inlineStr">
        <is>
          <t>Workflow Automation</t>
        </is>
      </c>
      <c r="H125" t="inlineStr">
        <is>
          <t>Usability Issue</t>
        </is>
      </c>
      <c r="I125" t="inlineStr">
        <is>
          <t>Escalating on behalf of our ops lead. Our new admins struggle with the workflow builder; there is no guidance or validation. Support suggested logging it here.</t>
        </is>
      </c>
      <c r="J125" t="inlineStr">
        <is>
          <t>Negative</t>
        </is>
      </c>
      <c r="K125" t="inlineStr">
        <is>
          <t>Low</t>
        </is>
      </c>
      <c r="L125" t="inlineStr">
        <is>
          <t>Workflow Slowdown</t>
        </is>
      </c>
      <c r="M125" t="inlineStr">
        <is>
          <t>wf_builder</t>
        </is>
      </c>
      <c r="N125" t="inlineStr">
        <is>
          <t>Confusing workflow builder</t>
        </is>
      </c>
      <c r="O125" t="inlineStr">
        <is>
          <t>2025-11</t>
        </is>
      </c>
    </row>
    <row r="126">
      <c r="A126" t="inlineStr">
        <is>
          <t>FB-00125</t>
        </is>
      </c>
      <c r="B126" t="inlineStr">
        <is>
          <t>CUST-0091</t>
        </is>
      </c>
      <c r="C126" s="11" t="n">
        <v>45965</v>
      </c>
      <c r="D126" t="inlineStr">
        <is>
          <t>In-App Feedback</t>
        </is>
      </c>
      <c r="E126" t="inlineStr">
        <is>
          <t>Professional</t>
        </is>
      </c>
      <c r="F126" t="inlineStr">
        <is>
          <t>SMB</t>
        </is>
      </c>
      <c r="G126" t="inlineStr">
        <is>
          <t>Lead Management</t>
        </is>
      </c>
      <c r="H126" t="inlineStr">
        <is>
          <t>Feature Request</t>
        </is>
      </c>
      <c r="I126" t="inlineStr">
        <is>
          <t>Feedback from our monthly review. Please add automated lead scoring based on engagement, company size and recent activity. Let us know if you need examples.</t>
        </is>
      </c>
      <c r="J126" t="inlineStr">
        <is>
          <t>Neutral</t>
        </is>
      </c>
      <c r="K126" t="inlineStr">
        <is>
          <t>Low</t>
        </is>
      </c>
      <c r="L126" t="inlineStr">
        <is>
          <t>Minor Inconvenience</t>
        </is>
      </c>
      <c r="M126" t="inlineStr">
        <is>
          <t>lead_score</t>
        </is>
      </c>
      <c r="N126" t="inlineStr">
        <is>
          <t>Automated lead scoring</t>
        </is>
      </c>
      <c r="O126" t="inlineStr">
        <is>
          <t>2025-11</t>
        </is>
      </c>
    </row>
    <row r="127">
      <c r="A127" t="inlineStr">
        <is>
          <t>FB-00126</t>
        </is>
      </c>
      <c r="B127" t="inlineStr">
        <is>
          <t>CUST-0128</t>
        </is>
      </c>
      <c r="C127" s="11" t="n">
        <v>45965</v>
      </c>
      <c r="D127" t="inlineStr">
        <is>
          <t>Support Ticket</t>
        </is>
      </c>
      <c r="E127" t="inlineStr">
        <is>
          <t>Professional</t>
        </is>
      </c>
      <c r="F127" t="inlineStr">
        <is>
          <t>SMB</t>
        </is>
      </c>
      <c r="G127" t="inlineStr">
        <is>
          <t>User Interface</t>
        </is>
      </c>
      <c r="H127" t="inlineStr">
        <is>
          <t>Feature Request</t>
        </is>
      </c>
      <c r="I127" t="inlineStr">
        <is>
          <t>Quick note from our admin. Admins ask for bulk actions on lists every time we reorganize territories.</t>
        </is>
      </c>
      <c r="J127" t="inlineStr">
        <is>
          <t>Neutral</t>
        </is>
      </c>
      <c r="K127" t="inlineStr">
        <is>
          <t>Medium</t>
        </is>
      </c>
      <c r="L127" t="inlineStr">
        <is>
          <t>Blocks Key Task</t>
        </is>
      </c>
      <c r="M127" t="inlineStr">
        <is>
          <t>ui_bulk</t>
        </is>
      </c>
      <c r="N127" t="inlineStr">
        <is>
          <t>Bulk actions</t>
        </is>
      </c>
      <c r="O127" t="inlineStr">
        <is>
          <t>2025-11</t>
        </is>
      </c>
    </row>
    <row r="128">
      <c r="A128" t="inlineStr">
        <is>
          <t>FB-00127</t>
        </is>
      </c>
      <c r="B128" t="inlineStr">
        <is>
          <t>CUST-0220</t>
        </is>
      </c>
      <c r="C128" s="11" t="n">
        <v>45965</v>
      </c>
      <c r="D128" t="inlineStr">
        <is>
          <t>Feature Request</t>
        </is>
      </c>
      <c r="E128" t="inlineStr">
        <is>
          <t>Professional</t>
        </is>
      </c>
      <c r="F128" t="inlineStr">
        <is>
          <t>Mid-Market</t>
        </is>
      </c>
      <c r="G128" t="inlineStr">
        <is>
          <t>Reporting</t>
        </is>
      </c>
      <c r="H128" t="inlineStr">
        <is>
          <t>Feature Request</t>
        </is>
      </c>
      <c r="I128" t="inlineStr">
        <is>
          <t>Escalating on behalf of our ops lead. Please add report scheduling; today an analyst rebuilds the same report every week. Our finance analyst flagged it while onboarding 25 new users.</t>
        </is>
      </c>
      <c r="J128" t="inlineStr">
        <is>
          <t>Negative</t>
        </is>
      </c>
      <c r="K128" t="inlineStr">
        <is>
          <t>Medium</t>
        </is>
      </c>
      <c r="L128" t="inlineStr">
        <is>
          <t>Workflow Slowdown</t>
        </is>
      </c>
      <c r="M128" t="inlineStr">
        <is>
          <t>rep_custom</t>
        </is>
      </c>
      <c r="N128" t="inlineStr">
        <is>
          <t>Custom and scheduled reports</t>
        </is>
      </c>
      <c r="O128" t="inlineStr">
        <is>
          <t>2025-11</t>
        </is>
      </c>
    </row>
    <row r="129">
      <c r="A129" t="inlineStr">
        <is>
          <t>FB-00128</t>
        </is>
      </c>
      <c r="B129" t="inlineStr">
        <is>
          <t>CUST-0051</t>
        </is>
      </c>
      <c r="C129" s="11" t="n">
        <v>45965</v>
      </c>
      <c r="D129" t="inlineStr">
        <is>
          <t>In-App Feedback</t>
        </is>
      </c>
      <c r="E129" t="inlineStr">
        <is>
          <t>Enterprise</t>
        </is>
      </c>
      <c r="F129" t="inlineStr">
        <is>
          <t>Enterprise</t>
        </is>
      </c>
      <c r="G129" t="inlineStr">
        <is>
          <t>Reporting</t>
        </is>
      </c>
      <c r="H129" t="inlineStr">
        <is>
          <t>Feature Request</t>
        </is>
      </c>
      <c r="I129" t="inlineStr">
        <is>
          <t>Quick note from our admin. Requesting quota tracking that updates as deal stages change. Our finance analyst flagged it while onboarding 88 new users. Happy to join a feedback call.</t>
        </is>
      </c>
      <c r="J129" t="inlineStr">
        <is>
          <t>Neutral</t>
        </is>
      </c>
      <c r="K129" t="inlineStr">
        <is>
          <t>High</t>
        </is>
      </c>
      <c r="L129" t="inlineStr">
        <is>
          <t>Revenue/Operations Risk</t>
        </is>
      </c>
      <c r="M129" t="inlineStr">
        <is>
          <t>rep_forecast</t>
        </is>
      </c>
      <c r="N129" t="inlineStr">
        <is>
          <t>Sales forecasting</t>
        </is>
      </c>
      <c r="O129" t="inlineStr">
        <is>
          <t>2025-11</t>
        </is>
      </c>
    </row>
    <row r="130">
      <c r="A130" t="inlineStr">
        <is>
          <t>FB-00129</t>
        </is>
      </c>
      <c r="B130" t="inlineStr">
        <is>
          <t>CUST-0046</t>
        </is>
      </c>
      <c r="C130" s="11" t="n">
        <v>45966</v>
      </c>
      <c r="D130" t="inlineStr">
        <is>
          <t>Feature Request</t>
        </is>
      </c>
      <c r="E130" t="inlineStr">
        <is>
          <t>Professional</t>
        </is>
      </c>
      <c r="F130" t="inlineStr">
        <is>
          <t>Mid-Market</t>
        </is>
      </c>
      <c r="G130" t="inlineStr">
        <is>
          <t>Contact Management</t>
        </is>
      </c>
      <c r="H130" t="inlineStr">
        <is>
          <t>Feature Request</t>
        </is>
      </c>
      <c r="I130" t="inlineStr">
        <is>
          <t>Great support experience recently. Is there any plan for contact de-duplication tooling? Merging one record at a time is not realistic. Our sales manager flagged it while onboarding 21 new users. Keep up the good work.</t>
        </is>
      </c>
      <c r="J130" t="inlineStr">
        <is>
          <t>Positive</t>
        </is>
      </c>
      <c r="K130" t="inlineStr">
        <is>
          <t>Low</t>
        </is>
      </c>
      <c r="L130" t="inlineStr">
        <is>
          <t>Workflow Slowdown</t>
        </is>
      </c>
      <c r="M130" t="inlineStr">
        <is>
          <t>contact_dedupe</t>
        </is>
      </c>
      <c r="N130" t="inlineStr">
        <is>
          <t>Bulk contact merge</t>
        </is>
      </c>
      <c r="O130" t="inlineStr">
        <is>
          <t>2025-11</t>
        </is>
      </c>
    </row>
    <row r="131">
      <c r="A131" t="inlineStr">
        <is>
          <t>FB-00130</t>
        </is>
      </c>
      <c r="B131" t="inlineStr">
        <is>
          <t>CUST-0356</t>
        </is>
      </c>
      <c r="C131" s="11" t="n">
        <v>45966</v>
      </c>
      <c r="D131" t="inlineStr">
        <is>
          <t>Customer Survey</t>
        </is>
      </c>
      <c r="E131" t="inlineStr">
        <is>
          <t>Professional</t>
        </is>
      </c>
      <c r="F131" t="inlineStr">
        <is>
          <t>Mid-Market</t>
        </is>
      </c>
      <c r="G131" t="inlineStr">
        <is>
          <t>Workflow Automation</t>
        </is>
      </c>
      <c r="H131" t="inlineStr">
        <is>
          <t>Feature Request</t>
        </is>
      </c>
      <c r="I131" t="inlineStr">
        <is>
          <t>A library of workflow templates would cut our setup time. Our customer success lead flagged it while onboarding 42 new users. Let us know if you need examples.</t>
        </is>
      </c>
      <c r="J131" t="inlineStr">
        <is>
          <t>Neutral</t>
        </is>
      </c>
      <c r="K131" t="inlineStr">
        <is>
          <t>Medium</t>
        </is>
      </c>
      <c r="L131" t="inlineStr">
        <is>
          <t>Workflow Slowdown</t>
        </is>
      </c>
      <c r="M131" t="inlineStr">
        <is>
          <t>wf_templates</t>
        </is>
      </c>
      <c r="N131" t="inlineStr">
        <is>
          <t>Workflow templates</t>
        </is>
      </c>
      <c r="O131" t="inlineStr">
        <is>
          <t>2025-11</t>
        </is>
      </c>
    </row>
    <row r="132">
      <c r="A132" t="inlineStr">
        <is>
          <t>FB-00131</t>
        </is>
      </c>
      <c r="B132" t="inlineStr">
        <is>
          <t>CUST-0349</t>
        </is>
      </c>
      <c r="C132" s="11" t="n">
        <v>45966</v>
      </c>
      <c r="D132" t="inlineStr">
        <is>
          <t>Support Ticket</t>
        </is>
      </c>
      <c r="E132" t="inlineStr">
        <is>
          <t>Professional</t>
        </is>
      </c>
      <c r="F132" t="inlineStr">
        <is>
          <t>Mid-Market</t>
        </is>
      </c>
      <c r="G132" t="inlineStr">
        <is>
          <t>Lead Management</t>
        </is>
      </c>
      <c r="H132" t="inlineStr">
        <is>
          <t>Bug</t>
        </is>
      </c>
      <c r="I132" t="inlineStr">
        <is>
          <t>Frustrated with this one. After every list import we find duplicate lead records that have to be cleaned up by hand. It happens about 24 times a week for our team of 88. Is there a workaround?</t>
        </is>
      </c>
      <c r="J132" t="inlineStr">
        <is>
          <t>Negative</t>
        </is>
      </c>
      <c r="K132" t="inlineStr">
        <is>
          <t>Medium</t>
        </is>
      </c>
      <c r="L132" t="inlineStr">
        <is>
          <t>Blocks Key Task</t>
        </is>
      </c>
      <c r="M132" t="inlineStr">
        <is>
          <t>lead_dup</t>
        </is>
      </c>
      <c r="N132" t="inlineStr">
        <is>
          <t>Duplicate leads created</t>
        </is>
      </c>
      <c r="O132" t="inlineStr">
        <is>
          <t>2025-11</t>
        </is>
      </c>
    </row>
    <row r="133">
      <c r="A133" t="inlineStr">
        <is>
          <t>FB-00132</t>
        </is>
      </c>
      <c r="B133" t="inlineStr">
        <is>
          <t>CUST-0216</t>
        </is>
      </c>
      <c r="C133" s="11" t="n">
        <v>45966</v>
      </c>
      <c r="D133" t="inlineStr">
        <is>
          <t>Feature Request</t>
        </is>
      </c>
      <c r="E133" t="inlineStr">
        <is>
          <t>Starter</t>
        </is>
      </c>
      <c r="F133" t="inlineStr">
        <is>
          <t>Mid-Market</t>
        </is>
      </c>
      <c r="G133" t="inlineStr">
        <is>
          <t>User Interface</t>
        </is>
      </c>
      <c r="H133" t="inlineStr">
        <is>
          <t>Feature Request</t>
        </is>
      </c>
      <c r="I133" t="inlineStr">
        <is>
          <t>Quick note from our admin. Please prioritize offline mobile access; the mobile web view is hard to use. So far 34 people on our side have reported it. Let us know if you need examples.</t>
        </is>
      </c>
      <c r="J133" t="inlineStr">
        <is>
          <t>Neutral</t>
        </is>
      </c>
      <c r="K133" t="inlineStr">
        <is>
          <t>Low</t>
        </is>
      </c>
      <c r="L133" t="inlineStr">
        <is>
          <t>Minor Inconvenience</t>
        </is>
      </c>
      <c r="M133" t="inlineStr">
        <is>
          <t>ui_mobile</t>
        </is>
      </c>
      <c r="N133" t="inlineStr">
        <is>
          <t>Mobile app</t>
        </is>
      </c>
      <c r="O133" t="inlineStr">
        <is>
          <t>2025-11</t>
        </is>
      </c>
    </row>
    <row r="134">
      <c r="A134" t="inlineStr">
        <is>
          <t>FB-00133</t>
        </is>
      </c>
      <c r="B134" t="inlineStr">
        <is>
          <t>CUST-0258</t>
        </is>
      </c>
      <c r="C134" s="11" t="n">
        <v>45966</v>
      </c>
      <c r="D134" t="inlineStr">
        <is>
          <t>Customer Survey</t>
        </is>
      </c>
      <c r="E134" t="inlineStr">
        <is>
          <t>Professional</t>
        </is>
      </c>
      <c r="F134" t="inlineStr">
        <is>
          <t>Mid-Market</t>
        </is>
      </c>
      <c r="G134" t="inlineStr">
        <is>
          <t>Workflow Automation</t>
        </is>
      </c>
      <c r="H134" t="inlineStr">
        <is>
          <t>Usability Issue</t>
        </is>
      </c>
      <c r="I134" t="inlineStr">
        <is>
          <t>Our new admins struggle with the automation canvas; there is no guidance or validation. Please look into it soon.</t>
        </is>
      </c>
      <c r="J134" t="inlineStr">
        <is>
          <t>Negative</t>
        </is>
      </c>
      <c r="K134" t="inlineStr">
        <is>
          <t>Low</t>
        </is>
      </c>
      <c r="L134" t="inlineStr">
        <is>
          <t>Minor Inconvenience</t>
        </is>
      </c>
      <c r="M134" t="inlineStr">
        <is>
          <t>wf_builder</t>
        </is>
      </c>
      <c r="N134" t="inlineStr">
        <is>
          <t>Confusing workflow builder</t>
        </is>
      </c>
      <c r="O134" t="inlineStr">
        <is>
          <t>2025-11</t>
        </is>
      </c>
    </row>
    <row r="135">
      <c r="A135" t="inlineStr">
        <is>
          <t>FB-00134</t>
        </is>
      </c>
      <c r="B135" t="inlineStr">
        <is>
          <t>CUST-0306</t>
        </is>
      </c>
      <c r="C135" s="11" t="n">
        <v>45967</v>
      </c>
      <c r="D135" t="inlineStr">
        <is>
          <t>In-App Feedback</t>
        </is>
      </c>
      <c r="E135" t="inlineStr">
        <is>
          <t>Professional</t>
        </is>
      </c>
      <c r="F135" t="inlineStr">
        <is>
          <t>SMB</t>
        </is>
      </c>
      <c r="G135" t="inlineStr">
        <is>
          <t>Contact Management</t>
        </is>
      </c>
      <c r="H135" t="inlineStr">
        <is>
          <t>Bug</t>
        </is>
      </c>
      <c r="I135" t="inlineStr">
        <is>
          <t>Our team keeps running into this. Our import field mapping scrambles phone and email columns even after we map them correctly.</t>
        </is>
      </c>
      <c r="J135" t="inlineStr">
        <is>
          <t>Negative</t>
        </is>
      </c>
      <c r="K135" t="inlineStr">
        <is>
          <t>High</t>
        </is>
      </c>
      <c r="L135" t="inlineStr">
        <is>
          <t>Blocks Key Task</t>
        </is>
      </c>
      <c r="M135" t="inlineStr">
        <is>
          <t>contact_import</t>
        </is>
      </c>
      <c r="N135" t="inlineStr">
        <is>
          <t>Unreliable contact imports</t>
        </is>
      </c>
      <c r="O135" t="inlineStr">
        <is>
          <t>2025-11</t>
        </is>
      </c>
    </row>
    <row r="136">
      <c r="A136" t="inlineStr">
        <is>
          <t>FB-00135</t>
        </is>
      </c>
      <c r="B136" t="inlineStr">
        <is>
          <t>CUST-0258</t>
        </is>
      </c>
      <c r="C136" s="11" t="n">
        <v>45968</v>
      </c>
      <c r="D136" t="inlineStr">
        <is>
          <t>Customer Survey</t>
        </is>
      </c>
      <c r="E136" t="inlineStr">
        <is>
          <t>Professional</t>
        </is>
      </c>
      <c r="F136" t="inlineStr">
        <is>
          <t>Mid-Market</t>
        </is>
      </c>
      <c r="G136" t="inlineStr">
        <is>
          <t>Lead Management</t>
        </is>
      </c>
      <c r="H136" t="inlineStr">
        <is>
          <t>Feature Request</t>
        </is>
      </c>
      <c r="I136" t="inlineStr">
        <is>
          <t>Please add automated lead scoring based on engagement, company size and recent activity. Our finance analyst flagged it while onboarding 15 new users. Let us know if you need examples.</t>
        </is>
      </c>
      <c r="J136" t="inlineStr">
        <is>
          <t>Neutral</t>
        </is>
      </c>
      <c r="K136" t="inlineStr">
        <is>
          <t>Low</t>
        </is>
      </c>
      <c r="L136" t="inlineStr">
        <is>
          <t>Minor Inconvenience</t>
        </is>
      </c>
      <c r="M136" t="inlineStr">
        <is>
          <t>lead_score</t>
        </is>
      </c>
      <c r="N136" t="inlineStr">
        <is>
          <t>Automated lead scoring</t>
        </is>
      </c>
      <c r="O136" t="inlineStr">
        <is>
          <t>2025-11</t>
        </is>
      </c>
    </row>
    <row r="137">
      <c r="A137" t="inlineStr">
        <is>
          <t>FB-00136</t>
        </is>
      </c>
      <c r="B137" t="inlineStr">
        <is>
          <t>CUST-0202</t>
        </is>
      </c>
      <c r="C137" s="11" t="n">
        <v>45968</v>
      </c>
      <c r="D137" t="inlineStr">
        <is>
          <t>Feature Request</t>
        </is>
      </c>
      <c r="E137" t="inlineStr">
        <is>
          <t>Enterprise</t>
        </is>
      </c>
      <c r="F137" t="inlineStr">
        <is>
          <t>Enterprise</t>
        </is>
      </c>
      <c r="G137" t="inlineStr">
        <is>
          <t>Contact Management</t>
        </is>
      </c>
      <c r="H137" t="inlineStr">
        <is>
          <t>Feature Request</t>
        </is>
      </c>
      <c r="I137" t="inlineStr">
        <is>
          <t>Noting this during onboarding. A bulk contact merge that keeps activity history would save our ops team hours.</t>
        </is>
      </c>
      <c r="J137" t="inlineStr">
        <is>
          <t>Neutral</t>
        </is>
      </c>
      <c r="K137" t="inlineStr">
        <is>
          <t>Medium</t>
        </is>
      </c>
      <c r="L137" t="inlineStr">
        <is>
          <t>Minor Inconvenience</t>
        </is>
      </c>
      <c r="M137" t="inlineStr">
        <is>
          <t>contact_dedupe</t>
        </is>
      </c>
      <c r="N137" t="inlineStr">
        <is>
          <t>Bulk contact merge</t>
        </is>
      </c>
      <c r="O137" t="inlineStr">
        <is>
          <t>2025-11</t>
        </is>
      </c>
    </row>
    <row r="138">
      <c r="A138" t="inlineStr">
        <is>
          <t>FB-00137</t>
        </is>
      </c>
      <c r="B138" t="inlineStr">
        <is>
          <t>CUST-0409</t>
        </is>
      </c>
      <c r="C138" s="11" t="n">
        <v>45968</v>
      </c>
      <c r="D138" t="inlineStr">
        <is>
          <t>Customer Survey</t>
        </is>
      </c>
      <c r="E138" t="inlineStr">
        <is>
          <t>Starter</t>
        </is>
      </c>
      <c r="F138" t="inlineStr">
        <is>
          <t>SMB</t>
        </is>
      </c>
      <c r="G138" t="inlineStr">
        <is>
          <t>Lead Management</t>
        </is>
      </c>
      <c r="H138" t="inlineStr">
        <is>
          <t>Usability Issue</t>
        </is>
      </c>
      <c r="I138" t="inlineStr">
        <is>
          <t>Setting up lead routing rules takes too many steps and the options don't cover territories. It affects our onboarding process every cycle. Happy to join a feedback call.</t>
        </is>
      </c>
      <c r="J138" t="inlineStr">
        <is>
          <t>Neutral</t>
        </is>
      </c>
      <c r="K138" t="inlineStr">
        <is>
          <t>Medium</t>
        </is>
      </c>
      <c r="L138" t="inlineStr">
        <is>
          <t>Workflow Slowdown</t>
        </is>
      </c>
      <c r="M138" t="inlineStr">
        <is>
          <t>lead_assign</t>
        </is>
      </c>
      <c r="N138" t="inlineStr">
        <is>
          <t>Lead routing is inflexible</t>
        </is>
      </c>
      <c r="O138" t="inlineStr">
        <is>
          <t>2025-11</t>
        </is>
      </c>
    </row>
    <row r="139">
      <c r="A139" t="inlineStr">
        <is>
          <t>FB-00138</t>
        </is>
      </c>
      <c r="B139" t="inlineStr">
        <is>
          <t>CUST-0009</t>
        </is>
      </c>
      <c r="C139" s="11" t="n">
        <v>45969</v>
      </c>
      <c r="D139" t="inlineStr">
        <is>
          <t>Support Ticket</t>
        </is>
      </c>
      <c r="E139" t="inlineStr">
        <is>
          <t>Professional</t>
        </is>
      </c>
      <c r="F139" t="inlineStr">
        <is>
          <t>Mid-Market</t>
        </is>
      </c>
      <c r="G139" t="inlineStr">
        <is>
          <t>User Interface</t>
        </is>
      </c>
      <c r="H139" t="inlineStr">
        <is>
          <t>Performance Issue</t>
        </is>
      </c>
      <c r="I139" t="inlineStr">
        <is>
          <t>Raising this again after our last business review. Since the redesign there is more slow page transitions on older laptops. Support suggested logging it here.</t>
        </is>
      </c>
      <c r="J139" t="inlineStr">
        <is>
          <t>Negative</t>
        </is>
      </c>
      <c r="K139" t="inlineStr">
        <is>
          <t>High</t>
        </is>
      </c>
      <c r="L139" t="inlineStr">
        <is>
          <t>Blocks Key Task</t>
        </is>
      </c>
      <c r="M139" t="inlineStr">
        <is>
          <t>ui_perf</t>
        </is>
      </c>
      <c r="N139" t="inlineStr">
        <is>
          <t>Laggy pages</t>
        </is>
      </c>
      <c r="O139" t="inlineStr">
        <is>
          <t>2025-11</t>
        </is>
      </c>
    </row>
    <row r="140">
      <c r="A140" t="inlineStr">
        <is>
          <t>FB-00139</t>
        </is>
      </c>
      <c r="B140" t="inlineStr">
        <is>
          <t>CUST-0011</t>
        </is>
      </c>
      <c r="C140" s="11" t="n">
        <v>45969</v>
      </c>
      <c r="D140" t="inlineStr">
        <is>
          <t>In-App Feedback</t>
        </is>
      </c>
      <c r="E140" t="inlineStr">
        <is>
          <t>Starter</t>
        </is>
      </c>
      <c r="F140" t="inlineStr">
        <is>
          <t>SMB</t>
        </is>
      </c>
      <c r="G140" t="inlineStr">
        <is>
          <t>Workflow Automation</t>
        </is>
      </c>
      <c r="H140" t="inlineStr">
        <is>
          <t>Usability Issue</t>
        </is>
      </c>
      <c r="I140" t="inlineStr">
        <is>
          <t>Feedback from our monthly review. The automation canvas is hard to follow once a flow has more than a handful of steps. Let us know if you need examples.</t>
        </is>
      </c>
      <c r="J140" t="inlineStr">
        <is>
          <t>Neutral</t>
        </is>
      </c>
      <c r="K140" t="inlineStr">
        <is>
          <t>Medium</t>
        </is>
      </c>
      <c r="L140" t="inlineStr">
        <is>
          <t>Revenue/Operations Risk</t>
        </is>
      </c>
      <c r="M140" t="inlineStr">
        <is>
          <t>wf_builder</t>
        </is>
      </c>
      <c r="N140" t="inlineStr">
        <is>
          <t>Confusing workflow builder</t>
        </is>
      </c>
      <c r="O140" t="inlineStr">
        <is>
          <t>2025-11</t>
        </is>
      </c>
    </row>
    <row r="141">
      <c r="A141" t="inlineStr">
        <is>
          <t>FB-00140</t>
        </is>
      </c>
      <c r="B141" t="inlineStr">
        <is>
          <t>CUST-0231</t>
        </is>
      </c>
      <c r="C141" s="11" t="n">
        <v>45969</v>
      </c>
      <c r="D141" t="inlineStr">
        <is>
          <t>Feature Request</t>
        </is>
      </c>
      <c r="E141" t="inlineStr">
        <is>
          <t>Enterprise</t>
        </is>
      </c>
      <c r="F141" t="inlineStr">
        <is>
          <t>Enterprise</t>
        </is>
      </c>
      <c r="G141" t="inlineStr">
        <is>
          <t>Workflow Automation</t>
        </is>
      </c>
      <c r="H141" t="inlineStr">
        <is>
          <t>Feature Request</t>
        </is>
      </c>
      <c r="I141" t="inlineStr">
        <is>
          <t>Please provide automation recipes for common processes like onboarding and renewals. It affects our weekly pipeline review process every cycle. Thanks to the team.</t>
        </is>
      </c>
      <c r="J141" t="inlineStr">
        <is>
          <t>Positive</t>
        </is>
      </c>
      <c r="K141" t="inlineStr">
        <is>
          <t>Low</t>
        </is>
      </c>
      <c r="L141" t="inlineStr">
        <is>
          <t>Minor Inconvenience</t>
        </is>
      </c>
      <c r="M141" t="inlineStr">
        <is>
          <t>wf_templates</t>
        </is>
      </c>
      <c r="N141" t="inlineStr">
        <is>
          <t>Workflow templates</t>
        </is>
      </c>
      <c r="O141" t="inlineStr">
        <is>
          <t>2025-11</t>
        </is>
      </c>
    </row>
    <row r="142">
      <c r="A142" t="inlineStr">
        <is>
          <t>FB-00141</t>
        </is>
      </c>
      <c r="B142" t="inlineStr">
        <is>
          <t>CUST-0420</t>
        </is>
      </c>
      <c r="C142" s="11" t="n">
        <v>45970</v>
      </c>
      <c r="D142" t="inlineStr">
        <is>
          <t>Feature Request</t>
        </is>
      </c>
      <c r="E142" t="inlineStr">
        <is>
          <t>Enterprise</t>
        </is>
      </c>
      <c r="F142" t="inlineStr">
        <is>
          <t>Enterprise</t>
        </is>
      </c>
      <c r="G142" t="inlineStr">
        <is>
          <t>Contact Management</t>
        </is>
      </c>
      <c r="H142" t="inlineStr">
        <is>
          <t>Feature Request</t>
        </is>
      </c>
      <c r="I142" t="inlineStr">
        <is>
          <t>Feedback from our monthly review. We need a tool to merge duplicate contacts because our database has years of overlapping records. Our admin flagged it while onboarding 15 new users.</t>
        </is>
      </c>
      <c r="J142" t="inlineStr">
        <is>
          <t>Neutral</t>
        </is>
      </c>
      <c r="K142" t="inlineStr">
        <is>
          <t>High</t>
        </is>
      </c>
      <c r="L142" t="inlineStr">
        <is>
          <t>Workflow Slowdown</t>
        </is>
      </c>
      <c r="M142" t="inlineStr">
        <is>
          <t>contact_dedupe</t>
        </is>
      </c>
      <c r="N142" t="inlineStr">
        <is>
          <t>Bulk contact merge</t>
        </is>
      </c>
      <c r="O142" t="inlineStr">
        <is>
          <t>2025-11</t>
        </is>
      </c>
    </row>
    <row r="143">
      <c r="A143" t="inlineStr">
        <is>
          <t>FB-00142</t>
        </is>
      </c>
      <c r="B143" t="inlineStr">
        <is>
          <t>CUST-0188</t>
        </is>
      </c>
      <c r="C143" s="11" t="n">
        <v>45970</v>
      </c>
      <c r="D143" t="inlineStr">
        <is>
          <t>Feature Request</t>
        </is>
      </c>
      <c r="E143" t="inlineStr">
        <is>
          <t>Enterprise</t>
        </is>
      </c>
      <c r="F143" t="inlineStr">
        <is>
          <t>Mid-Market</t>
        </is>
      </c>
      <c r="G143" t="inlineStr">
        <is>
          <t>Reporting</t>
        </is>
      </c>
      <c r="H143" t="inlineStr">
        <is>
          <t>Feature Request</t>
        </is>
      </c>
      <c r="I143" t="inlineStr">
        <is>
          <t>Requesting report scheduling so leadership gets numbers without logging in. We estimate we lose roughly 43 hours a month on this.</t>
        </is>
      </c>
      <c r="J143" t="inlineStr">
        <is>
          <t>Neutral</t>
        </is>
      </c>
      <c r="K143" t="inlineStr">
        <is>
          <t>Medium</t>
        </is>
      </c>
      <c r="L143" t="inlineStr">
        <is>
          <t>Workflow Slowdown</t>
        </is>
      </c>
      <c r="M143" t="inlineStr">
        <is>
          <t>rep_custom</t>
        </is>
      </c>
      <c r="N143" t="inlineStr">
        <is>
          <t>Custom and scheduled reports</t>
        </is>
      </c>
      <c r="O143" t="inlineStr">
        <is>
          <t>2025-11</t>
        </is>
      </c>
    </row>
    <row r="144">
      <c r="A144" t="inlineStr">
        <is>
          <t>FB-00143</t>
        </is>
      </c>
      <c r="B144" t="inlineStr">
        <is>
          <t>CUST-0293</t>
        </is>
      </c>
      <c r="C144" s="11" t="n">
        <v>45971</v>
      </c>
      <c r="D144" t="inlineStr">
        <is>
          <t>In-App Feedback</t>
        </is>
      </c>
      <c r="E144" t="inlineStr">
        <is>
          <t>Enterprise</t>
        </is>
      </c>
      <c r="F144" t="inlineStr">
        <is>
          <t>Enterprise</t>
        </is>
      </c>
      <c r="G144" t="inlineStr">
        <is>
          <t>Reporting</t>
        </is>
      </c>
      <c r="H144" t="inlineStr">
        <is>
          <t>Performance Issue</t>
        </is>
      </c>
      <c r="I144" t="inlineStr">
        <is>
          <t>Execs gave up on the report load time and ask for screenshots instead. So far 21 people on our side have reported it. Please look into it soon.</t>
        </is>
      </c>
      <c r="J144" t="inlineStr">
        <is>
          <t>Negative</t>
        </is>
      </c>
      <c r="K144" t="inlineStr">
        <is>
          <t>Critical</t>
        </is>
      </c>
      <c r="L144" t="inlineStr">
        <is>
          <t>Revenue/Operations Risk</t>
        </is>
      </c>
      <c r="M144" t="inlineStr">
        <is>
          <t>rep_slow</t>
        </is>
      </c>
      <c r="N144" t="inlineStr">
        <is>
          <t>Slow dashboards</t>
        </is>
      </c>
      <c r="O144" t="inlineStr">
        <is>
          <t>2025-11</t>
        </is>
      </c>
    </row>
    <row r="145">
      <c r="A145" t="inlineStr">
        <is>
          <t>FB-00144</t>
        </is>
      </c>
      <c r="B145" t="inlineStr">
        <is>
          <t>CUST-0229</t>
        </is>
      </c>
      <c r="C145" s="11" t="n">
        <v>45971</v>
      </c>
      <c r="D145" t="inlineStr">
        <is>
          <t>Customer Survey</t>
        </is>
      </c>
      <c r="E145" t="inlineStr">
        <is>
          <t>Starter</t>
        </is>
      </c>
      <c r="F145" t="inlineStr">
        <is>
          <t>Mid-Market</t>
        </is>
      </c>
      <c r="G145" t="inlineStr">
        <is>
          <t>Lead Management</t>
        </is>
      </c>
      <c r="H145" t="inlineStr">
        <is>
          <t>Usability Issue</t>
        </is>
      </c>
      <c r="I145" t="inlineStr">
        <is>
          <t>Our team keeps running into this. We can't combine region and deal size in the lead routing rules. It happens about 5 times a week for our team of 26. We need a fix before renewal.</t>
        </is>
      </c>
      <c r="J145" t="inlineStr">
        <is>
          <t>Negative</t>
        </is>
      </c>
      <c r="K145" t="inlineStr">
        <is>
          <t>Low</t>
        </is>
      </c>
      <c r="L145" t="inlineStr">
        <is>
          <t>Minor Inconvenience</t>
        </is>
      </c>
      <c r="M145" t="inlineStr">
        <is>
          <t>lead_assign</t>
        </is>
      </c>
      <c r="N145" t="inlineStr">
        <is>
          <t>Lead routing is inflexible</t>
        </is>
      </c>
      <c r="O145" t="inlineStr">
        <is>
          <t>2025-11</t>
        </is>
      </c>
    </row>
    <row r="146">
      <c r="A146" t="inlineStr">
        <is>
          <t>FB-00145</t>
        </is>
      </c>
      <c r="B146" t="inlineStr">
        <is>
          <t>CUST-0269</t>
        </is>
      </c>
      <c r="C146" s="11" t="n">
        <v>45971</v>
      </c>
      <c r="D146" t="inlineStr">
        <is>
          <t>Feature Request</t>
        </is>
      </c>
      <c r="E146" t="inlineStr">
        <is>
          <t>Professional</t>
        </is>
      </c>
      <c r="F146" t="inlineStr">
        <is>
          <t>SMB</t>
        </is>
      </c>
      <c r="G146" t="inlineStr">
        <is>
          <t>User Interface</t>
        </is>
      </c>
      <c r="H146" t="inlineStr">
        <is>
          <t>Usability Issue</t>
        </is>
      </c>
      <c r="I146" t="inlineStr">
        <is>
          <t>Too many clicks to reach common screens because of the settings navigation. We estimate we lose roughly 13 hours a month on this. Happy to join a feedback call.</t>
        </is>
      </c>
      <c r="J146" t="inlineStr">
        <is>
          <t>Neutral</t>
        </is>
      </c>
      <c r="K146" t="inlineStr">
        <is>
          <t>Critical</t>
        </is>
      </c>
      <c r="L146" t="inlineStr">
        <is>
          <t>Blocks Key Task</t>
        </is>
      </c>
      <c r="M146" t="inlineStr">
        <is>
          <t>ui_nav</t>
        </is>
      </c>
      <c r="N146" t="inlineStr">
        <is>
          <t>Cluttered navigation</t>
        </is>
      </c>
      <c r="O146" t="inlineStr">
        <is>
          <t>2025-11</t>
        </is>
      </c>
    </row>
    <row r="147">
      <c r="A147" t="inlineStr">
        <is>
          <t>FB-00146</t>
        </is>
      </c>
      <c r="B147" t="inlineStr">
        <is>
          <t>CUST-0069</t>
        </is>
      </c>
      <c r="C147" s="11" t="n">
        <v>45972</v>
      </c>
      <c r="D147" t="inlineStr">
        <is>
          <t>Support Ticket</t>
        </is>
      </c>
      <c r="E147" t="inlineStr">
        <is>
          <t>Starter</t>
        </is>
      </c>
      <c r="F147" t="inlineStr">
        <is>
          <t>Mid-Market</t>
        </is>
      </c>
      <c r="G147" t="inlineStr">
        <is>
          <t>Workflow Automation</t>
        </is>
      </c>
      <c r="H147" t="inlineStr">
        <is>
          <t>Bug</t>
        </is>
      </c>
      <c r="I147" t="inlineStr">
        <is>
          <t>Since the last release we've had workflow failures and tasks are being created twice. We estimate we lose roughly 41 hours a month on this. Please look into it soon.</t>
        </is>
      </c>
      <c r="J147" t="inlineStr">
        <is>
          <t>Negative</t>
        </is>
      </c>
      <c r="K147" t="inlineStr">
        <is>
          <t>Medium</t>
        </is>
      </c>
      <c r="L147" t="inlineStr">
        <is>
          <t>Workflow Slowdown</t>
        </is>
      </c>
      <c r="M147" t="inlineStr">
        <is>
          <t>wf_fail</t>
        </is>
      </c>
      <c r="N147" t="inlineStr">
        <is>
          <t>Workflows failing silently</t>
        </is>
      </c>
      <c r="O147" t="inlineStr">
        <is>
          <t>2025-11</t>
        </is>
      </c>
    </row>
    <row r="148">
      <c r="A148" t="inlineStr">
        <is>
          <t>FB-00147</t>
        </is>
      </c>
      <c r="B148" t="inlineStr">
        <is>
          <t>CUST-0411</t>
        </is>
      </c>
      <c r="C148" s="11" t="n">
        <v>45972</v>
      </c>
      <c r="D148" t="inlineStr">
        <is>
          <t>Customer Survey</t>
        </is>
      </c>
      <c r="E148" t="inlineStr">
        <is>
          <t>Starter</t>
        </is>
      </c>
      <c r="F148" t="inlineStr">
        <is>
          <t>SMB</t>
        </is>
      </c>
      <c r="G148" t="inlineStr">
        <is>
          <t>Lead Management</t>
        </is>
      </c>
      <c r="H148" t="inlineStr">
        <is>
          <t>Performance Issue</t>
        </is>
      </c>
      <c r="I148" t="inlineStr">
        <is>
          <t>Escalating on behalf of our ops lead. Complaint about pipeline board loading: the board freezes while cards render. We estimate we lose roughly 33 hours a month on this. We need a fix before renewal.</t>
        </is>
      </c>
      <c r="J148" t="inlineStr">
        <is>
          <t>Negative</t>
        </is>
      </c>
      <c r="K148" t="inlineStr">
        <is>
          <t>Low</t>
        </is>
      </c>
      <c r="L148" t="inlineStr">
        <is>
          <t>Minor Inconvenience</t>
        </is>
      </c>
      <c r="M148" t="inlineStr">
        <is>
          <t>lead_slow</t>
        </is>
      </c>
      <c r="N148" t="inlineStr">
        <is>
          <t>Slow lead lists and pipeline board</t>
        </is>
      </c>
      <c r="O148" t="inlineStr">
        <is>
          <t>2025-11</t>
        </is>
      </c>
    </row>
    <row r="149">
      <c r="A149" t="inlineStr">
        <is>
          <t>FB-00148</t>
        </is>
      </c>
      <c r="B149" t="inlineStr">
        <is>
          <t>CUST-0315</t>
        </is>
      </c>
      <c r="C149" s="11" t="n">
        <v>45972</v>
      </c>
      <c r="D149" t="inlineStr">
        <is>
          <t>Feature Request</t>
        </is>
      </c>
      <c r="E149" t="inlineStr">
        <is>
          <t>Professional</t>
        </is>
      </c>
      <c r="F149" t="inlineStr">
        <is>
          <t>SMB</t>
        </is>
      </c>
      <c r="G149" t="inlineStr">
        <is>
          <t>Workflow Automation</t>
        </is>
      </c>
      <c r="H149" t="inlineStr">
        <is>
          <t>Feature Request</t>
        </is>
      </c>
      <c r="I149" t="inlineStr">
        <is>
          <t>Sharing this from our team. We'd adopt automation faster with automation recipes we could customize. Our finance analyst flagged it while onboarding 70 new users. Happy to join a feedback call.</t>
        </is>
      </c>
      <c r="J149" t="inlineStr">
        <is>
          <t>Neutral</t>
        </is>
      </c>
      <c r="K149" t="inlineStr">
        <is>
          <t>Low</t>
        </is>
      </c>
      <c r="L149" t="inlineStr">
        <is>
          <t>Minor Inconvenience</t>
        </is>
      </c>
      <c r="M149" t="inlineStr">
        <is>
          <t>wf_templates</t>
        </is>
      </c>
      <c r="N149" t="inlineStr">
        <is>
          <t>Workflow templates</t>
        </is>
      </c>
      <c r="O149" t="inlineStr">
        <is>
          <t>2025-11</t>
        </is>
      </c>
    </row>
    <row r="150">
      <c r="A150" t="inlineStr">
        <is>
          <t>FB-00149</t>
        </is>
      </c>
      <c r="B150" t="inlineStr">
        <is>
          <t>CUST-0117</t>
        </is>
      </c>
      <c r="C150" s="11" t="n">
        <v>45972</v>
      </c>
      <c r="D150" t="inlineStr">
        <is>
          <t>In-App Feedback</t>
        </is>
      </c>
      <c r="E150" t="inlineStr">
        <is>
          <t>Professional</t>
        </is>
      </c>
      <c r="F150" t="inlineStr">
        <is>
          <t>Mid-Market</t>
        </is>
      </c>
      <c r="G150" t="inlineStr">
        <is>
          <t>Workflow Automation</t>
        </is>
      </c>
      <c r="H150" t="inlineStr">
        <is>
          <t>Feature Request</t>
        </is>
      </c>
      <c r="I150" t="inlineStr">
        <is>
          <t>We'd adopt automation faster with automation recipes we could customize. It happens about 15 times a week for our team of 104. Happy to join a feedback call.</t>
        </is>
      </c>
      <c r="J150" t="inlineStr">
        <is>
          <t>Neutral</t>
        </is>
      </c>
      <c r="K150" t="inlineStr">
        <is>
          <t>Critical</t>
        </is>
      </c>
      <c r="L150" t="inlineStr">
        <is>
          <t>Revenue/Operations Risk</t>
        </is>
      </c>
      <c r="M150" t="inlineStr">
        <is>
          <t>wf_templates</t>
        </is>
      </c>
      <c r="N150" t="inlineStr">
        <is>
          <t>Workflow templates</t>
        </is>
      </c>
      <c r="O150" t="inlineStr">
        <is>
          <t>2025-11</t>
        </is>
      </c>
    </row>
    <row r="151">
      <c r="A151" t="inlineStr">
        <is>
          <t>FB-00150</t>
        </is>
      </c>
      <c r="B151" t="inlineStr">
        <is>
          <t>CUST-0109</t>
        </is>
      </c>
      <c r="C151" s="11" t="n">
        <v>45972</v>
      </c>
      <c r="D151" t="inlineStr">
        <is>
          <t>Feature Request</t>
        </is>
      </c>
      <c r="E151" t="inlineStr">
        <is>
          <t>Enterprise</t>
        </is>
      </c>
      <c r="F151" t="inlineStr">
        <is>
          <t>Enterprise</t>
        </is>
      </c>
      <c r="G151" t="inlineStr">
        <is>
          <t>Workflow Automation</t>
        </is>
      </c>
      <c r="H151" t="inlineStr">
        <is>
          <t>Feature Request</t>
        </is>
      </c>
      <c r="I151" t="inlineStr">
        <is>
          <t>Feedback from our monthly review. Competitors ship automation recipes; we are rebuilding the same flows from scratch. We estimate we lose roughly 9 hours a month on this. Let us know if you need examples.</t>
        </is>
      </c>
      <c r="J151" t="inlineStr">
        <is>
          <t>Neutral</t>
        </is>
      </c>
      <c r="K151" t="inlineStr">
        <is>
          <t>Low</t>
        </is>
      </c>
      <c r="L151" t="inlineStr">
        <is>
          <t>Minor Inconvenience</t>
        </is>
      </c>
      <c r="M151" t="inlineStr">
        <is>
          <t>wf_templates</t>
        </is>
      </c>
      <c r="N151" t="inlineStr">
        <is>
          <t>Workflow templates</t>
        </is>
      </c>
      <c r="O151" t="inlineStr">
        <is>
          <t>2025-11</t>
        </is>
      </c>
    </row>
    <row r="152">
      <c r="A152" t="inlineStr">
        <is>
          <t>FB-00151</t>
        </is>
      </c>
      <c r="B152" t="inlineStr">
        <is>
          <t>CUST-0217</t>
        </is>
      </c>
      <c r="C152" s="11" t="n">
        <v>45974</v>
      </c>
      <c r="D152" t="inlineStr">
        <is>
          <t>Support Ticket</t>
        </is>
      </c>
      <c r="E152" t="inlineStr">
        <is>
          <t>Starter</t>
        </is>
      </c>
      <c r="F152" t="inlineStr">
        <is>
          <t>Mid-Market</t>
        </is>
      </c>
      <c r="G152" t="inlineStr">
        <is>
          <t>Lead Management</t>
        </is>
      </c>
      <c r="H152" t="inlineStr">
        <is>
          <t>Bug</t>
        </is>
      </c>
      <c r="I152" t="inlineStr">
        <is>
          <t>Not what we expected for the price. We are seeing lead de-duplication failures when a lead arrives from both the website and a trade-show list. We estimate we lose roughly 38 hours a month on this.</t>
        </is>
      </c>
      <c r="J152" t="inlineStr">
        <is>
          <t>Negative</t>
        </is>
      </c>
      <c r="K152" t="inlineStr">
        <is>
          <t>High</t>
        </is>
      </c>
      <c r="L152" t="inlineStr">
        <is>
          <t>Blocks Key Task</t>
        </is>
      </c>
      <c r="M152" t="inlineStr">
        <is>
          <t>lead_dup</t>
        </is>
      </c>
      <c r="N152" t="inlineStr">
        <is>
          <t>Duplicate leads created</t>
        </is>
      </c>
      <c r="O152" t="inlineStr">
        <is>
          <t>2025-11</t>
        </is>
      </c>
    </row>
    <row r="153">
      <c r="A153" t="inlineStr">
        <is>
          <t>FB-00152</t>
        </is>
      </c>
      <c r="B153" t="inlineStr">
        <is>
          <t>CUST-0234</t>
        </is>
      </c>
      <c r="C153" s="11" t="n">
        <v>45974</v>
      </c>
      <c r="D153" t="inlineStr">
        <is>
          <t>Support Ticket</t>
        </is>
      </c>
      <c r="E153" t="inlineStr">
        <is>
          <t>Enterprise</t>
        </is>
      </c>
      <c r="F153" t="inlineStr">
        <is>
          <t>SMB</t>
        </is>
      </c>
      <c r="G153" t="inlineStr">
        <is>
          <t>Reporting</t>
        </is>
      </c>
      <c r="H153" t="inlineStr">
        <is>
          <t>Performance Issue</t>
        </is>
      </c>
      <c r="I153" t="inlineStr">
        <is>
          <t>Not what we expected for the price. Execs gave up on the dashboard refresh and ask for screenshots instead. It affects our onboarding process every cycle. Is there a workaround?</t>
        </is>
      </c>
      <c r="J153" t="inlineStr">
        <is>
          <t>Negative</t>
        </is>
      </c>
      <c r="K153" t="inlineStr">
        <is>
          <t>Medium</t>
        </is>
      </c>
      <c r="L153" t="inlineStr">
        <is>
          <t>Workflow Slowdown</t>
        </is>
      </c>
      <c r="M153" t="inlineStr">
        <is>
          <t>rep_slow</t>
        </is>
      </c>
      <c r="N153" t="inlineStr">
        <is>
          <t>Slow dashboards</t>
        </is>
      </c>
      <c r="O153" t="inlineStr">
        <is>
          <t>2025-11</t>
        </is>
      </c>
    </row>
    <row r="154">
      <c r="A154" t="inlineStr">
        <is>
          <t>FB-00153</t>
        </is>
      </c>
      <c r="B154" t="inlineStr">
        <is>
          <t>CUST-0196</t>
        </is>
      </c>
      <c r="C154" s="11" t="n">
        <v>45975</v>
      </c>
      <c r="D154" t="inlineStr">
        <is>
          <t>Customer Survey</t>
        </is>
      </c>
      <c r="E154" t="inlineStr">
        <is>
          <t>Enterprise</t>
        </is>
      </c>
      <c r="F154" t="inlineStr">
        <is>
          <t>Enterprise</t>
        </is>
      </c>
      <c r="G154" t="inlineStr">
        <is>
          <t>Reporting</t>
        </is>
      </c>
      <c r="H154" t="inlineStr">
        <is>
          <t>Feature Request</t>
        </is>
      </c>
      <c r="I154" t="inlineStr">
        <is>
          <t>Requesting forecast rollups that updates as deal stages change. Let us know if you need examples.</t>
        </is>
      </c>
      <c r="J154" t="inlineStr">
        <is>
          <t>Neutral</t>
        </is>
      </c>
      <c r="K154" t="inlineStr">
        <is>
          <t>Low</t>
        </is>
      </c>
      <c r="L154" t="inlineStr">
        <is>
          <t>Minor Inconvenience</t>
        </is>
      </c>
      <c r="M154" t="inlineStr">
        <is>
          <t>rep_forecast</t>
        </is>
      </c>
      <c r="N154" t="inlineStr">
        <is>
          <t>Sales forecasting</t>
        </is>
      </c>
      <c r="O154" t="inlineStr">
        <is>
          <t>2025-11</t>
        </is>
      </c>
    </row>
    <row r="155">
      <c r="A155" t="inlineStr">
        <is>
          <t>FB-00154</t>
        </is>
      </c>
      <c r="B155" t="inlineStr">
        <is>
          <t>CUST-0075</t>
        </is>
      </c>
      <c r="C155" s="11" t="n">
        <v>45975</v>
      </c>
      <c r="D155" t="inlineStr">
        <is>
          <t>In-App Feedback</t>
        </is>
      </c>
      <c r="E155" t="inlineStr">
        <is>
          <t>Professional</t>
        </is>
      </c>
      <c r="F155" t="inlineStr">
        <is>
          <t>Enterprise</t>
        </is>
      </c>
      <c r="G155" t="inlineStr">
        <is>
          <t>Reporting</t>
        </is>
      </c>
      <c r="H155" t="inlineStr">
        <is>
          <t>Performance Issue</t>
        </is>
      </c>
      <c r="I155" t="inlineStr">
        <is>
          <t>FYI for the product team. Execs gave up on the dashboard refresh and ask for screenshots instead. It affects our month-end reporting process every cycle.</t>
        </is>
      </c>
      <c r="J155" t="inlineStr">
        <is>
          <t>Neutral</t>
        </is>
      </c>
      <c r="K155" t="inlineStr">
        <is>
          <t>Medium</t>
        </is>
      </c>
      <c r="L155" t="inlineStr">
        <is>
          <t>Minor Inconvenience</t>
        </is>
      </c>
      <c r="M155" t="inlineStr">
        <is>
          <t>rep_slow</t>
        </is>
      </c>
      <c r="N155" t="inlineStr">
        <is>
          <t>Slow dashboards</t>
        </is>
      </c>
      <c r="O155" t="inlineStr">
        <is>
          <t>2025-11</t>
        </is>
      </c>
    </row>
    <row r="156">
      <c r="A156" t="inlineStr">
        <is>
          <t>FB-00155</t>
        </is>
      </c>
      <c r="B156" t="inlineStr">
        <is>
          <t>CUST-0315</t>
        </is>
      </c>
      <c r="C156" s="11" t="n">
        <v>45975</v>
      </c>
      <c r="D156" t="inlineStr">
        <is>
          <t>Support Ticket</t>
        </is>
      </c>
      <c r="E156" t="inlineStr">
        <is>
          <t>Professional</t>
        </is>
      </c>
      <c r="F156" t="inlineStr">
        <is>
          <t>SMB</t>
        </is>
      </c>
      <c r="G156" t="inlineStr">
        <is>
          <t>Reporting</t>
        </is>
      </c>
      <c r="H156" t="inlineStr">
        <is>
          <t>Performance Issue</t>
        </is>
      </c>
      <c r="I156" t="inlineStr">
        <is>
          <t>Our report load time spins for a minute before showing any chart. Our marketing ops owner flagged it while onboarding 78 new users. Is there a workaround?</t>
        </is>
      </c>
      <c r="J156" t="inlineStr">
        <is>
          <t>Negative</t>
        </is>
      </c>
      <c r="K156" t="inlineStr">
        <is>
          <t>Low</t>
        </is>
      </c>
      <c r="L156" t="inlineStr">
        <is>
          <t>Minor Inconvenience</t>
        </is>
      </c>
      <c r="M156" t="inlineStr">
        <is>
          <t>rep_slow</t>
        </is>
      </c>
      <c r="N156" t="inlineStr">
        <is>
          <t>Slow dashboards</t>
        </is>
      </c>
      <c r="O156" t="inlineStr">
        <is>
          <t>2025-11</t>
        </is>
      </c>
    </row>
    <row r="157">
      <c r="A157" t="inlineStr">
        <is>
          <t>FB-00156</t>
        </is>
      </c>
      <c r="B157" t="inlineStr">
        <is>
          <t>CUST-0003</t>
        </is>
      </c>
      <c r="C157" s="11" t="n">
        <v>45975</v>
      </c>
      <c r="D157" t="inlineStr">
        <is>
          <t>In-App Feedback</t>
        </is>
      </c>
      <c r="E157" t="inlineStr">
        <is>
          <t>Starter</t>
        </is>
      </c>
      <c r="F157" t="inlineStr">
        <is>
          <t>Mid-Market</t>
        </is>
      </c>
      <c r="G157" t="inlineStr">
        <is>
          <t>Reporting</t>
        </is>
      </c>
      <c r="H157" t="inlineStr">
        <is>
          <t>Performance Issue</t>
        </is>
      </c>
      <c r="I157" t="inlineStr">
        <is>
          <t>Report load time got noticeably worse over the last few months. So far 64 people on our side have reported it. Is there a workaround?</t>
        </is>
      </c>
      <c r="J157" t="inlineStr">
        <is>
          <t>Negative</t>
        </is>
      </c>
      <c r="K157" t="inlineStr">
        <is>
          <t>Medium</t>
        </is>
      </c>
      <c r="L157" t="inlineStr">
        <is>
          <t>Minor Inconvenience</t>
        </is>
      </c>
      <c r="M157" t="inlineStr">
        <is>
          <t>rep_slow</t>
        </is>
      </c>
      <c r="N157" t="inlineStr">
        <is>
          <t>Slow dashboards</t>
        </is>
      </c>
      <c r="O157" t="inlineStr">
        <is>
          <t>2025-11</t>
        </is>
      </c>
    </row>
    <row r="158">
      <c r="A158" t="inlineStr">
        <is>
          <t>FB-00157</t>
        </is>
      </c>
      <c r="B158" t="inlineStr">
        <is>
          <t>CUST-0307</t>
        </is>
      </c>
      <c r="C158" s="11" t="n">
        <v>45976</v>
      </c>
      <c r="D158" t="inlineStr">
        <is>
          <t>Feature Request</t>
        </is>
      </c>
      <c r="E158" t="inlineStr">
        <is>
          <t>Starter</t>
        </is>
      </c>
      <c r="F158" t="inlineStr">
        <is>
          <t>SMB</t>
        </is>
      </c>
      <c r="G158" t="inlineStr">
        <is>
          <t>Lead Management</t>
        </is>
      </c>
      <c r="H158" t="inlineStr">
        <is>
          <t>Feature Request</t>
        </is>
      </c>
      <c r="I158" t="inlineStr">
        <is>
          <t>We need automated lead scoring so reps can focus on the prospects most likely to close. So far 60 people on our side have reported it. Let us know if you need examples.</t>
        </is>
      </c>
      <c r="J158" t="inlineStr">
        <is>
          <t>Neutral</t>
        </is>
      </c>
      <c r="K158" t="inlineStr">
        <is>
          <t>Low</t>
        </is>
      </c>
      <c r="L158" t="inlineStr">
        <is>
          <t>Workflow Slowdown</t>
        </is>
      </c>
      <c r="M158" t="inlineStr">
        <is>
          <t>lead_score</t>
        </is>
      </c>
      <c r="N158" t="inlineStr">
        <is>
          <t>Automated lead scoring</t>
        </is>
      </c>
      <c r="O158" t="inlineStr">
        <is>
          <t>2025-11</t>
        </is>
      </c>
    </row>
    <row r="159">
      <c r="A159" t="inlineStr">
        <is>
          <t>FB-00158</t>
        </is>
      </c>
      <c r="B159" t="inlineStr">
        <is>
          <t>CUST-0111</t>
        </is>
      </c>
      <c r="C159" s="11" t="n">
        <v>45976</v>
      </c>
      <c r="D159" t="inlineStr">
        <is>
          <t>Support Ticket</t>
        </is>
      </c>
      <c r="E159" t="inlineStr">
        <is>
          <t>Professional</t>
        </is>
      </c>
      <c r="F159" t="inlineStr">
        <is>
          <t>Enterprise</t>
        </is>
      </c>
      <c r="G159" t="inlineStr">
        <is>
          <t>Contact Management</t>
        </is>
      </c>
      <c r="H159" t="inlineStr">
        <is>
          <t>Feature Request</t>
        </is>
      </c>
      <c r="I159" t="inlineStr">
        <is>
          <t>Feedback from our monthly review. Is there any plan for a tool to merge duplicate contacts? Merging one record at a time is not realistic. We estimate we lose roughly 11 hours a month on this.</t>
        </is>
      </c>
      <c r="J159" t="inlineStr">
        <is>
          <t>Neutral</t>
        </is>
      </c>
      <c r="K159" t="inlineStr">
        <is>
          <t>Low</t>
        </is>
      </c>
      <c r="L159" t="inlineStr">
        <is>
          <t>Minor Inconvenience</t>
        </is>
      </c>
      <c r="M159" t="inlineStr">
        <is>
          <t>contact_dedupe</t>
        </is>
      </c>
      <c r="N159" t="inlineStr">
        <is>
          <t>Bulk contact merge</t>
        </is>
      </c>
      <c r="O159" t="inlineStr">
        <is>
          <t>2025-11</t>
        </is>
      </c>
    </row>
    <row r="160">
      <c r="A160" t="inlineStr">
        <is>
          <t>FB-00159</t>
        </is>
      </c>
      <c r="B160" t="inlineStr">
        <is>
          <t>CUST-0055</t>
        </is>
      </c>
      <c r="C160" s="11" t="n">
        <v>45976</v>
      </c>
      <c r="D160" t="inlineStr">
        <is>
          <t>Feature Request</t>
        </is>
      </c>
      <c r="E160" t="inlineStr">
        <is>
          <t>Professional</t>
        </is>
      </c>
      <c r="F160" t="inlineStr">
        <is>
          <t>Mid-Market</t>
        </is>
      </c>
      <c r="G160" t="inlineStr">
        <is>
          <t>Workflow Automation</t>
        </is>
      </c>
      <c r="H160" t="inlineStr">
        <is>
          <t>Feature Request</t>
        </is>
      </c>
      <c r="I160" t="inlineStr">
        <is>
          <t>Sharing this from our team. Competitors ship prebuilt automations; we are rebuilding the same flows from scratch. So far 119 people on our side have reported it. Let us know if you need examples.</t>
        </is>
      </c>
      <c r="J160" t="inlineStr">
        <is>
          <t>Neutral</t>
        </is>
      </c>
      <c r="K160" t="inlineStr">
        <is>
          <t>Low</t>
        </is>
      </c>
      <c r="L160" t="inlineStr">
        <is>
          <t>Minor Inconvenience</t>
        </is>
      </c>
      <c r="M160" t="inlineStr">
        <is>
          <t>wf_templates</t>
        </is>
      </c>
      <c r="N160" t="inlineStr">
        <is>
          <t>Workflow templates</t>
        </is>
      </c>
      <c r="O160" t="inlineStr">
        <is>
          <t>2025-11</t>
        </is>
      </c>
    </row>
    <row r="161">
      <c r="A161" t="inlineStr">
        <is>
          <t>FB-00160</t>
        </is>
      </c>
      <c r="B161" t="inlineStr">
        <is>
          <t>CUST-0349</t>
        </is>
      </c>
      <c r="C161" s="11" t="n">
        <v>45976</v>
      </c>
      <c r="D161" t="inlineStr">
        <is>
          <t>Feature Request</t>
        </is>
      </c>
      <c r="E161" t="inlineStr">
        <is>
          <t>Professional</t>
        </is>
      </c>
      <c r="F161" t="inlineStr">
        <is>
          <t>Mid-Market</t>
        </is>
      </c>
      <c r="G161" t="inlineStr">
        <is>
          <t>Workflow Automation</t>
        </is>
      </c>
      <c r="H161" t="inlineStr">
        <is>
          <t>Feature Request</t>
        </is>
      </c>
      <c r="I161" t="inlineStr">
        <is>
          <t>Happy with most of the product. Requesting approval steps; today approvals happen over chat. So far 7 people on our side have reported it. Thanks to the team.</t>
        </is>
      </c>
      <c r="J161" t="inlineStr">
        <is>
          <t>Positive</t>
        </is>
      </c>
      <c r="K161" t="inlineStr">
        <is>
          <t>Medium</t>
        </is>
      </c>
      <c r="L161" t="inlineStr">
        <is>
          <t>Blocks Key Task</t>
        </is>
      </c>
      <c r="M161" t="inlineStr">
        <is>
          <t>wf_approval</t>
        </is>
      </c>
      <c r="N161" t="inlineStr">
        <is>
          <t>Approval steps in workflows</t>
        </is>
      </c>
      <c r="O161" t="inlineStr">
        <is>
          <t>2025-11</t>
        </is>
      </c>
    </row>
    <row r="162">
      <c r="A162" t="inlineStr">
        <is>
          <t>FB-00161</t>
        </is>
      </c>
      <c r="B162" t="inlineStr">
        <is>
          <t>CUST-0098</t>
        </is>
      </c>
      <c r="C162" s="11" t="n">
        <v>45977</v>
      </c>
      <c r="D162" t="inlineStr">
        <is>
          <t>Feature Request</t>
        </is>
      </c>
      <c r="E162" t="inlineStr">
        <is>
          <t>Professional</t>
        </is>
      </c>
      <c r="F162" t="inlineStr">
        <is>
          <t>Enterprise</t>
        </is>
      </c>
      <c r="G162" t="inlineStr">
        <is>
          <t>Integrations</t>
        </is>
      </c>
      <c r="H162" t="inlineStr">
        <is>
          <t>Feature Request</t>
        </is>
      </c>
      <c r="I162" t="inlineStr">
        <is>
          <t>We would pay for a native accounting integration instead of maintaining Zapier chains. We estimate we lose roughly 49 hours a month on this. Let us know if you need examples.</t>
        </is>
      </c>
      <c r="J162" t="inlineStr">
        <is>
          <t>Neutral</t>
        </is>
      </c>
      <c r="K162" t="inlineStr">
        <is>
          <t>Medium</t>
        </is>
      </c>
      <c r="L162" t="inlineStr">
        <is>
          <t>Minor Inconvenience</t>
        </is>
      </c>
      <c r="M162" t="inlineStr">
        <is>
          <t>int_native</t>
        </is>
      </c>
      <c r="N162" t="inlineStr">
        <is>
          <t>Native integrations</t>
        </is>
      </c>
      <c r="O162" t="inlineStr">
        <is>
          <t>2025-11</t>
        </is>
      </c>
    </row>
    <row r="163">
      <c r="A163" t="inlineStr">
        <is>
          <t>FB-00162</t>
        </is>
      </c>
      <c r="B163" t="inlineStr">
        <is>
          <t>CUST-0307</t>
        </is>
      </c>
      <c r="C163" s="11" t="n">
        <v>45977</v>
      </c>
      <c r="D163" t="inlineStr">
        <is>
          <t>Customer Survey</t>
        </is>
      </c>
      <c r="E163" t="inlineStr">
        <is>
          <t>Starter</t>
        </is>
      </c>
      <c r="F163" t="inlineStr">
        <is>
          <t>SMB</t>
        </is>
      </c>
      <c r="G163" t="inlineStr">
        <is>
          <t>Lead Management</t>
        </is>
      </c>
      <c r="H163" t="inlineStr">
        <is>
          <t>Performance Issue</t>
        </is>
      </c>
      <c r="I163" t="inlineStr">
        <is>
          <t>This has been a recurring problem for us. The lead view load times gets very slow once we pass a few thousand open leads. We need a fix before renewal.</t>
        </is>
      </c>
      <c r="J163" t="inlineStr">
        <is>
          <t>Negative</t>
        </is>
      </c>
      <c r="K163" t="inlineStr">
        <is>
          <t>High</t>
        </is>
      </c>
      <c r="L163" t="inlineStr">
        <is>
          <t>Blocks Key Task</t>
        </is>
      </c>
      <c r="M163" t="inlineStr">
        <is>
          <t>lead_slow</t>
        </is>
      </c>
      <c r="N163" t="inlineStr">
        <is>
          <t>Slow lead lists and pipeline board</t>
        </is>
      </c>
      <c r="O163" t="inlineStr">
        <is>
          <t>2025-11</t>
        </is>
      </c>
    </row>
    <row r="164">
      <c r="A164" t="inlineStr">
        <is>
          <t>FB-00163</t>
        </is>
      </c>
      <c r="B164" t="inlineStr">
        <is>
          <t>CUST-0065</t>
        </is>
      </c>
      <c r="C164" s="11" t="n">
        <v>45977</v>
      </c>
      <c r="D164" t="inlineStr">
        <is>
          <t>Customer Survey</t>
        </is>
      </c>
      <c r="E164" t="inlineStr">
        <is>
          <t>Professional</t>
        </is>
      </c>
      <c r="F164" t="inlineStr">
        <is>
          <t>Mid-Market</t>
        </is>
      </c>
      <c r="G164" t="inlineStr">
        <is>
          <t>User Interface</t>
        </is>
      </c>
      <c r="H164" t="inlineStr">
        <is>
          <t>Feature Request</t>
        </is>
      </c>
      <c r="I164" t="inlineStr">
        <is>
          <t>Please prioritize mobile call logging; the mobile web view is hard to use. It happens about 32 times a week for our team of 16.</t>
        </is>
      </c>
      <c r="J164" t="inlineStr">
        <is>
          <t>Positive</t>
        </is>
      </c>
      <c r="K164" t="inlineStr">
        <is>
          <t>Low</t>
        </is>
      </c>
      <c r="L164" t="inlineStr">
        <is>
          <t>Minor Inconvenience</t>
        </is>
      </c>
      <c r="M164" t="inlineStr">
        <is>
          <t>ui_mobile</t>
        </is>
      </c>
      <c r="N164" t="inlineStr">
        <is>
          <t>Mobile app</t>
        </is>
      </c>
      <c r="O164" t="inlineStr">
        <is>
          <t>2025-11</t>
        </is>
      </c>
    </row>
    <row r="165">
      <c r="A165" t="inlineStr">
        <is>
          <t>FB-00164</t>
        </is>
      </c>
      <c r="B165" t="inlineStr">
        <is>
          <t>CUST-0306</t>
        </is>
      </c>
      <c r="C165" s="11" t="n">
        <v>45978</v>
      </c>
      <c r="D165" t="inlineStr">
        <is>
          <t>Feature Request</t>
        </is>
      </c>
      <c r="E165" t="inlineStr">
        <is>
          <t>Professional</t>
        </is>
      </c>
      <c r="F165" t="inlineStr">
        <is>
          <t>SMB</t>
        </is>
      </c>
      <c r="G165" t="inlineStr">
        <is>
          <t>User Interface</t>
        </is>
      </c>
      <c r="H165" t="inlineStr">
        <is>
          <t>Feature Request</t>
        </is>
      </c>
      <c r="I165" t="inlineStr">
        <is>
          <t>Recent updates have been a nice improvement. Please add multi-select actions; changing records one at a time wastes hours. Happy to beta test.</t>
        </is>
      </c>
      <c r="J165" t="inlineStr">
        <is>
          <t>Positive</t>
        </is>
      </c>
      <c r="K165" t="inlineStr">
        <is>
          <t>Low</t>
        </is>
      </c>
      <c r="L165" t="inlineStr">
        <is>
          <t>Minor Inconvenience</t>
        </is>
      </c>
      <c r="M165" t="inlineStr">
        <is>
          <t>ui_bulk</t>
        </is>
      </c>
      <c r="N165" t="inlineStr">
        <is>
          <t>Bulk actions</t>
        </is>
      </c>
      <c r="O165" t="inlineStr">
        <is>
          <t>2025-11</t>
        </is>
      </c>
    </row>
    <row r="166">
      <c r="A166" t="inlineStr">
        <is>
          <t>FB-00165</t>
        </is>
      </c>
      <c r="B166" t="inlineStr">
        <is>
          <t>CUST-0015</t>
        </is>
      </c>
      <c r="C166" s="11" t="n">
        <v>45978</v>
      </c>
      <c r="D166" t="inlineStr">
        <is>
          <t>Support Ticket</t>
        </is>
      </c>
      <c r="E166" t="inlineStr">
        <is>
          <t>Professional</t>
        </is>
      </c>
      <c r="F166" t="inlineStr">
        <is>
          <t>Mid-Market</t>
        </is>
      </c>
      <c r="G166" t="inlineStr">
        <is>
          <t>Integrations</t>
        </is>
      </c>
      <c r="H166" t="inlineStr">
        <is>
          <t>Integration Issue</t>
        </is>
      </c>
      <c r="I166" t="inlineStr">
        <is>
          <t>Frustrated with this one. We keep hitting API rate limits during nightly syncs with our data warehouse. We estimate we lose roughly 44 hours a month on this.</t>
        </is>
      </c>
      <c r="J166" t="inlineStr">
        <is>
          <t>Negative</t>
        </is>
      </c>
      <c r="K166" t="inlineStr">
        <is>
          <t>Medium</t>
        </is>
      </c>
      <c r="L166" t="inlineStr">
        <is>
          <t>Workflow Slowdown</t>
        </is>
      </c>
      <c r="M166" t="inlineStr">
        <is>
          <t>int_api</t>
        </is>
      </c>
      <c r="N166" t="inlineStr">
        <is>
          <t>API limits and webhook failures</t>
        </is>
      </c>
      <c r="O166" t="inlineStr">
        <is>
          <t>2025-11</t>
        </is>
      </c>
    </row>
    <row r="167">
      <c r="A167" t="inlineStr">
        <is>
          <t>FB-00166</t>
        </is>
      </c>
      <c r="B167" t="inlineStr">
        <is>
          <t>CUST-0381</t>
        </is>
      </c>
      <c r="C167" s="11" t="n">
        <v>45978</v>
      </c>
      <c r="D167" t="inlineStr">
        <is>
          <t>Customer Survey</t>
        </is>
      </c>
      <c r="E167" t="inlineStr">
        <is>
          <t>Professional</t>
        </is>
      </c>
      <c r="F167" t="inlineStr">
        <is>
          <t>Mid-Market</t>
        </is>
      </c>
      <c r="G167" t="inlineStr">
        <is>
          <t>Lead Management</t>
        </is>
      </c>
      <c r="H167" t="inlineStr">
        <is>
          <t>Usability Issue</t>
        </is>
      </c>
      <c r="I167" t="inlineStr">
        <is>
          <t>FYI for the product team. It is hard to understand how lead assignment settings decide who owns a lead. Happy to join a feedback call.</t>
        </is>
      </c>
      <c r="J167" t="inlineStr">
        <is>
          <t>Neutral</t>
        </is>
      </c>
      <c r="K167" t="inlineStr">
        <is>
          <t>High</t>
        </is>
      </c>
      <c r="L167" t="inlineStr">
        <is>
          <t>Workflow Slowdown</t>
        </is>
      </c>
      <c r="M167" t="inlineStr">
        <is>
          <t>lead_assign</t>
        </is>
      </c>
      <c r="N167" t="inlineStr">
        <is>
          <t>Lead routing is inflexible</t>
        </is>
      </c>
      <c r="O167" t="inlineStr">
        <is>
          <t>2025-11</t>
        </is>
      </c>
    </row>
    <row r="168">
      <c r="A168" t="inlineStr">
        <is>
          <t>FB-00167</t>
        </is>
      </c>
      <c r="B168" t="inlineStr">
        <is>
          <t>CUST-0220</t>
        </is>
      </c>
      <c r="C168" s="11" t="n">
        <v>45979</v>
      </c>
      <c r="D168" t="inlineStr">
        <is>
          <t>Feature Request</t>
        </is>
      </c>
      <c r="E168" t="inlineStr">
        <is>
          <t>Professional</t>
        </is>
      </c>
      <c r="F168" t="inlineStr">
        <is>
          <t>Mid-Market</t>
        </is>
      </c>
      <c r="G168" t="inlineStr">
        <is>
          <t>User Interface</t>
        </is>
      </c>
      <c r="H168" t="inlineStr">
        <is>
          <t>Feature Request</t>
        </is>
      </c>
      <c r="I168" t="inlineStr">
        <is>
          <t>FYI for the product team. Please prioritize offline mobile access; the mobile web view is hard to use. We estimate we lose roughly 39 hours a month on this.</t>
        </is>
      </c>
      <c r="J168" t="inlineStr">
        <is>
          <t>Neutral</t>
        </is>
      </c>
      <c r="K168" t="inlineStr">
        <is>
          <t>Low</t>
        </is>
      </c>
      <c r="L168" t="inlineStr">
        <is>
          <t>Workflow Slowdown</t>
        </is>
      </c>
      <c r="M168" t="inlineStr">
        <is>
          <t>ui_mobile</t>
        </is>
      </c>
      <c r="N168" t="inlineStr">
        <is>
          <t>Mobile app</t>
        </is>
      </c>
      <c r="O168" t="inlineStr">
        <is>
          <t>2025-11</t>
        </is>
      </c>
    </row>
    <row r="169">
      <c r="A169" t="inlineStr">
        <is>
          <t>FB-00168</t>
        </is>
      </c>
      <c r="B169" t="inlineStr">
        <is>
          <t>CUST-0210</t>
        </is>
      </c>
      <c r="C169" s="11" t="n">
        <v>45979</v>
      </c>
      <c r="D169" t="inlineStr">
        <is>
          <t>Feature Request</t>
        </is>
      </c>
      <c r="E169" t="inlineStr">
        <is>
          <t>Professional</t>
        </is>
      </c>
      <c r="F169" t="inlineStr">
        <is>
          <t>Mid-Market</t>
        </is>
      </c>
      <c r="G169" t="inlineStr">
        <is>
          <t>Workflow Automation</t>
        </is>
      </c>
      <c r="H169" t="inlineStr">
        <is>
          <t>Feature Request</t>
        </is>
      </c>
      <c r="I169" t="inlineStr">
        <is>
          <t>Please provide prebuilt automations for common processes like onboarding and renewals. It happens about 9 times a week for our team of 108. Happy to join a feedback call.</t>
        </is>
      </c>
      <c r="J169" t="inlineStr">
        <is>
          <t>Neutral</t>
        </is>
      </c>
      <c r="K169" t="inlineStr">
        <is>
          <t>Low</t>
        </is>
      </c>
      <c r="L169" t="inlineStr">
        <is>
          <t>Minor Inconvenience</t>
        </is>
      </c>
      <c r="M169" t="inlineStr">
        <is>
          <t>wf_templates</t>
        </is>
      </c>
      <c r="N169" t="inlineStr">
        <is>
          <t>Workflow templates</t>
        </is>
      </c>
      <c r="O169" t="inlineStr">
        <is>
          <t>2025-11</t>
        </is>
      </c>
    </row>
    <row r="170">
      <c r="A170" t="inlineStr">
        <is>
          <t>FB-00169</t>
        </is>
      </c>
      <c r="B170" t="inlineStr">
        <is>
          <t>CUST-0197</t>
        </is>
      </c>
      <c r="C170" s="11" t="n">
        <v>45979</v>
      </c>
      <c r="D170" t="inlineStr">
        <is>
          <t>In-App Feedback</t>
        </is>
      </c>
      <c r="E170" t="inlineStr">
        <is>
          <t>Professional</t>
        </is>
      </c>
      <c r="F170" t="inlineStr">
        <is>
          <t>Mid-Market</t>
        </is>
      </c>
      <c r="G170" t="inlineStr">
        <is>
          <t>User Interface</t>
        </is>
      </c>
      <c r="H170" t="inlineStr">
        <is>
          <t>Usability Issue</t>
        </is>
      </c>
      <c r="I170" t="inlineStr">
        <is>
          <t>FYI for the product team. The navigation menu is cluttered and I can never find the setting I need. Let us know if you need examples.</t>
        </is>
      </c>
      <c r="J170" t="inlineStr">
        <is>
          <t>Neutral</t>
        </is>
      </c>
      <c r="K170" t="inlineStr">
        <is>
          <t>High</t>
        </is>
      </c>
      <c r="L170" t="inlineStr">
        <is>
          <t>Blocks Key Task</t>
        </is>
      </c>
      <c r="M170" t="inlineStr">
        <is>
          <t>ui_nav</t>
        </is>
      </c>
      <c r="N170" t="inlineStr">
        <is>
          <t>Cluttered navigation</t>
        </is>
      </c>
      <c r="O170" t="inlineStr">
        <is>
          <t>2025-11</t>
        </is>
      </c>
    </row>
    <row r="171">
      <c r="A171" t="inlineStr">
        <is>
          <t>FB-00170</t>
        </is>
      </c>
      <c r="B171" t="inlineStr">
        <is>
          <t>CUST-0175</t>
        </is>
      </c>
      <c r="C171" s="11" t="n">
        <v>45979</v>
      </c>
      <c r="D171" t="inlineStr">
        <is>
          <t>Support Ticket</t>
        </is>
      </c>
      <c r="E171" t="inlineStr">
        <is>
          <t>Professional</t>
        </is>
      </c>
      <c r="F171" t="inlineStr">
        <is>
          <t>Mid-Market</t>
        </is>
      </c>
      <c r="G171" t="inlineStr">
        <is>
          <t>Workflow Automation</t>
        </is>
      </c>
      <c r="H171" t="inlineStr">
        <is>
          <t>Bug</t>
        </is>
      </c>
      <c r="I171" t="inlineStr">
        <is>
          <t>We are hitting workflow runs failing silently: emails don't send and nobody gets notified. It happens about 7 times a week for our team of 114. We need a fix before renewal.</t>
        </is>
      </c>
      <c r="J171" t="inlineStr">
        <is>
          <t>Negative</t>
        </is>
      </c>
      <c r="K171" t="inlineStr">
        <is>
          <t>High</t>
        </is>
      </c>
      <c r="L171" t="inlineStr">
        <is>
          <t>Blocks Key Task</t>
        </is>
      </c>
      <c r="M171" t="inlineStr">
        <is>
          <t>wf_fail</t>
        </is>
      </c>
      <c r="N171" t="inlineStr">
        <is>
          <t>Workflows failing silently</t>
        </is>
      </c>
      <c r="O171" t="inlineStr">
        <is>
          <t>2025-11</t>
        </is>
      </c>
    </row>
    <row r="172">
      <c r="A172" t="inlineStr">
        <is>
          <t>FB-00171</t>
        </is>
      </c>
      <c r="B172" t="inlineStr">
        <is>
          <t>CUST-0393</t>
        </is>
      </c>
      <c r="C172" s="11" t="n">
        <v>45979</v>
      </c>
      <c r="D172" t="inlineStr">
        <is>
          <t>Customer Survey</t>
        </is>
      </c>
      <c r="E172" t="inlineStr">
        <is>
          <t>Enterprise</t>
        </is>
      </c>
      <c r="F172" t="inlineStr">
        <is>
          <t>Enterprise</t>
        </is>
      </c>
      <c r="G172" t="inlineStr">
        <is>
          <t>Workflow Automation</t>
        </is>
      </c>
      <c r="H172" t="inlineStr">
        <is>
          <t>Usability Issue</t>
        </is>
      </c>
      <c r="I172" t="inlineStr">
        <is>
          <t>Our team keeps running into this. The automation canvas is hard to follow once a flow has more than a handful of steps. It affects our weekly pipeline review process every cycle. Please look into it soon.</t>
        </is>
      </c>
      <c r="J172" t="inlineStr">
        <is>
          <t>Negative</t>
        </is>
      </c>
      <c r="K172" t="inlineStr">
        <is>
          <t>Low</t>
        </is>
      </c>
      <c r="L172" t="inlineStr">
        <is>
          <t>Minor Inconvenience</t>
        </is>
      </c>
      <c r="M172" t="inlineStr">
        <is>
          <t>wf_builder</t>
        </is>
      </c>
      <c r="N172" t="inlineStr">
        <is>
          <t>Confusing workflow builder</t>
        </is>
      </c>
      <c r="O172" t="inlineStr">
        <is>
          <t>2025-11</t>
        </is>
      </c>
    </row>
    <row r="173">
      <c r="A173" t="inlineStr">
        <is>
          <t>FB-00172</t>
        </is>
      </c>
      <c r="B173" t="inlineStr">
        <is>
          <t>CUST-0221</t>
        </is>
      </c>
      <c r="C173" s="11" t="n">
        <v>45980</v>
      </c>
      <c r="D173" t="inlineStr">
        <is>
          <t>Customer Survey</t>
        </is>
      </c>
      <c r="E173" t="inlineStr">
        <is>
          <t>Professional</t>
        </is>
      </c>
      <c r="F173" t="inlineStr">
        <is>
          <t>SMB</t>
        </is>
      </c>
      <c r="G173" t="inlineStr">
        <is>
          <t>Reporting</t>
        </is>
      </c>
      <c r="H173" t="inlineStr">
        <is>
          <t>Feature Request</t>
        </is>
      </c>
      <c r="I173" t="inlineStr">
        <is>
          <t>We need a custom report builder so non-technical managers can create their own views. It happens about 38 times a week for our team of 119.</t>
        </is>
      </c>
      <c r="J173" t="inlineStr">
        <is>
          <t>Positive</t>
        </is>
      </c>
      <c r="K173" t="inlineStr">
        <is>
          <t>Low</t>
        </is>
      </c>
      <c r="L173" t="inlineStr">
        <is>
          <t>Minor Inconvenience</t>
        </is>
      </c>
      <c r="M173" t="inlineStr">
        <is>
          <t>rep_custom</t>
        </is>
      </c>
      <c r="N173" t="inlineStr">
        <is>
          <t>Custom and scheduled reports</t>
        </is>
      </c>
      <c r="O173" t="inlineStr">
        <is>
          <t>2025-11</t>
        </is>
      </c>
    </row>
    <row r="174">
      <c r="A174" t="inlineStr">
        <is>
          <t>FB-00173</t>
        </is>
      </c>
      <c r="B174" t="inlineStr">
        <is>
          <t>CUST-0420</t>
        </is>
      </c>
      <c r="C174" s="11" t="n">
        <v>45980</v>
      </c>
      <c r="D174" t="inlineStr">
        <is>
          <t>Support Ticket</t>
        </is>
      </c>
      <c r="E174" t="inlineStr">
        <is>
          <t>Enterprise</t>
        </is>
      </c>
      <c r="F174" t="inlineStr">
        <is>
          <t>Enterprise</t>
        </is>
      </c>
      <c r="G174" t="inlineStr">
        <is>
          <t>Integrations</t>
        </is>
      </c>
      <c r="H174" t="inlineStr">
        <is>
          <t>Integration Issue</t>
        </is>
      </c>
      <c r="I174" t="inlineStr">
        <is>
          <t>The Gmail sync duplicates meetings and misses replies. Our admin flagged it while onboarding 41 new users.</t>
        </is>
      </c>
      <c r="J174" t="inlineStr">
        <is>
          <t>Neutral</t>
        </is>
      </c>
      <c r="K174" t="inlineStr">
        <is>
          <t>Medium</t>
        </is>
      </c>
      <c r="L174" t="inlineStr">
        <is>
          <t>Minor Inconvenience</t>
        </is>
      </c>
      <c r="M174" t="inlineStr">
        <is>
          <t>int_email</t>
        </is>
      </c>
      <c r="N174" t="inlineStr">
        <is>
          <t>Email and calendar sync drops</t>
        </is>
      </c>
      <c r="O174" t="inlineStr">
        <is>
          <t>2025-11</t>
        </is>
      </c>
    </row>
    <row r="175">
      <c r="A175" t="inlineStr">
        <is>
          <t>FB-00174</t>
        </is>
      </c>
      <c r="B175" t="inlineStr">
        <is>
          <t>CUST-0284</t>
        </is>
      </c>
      <c r="C175" s="11" t="n">
        <v>45980</v>
      </c>
      <c r="D175" t="inlineStr">
        <is>
          <t>Support Ticket</t>
        </is>
      </c>
      <c r="E175" t="inlineStr">
        <is>
          <t>Enterprise</t>
        </is>
      </c>
      <c r="F175" t="inlineStr">
        <is>
          <t>Enterprise</t>
        </is>
      </c>
      <c r="G175" t="inlineStr">
        <is>
          <t>Workflow Automation</t>
        </is>
      </c>
      <c r="H175" t="inlineStr">
        <is>
          <t>Bug</t>
        </is>
      </c>
      <c r="I175" t="inlineStr">
        <is>
          <t>We are hitting workflow failures: emails don't send and nobody gets notified.</t>
        </is>
      </c>
      <c r="J175" t="inlineStr">
        <is>
          <t>Negative</t>
        </is>
      </c>
      <c r="K175" t="inlineStr">
        <is>
          <t>Low</t>
        </is>
      </c>
      <c r="L175" t="inlineStr">
        <is>
          <t>Workflow Slowdown</t>
        </is>
      </c>
      <c r="M175" t="inlineStr">
        <is>
          <t>wf_fail</t>
        </is>
      </c>
      <c r="N175" t="inlineStr">
        <is>
          <t>Workflows failing silently</t>
        </is>
      </c>
      <c r="O175" t="inlineStr">
        <is>
          <t>2025-11</t>
        </is>
      </c>
    </row>
    <row r="176">
      <c r="A176" t="inlineStr">
        <is>
          <t>FB-00175</t>
        </is>
      </c>
      <c r="B176" t="inlineStr">
        <is>
          <t>CUST-0060</t>
        </is>
      </c>
      <c r="C176" s="11" t="n">
        <v>45980</v>
      </c>
      <c r="D176" t="inlineStr">
        <is>
          <t>Customer Survey</t>
        </is>
      </c>
      <c r="E176" t="inlineStr">
        <is>
          <t>Starter</t>
        </is>
      </c>
      <c r="F176" t="inlineStr">
        <is>
          <t>SMB</t>
        </is>
      </c>
      <c r="G176" t="inlineStr">
        <is>
          <t>Lead Management</t>
        </is>
      </c>
      <c r="H176" t="inlineStr">
        <is>
          <t>Performance Issue</t>
        </is>
      </c>
      <c r="I176" t="inlineStr">
        <is>
          <t>Raising this again after our last business review. Reps have stopped using the board because of lead list loading.</t>
        </is>
      </c>
      <c r="J176" t="inlineStr">
        <is>
          <t>Negative</t>
        </is>
      </c>
      <c r="K176" t="inlineStr">
        <is>
          <t>Medium</t>
        </is>
      </c>
      <c r="L176" t="inlineStr">
        <is>
          <t>Blocks Key Task</t>
        </is>
      </c>
      <c r="M176" t="inlineStr">
        <is>
          <t>lead_slow</t>
        </is>
      </c>
      <c r="N176" t="inlineStr">
        <is>
          <t>Slow lead lists and pipeline board</t>
        </is>
      </c>
      <c r="O176" t="inlineStr">
        <is>
          <t>2025-11</t>
        </is>
      </c>
    </row>
    <row r="177">
      <c r="A177" t="inlineStr">
        <is>
          <t>FB-00176</t>
        </is>
      </c>
      <c r="B177" t="inlineStr">
        <is>
          <t>CUST-0267</t>
        </is>
      </c>
      <c r="C177" s="11" t="n">
        <v>45981</v>
      </c>
      <c r="D177" t="inlineStr">
        <is>
          <t>Support Ticket</t>
        </is>
      </c>
      <c r="E177" t="inlineStr">
        <is>
          <t>Professional</t>
        </is>
      </c>
      <c r="F177" t="inlineStr">
        <is>
          <t>Mid-Market</t>
        </is>
      </c>
      <c r="G177" t="inlineStr">
        <is>
          <t>Integrations</t>
        </is>
      </c>
      <c r="H177" t="inlineStr">
        <is>
          <t>Integration Issue</t>
        </is>
      </c>
      <c r="I177" t="inlineStr">
        <is>
          <t>Hard to debug: webhook delivery fail with vague error codes. Please look into it soon.</t>
        </is>
      </c>
      <c r="J177" t="inlineStr">
        <is>
          <t>Negative</t>
        </is>
      </c>
      <c r="K177" t="inlineStr">
        <is>
          <t>Medium</t>
        </is>
      </c>
      <c r="L177" t="inlineStr">
        <is>
          <t>Workflow Slowdown</t>
        </is>
      </c>
      <c r="M177" t="inlineStr">
        <is>
          <t>int_api</t>
        </is>
      </c>
      <c r="N177" t="inlineStr">
        <is>
          <t>API limits and webhook failures</t>
        </is>
      </c>
      <c r="O177" t="inlineStr">
        <is>
          <t>2025-11</t>
        </is>
      </c>
    </row>
    <row r="178">
      <c r="A178" t="inlineStr">
        <is>
          <t>FB-00177</t>
        </is>
      </c>
      <c r="B178" t="inlineStr">
        <is>
          <t>CUST-0091</t>
        </is>
      </c>
      <c r="C178" s="11" t="n">
        <v>45981</v>
      </c>
      <c r="D178" t="inlineStr">
        <is>
          <t>Customer Survey</t>
        </is>
      </c>
      <c r="E178" t="inlineStr">
        <is>
          <t>Professional</t>
        </is>
      </c>
      <c r="F178" t="inlineStr">
        <is>
          <t>SMB</t>
        </is>
      </c>
      <c r="G178" t="inlineStr">
        <is>
          <t>Reporting</t>
        </is>
      </c>
      <c r="H178" t="inlineStr">
        <is>
          <t>Feature Request</t>
        </is>
      </c>
      <c r="I178" t="inlineStr">
        <is>
          <t>Feedback from our monthly review. Please add a custom report builder; today an analyst rebuilds the same report every week. So far 74 people on our side have reported it.</t>
        </is>
      </c>
      <c r="J178" t="inlineStr">
        <is>
          <t>Neutral</t>
        </is>
      </c>
      <c r="K178" t="inlineStr">
        <is>
          <t>Low</t>
        </is>
      </c>
      <c r="L178" t="inlineStr">
        <is>
          <t>Minor Inconvenience</t>
        </is>
      </c>
      <c r="M178" t="inlineStr">
        <is>
          <t>rep_custom</t>
        </is>
      </c>
      <c r="N178" t="inlineStr">
        <is>
          <t>Custom and scheduled reports</t>
        </is>
      </c>
      <c r="O178" t="inlineStr">
        <is>
          <t>2025-11</t>
        </is>
      </c>
    </row>
    <row r="179">
      <c r="A179" t="inlineStr">
        <is>
          <t>FB-00178</t>
        </is>
      </c>
      <c r="B179" t="inlineStr">
        <is>
          <t>CUST-0065</t>
        </is>
      </c>
      <c r="C179" s="11" t="n">
        <v>45982</v>
      </c>
      <c r="D179" t="inlineStr">
        <is>
          <t>In-App Feedback</t>
        </is>
      </c>
      <c r="E179" t="inlineStr">
        <is>
          <t>Professional</t>
        </is>
      </c>
      <c r="F179" t="inlineStr">
        <is>
          <t>Mid-Market</t>
        </is>
      </c>
      <c r="G179" t="inlineStr">
        <is>
          <t>Lead Management</t>
        </is>
      </c>
      <c r="H179" t="inlineStr">
        <is>
          <t>Bug</t>
        </is>
      </c>
      <c r="I179" t="inlineStr">
        <is>
          <t>Escalating on behalf of our ops lead. Web form submissions keep creating lead de-duplication failures, and reps end up calling the same prospect twice. Is there a workaround?</t>
        </is>
      </c>
      <c r="J179" t="inlineStr">
        <is>
          <t>Negative</t>
        </is>
      </c>
      <c r="K179" t="inlineStr">
        <is>
          <t>Medium</t>
        </is>
      </c>
      <c r="L179" t="inlineStr">
        <is>
          <t>Unknown</t>
        </is>
      </c>
      <c r="M179" t="inlineStr">
        <is>
          <t>lead_dup</t>
        </is>
      </c>
      <c r="N179" t="inlineStr">
        <is>
          <t>Duplicate leads created</t>
        </is>
      </c>
      <c r="O179" t="inlineStr">
        <is>
          <t>2025-11</t>
        </is>
      </c>
    </row>
    <row r="180">
      <c r="A180" t="inlineStr">
        <is>
          <t>FB-00179</t>
        </is>
      </c>
      <c r="B180" t="inlineStr">
        <is>
          <t>CUST-0188</t>
        </is>
      </c>
      <c r="C180" s="11" t="n">
        <v>45982</v>
      </c>
      <c r="D180" t="inlineStr">
        <is>
          <t>Support Ticket</t>
        </is>
      </c>
      <c r="E180" t="inlineStr">
        <is>
          <t>Enterprise</t>
        </is>
      </c>
      <c r="F180" t="inlineStr">
        <is>
          <t>Mid-Market</t>
        </is>
      </c>
      <c r="G180" t="inlineStr">
        <is>
          <t>Workflow Automation</t>
        </is>
      </c>
      <c r="H180" t="inlineStr">
        <is>
          <t>Bug</t>
        </is>
      </c>
      <c r="I180" t="inlineStr">
        <is>
          <t>Raising this again after our last business review. We found workflow failures only because a customer complained. Our marketing ops owner flagged it while onboarding 98 new users. We need a fix before renewal.</t>
        </is>
      </c>
      <c r="J180" t="inlineStr">
        <is>
          <t>Negative</t>
        </is>
      </c>
      <c r="K180" t="inlineStr">
        <is>
          <t>High</t>
        </is>
      </c>
      <c r="L180" t="inlineStr">
        <is>
          <t>Workflow Slowdown</t>
        </is>
      </c>
      <c r="M180" t="inlineStr">
        <is>
          <t>wf_fail</t>
        </is>
      </c>
      <c r="N180" t="inlineStr">
        <is>
          <t>Workflows failing silently</t>
        </is>
      </c>
      <c r="O180" t="inlineStr">
        <is>
          <t>2025-11</t>
        </is>
      </c>
    </row>
    <row r="181">
      <c r="A181" t="inlineStr">
        <is>
          <t>FB-00180</t>
        </is>
      </c>
      <c r="B181" t="inlineStr">
        <is>
          <t>CUST-0403</t>
        </is>
      </c>
      <c r="C181" s="11" t="n">
        <v>45983</v>
      </c>
      <c r="D181" t="inlineStr">
        <is>
          <t>In-App Feedback</t>
        </is>
      </c>
      <c r="E181" t="inlineStr">
        <is>
          <t>Starter</t>
        </is>
      </c>
      <c r="F181" t="inlineStr">
        <is>
          <t>SMB</t>
        </is>
      </c>
      <c r="G181" t="inlineStr">
        <is>
          <t>User Interface</t>
        </is>
      </c>
      <c r="H181" t="inlineStr">
        <is>
          <t>Performance Issue</t>
        </is>
      </c>
      <c r="I181" t="inlineStr">
        <is>
          <t>Since the redesign there is more slow page transitions on older laptops. It affects our lead handoff process every cycle.</t>
        </is>
      </c>
      <c r="J181" t="inlineStr">
        <is>
          <t>Negative</t>
        </is>
      </c>
      <c r="K181" t="inlineStr">
        <is>
          <t>Critical</t>
        </is>
      </c>
      <c r="L181" t="inlineStr">
        <is>
          <t>Revenue/Operations Risk</t>
        </is>
      </c>
      <c r="M181" t="inlineStr">
        <is>
          <t>ui_perf</t>
        </is>
      </c>
      <c r="N181" t="inlineStr">
        <is>
          <t>Laggy pages</t>
        </is>
      </c>
      <c r="O181" t="inlineStr">
        <is>
          <t>2025-11</t>
        </is>
      </c>
    </row>
    <row r="182">
      <c r="A182" t="inlineStr">
        <is>
          <t>FB-00181</t>
        </is>
      </c>
      <c r="B182" t="inlineStr">
        <is>
          <t>CUST-0003</t>
        </is>
      </c>
      <c r="C182" s="11" t="n">
        <v>45983</v>
      </c>
      <c r="D182" t="inlineStr">
        <is>
          <t>Support Ticket</t>
        </is>
      </c>
      <c r="E182" t="inlineStr">
        <is>
          <t>Starter</t>
        </is>
      </c>
      <c r="F182" t="inlineStr">
        <is>
          <t>Mid-Market</t>
        </is>
      </c>
      <c r="G182" t="inlineStr">
        <is>
          <t>Reporting</t>
        </is>
      </c>
      <c r="H182" t="inlineStr">
        <is>
          <t>Bug</t>
        </is>
      </c>
      <c r="I182" t="inlineStr">
        <is>
          <t>Finance can't rely on the CSV export of reports; totals don't match the screen. It happens about 38 times a week for our team of 74.</t>
        </is>
      </c>
      <c r="J182" t="inlineStr">
        <is>
          <t>Neutral</t>
        </is>
      </c>
      <c r="K182" t="inlineStr">
        <is>
          <t>High</t>
        </is>
      </c>
      <c r="L182" t="inlineStr">
        <is>
          <t>Blocks Key Task</t>
        </is>
      </c>
      <c r="M182" t="inlineStr">
        <is>
          <t>rep_export</t>
        </is>
      </c>
      <c r="N182" t="inlineStr">
        <is>
          <t>Broken report exports</t>
        </is>
      </c>
      <c r="O182" t="inlineStr">
        <is>
          <t>2025-11</t>
        </is>
      </c>
    </row>
    <row r="183">
      <c r="A183" t="inlineStr">
        <is>
          <t>FB-00182</t>
        </is>
      </c>
      <c r="B183" t="inlineStr">
        <is>
          <t>CUST-0251</t>
        </is>
      </c>
      <c r="C183" s="11" t="n">
        <v>45983</v>
      </c>
      <c r="D183" t="inlineStr">
        <is>
          <t>Support Ticket</t>
        </is>
      </c>
      <c r="E183" t="inlineStr">
        <is>
          <t>Professional</t>
        </is>
      </c>
      <c r="F183" t="inlineStr">
        <is>
          <t>Mid-Market</t>
        </is>
      </c>
      <c r="G183" t="inlineStr">
        <is>
          <t>Lead Management</t>
        </is>
      </c>
      <c r="H183" t="inlineStr">
        <is>
          <t>Bug</t>
        </is>
      </c>
      <c r="I183" t="inlineStr">
        <is>
          <t>This has been a recurring problem for us. We are seeing duplicated leads when a lead arrives from both the website and a trade-show list. It affects our lead handoff process every cycle. Please look into it soon.</t>
        </is>
      </c>
      <c r="J183" t="inlineStr">
        <is>
          <t>Negative</t>
        </is>
      </c>
      <c r="K183" t="inlineStr">
        <is>
          <t>Medium</t>
        </is>
      </c>
      <c r="L183" t="inlineStr">
        <is>
          <t>Workflow Slowdown</t>
        </is>
      </c>
      <c r="M183" t="inlineStr">
        <is>
          <t>lead_dup</t>
        </is>
      </c>
      <c r="N183" t="inlineStr">
        <is>
          <t>Duplicate leads created</t>
        </is>
      </c>
      <c r="O183" t="inlineStr">
        <is>
          <t>2025-11</t>
        </is>
      </c>
    </row>
    <row r="184">
      <c r="A184" t="inlineStr">
        <is>
          <t>FB-00183</t>
        </is>
      </c>
      <c r="B184" t="inlineStr">
        <is>
          <t>CUST-0187</t>
        </is>
      </c>
      <c r="C184" s="11" t="n">
        <v>45983</v>
      </c>
      <c r="D184" t="inlineStr">
        <is>
          <t>In-App Feedback</t>
        </is>
      </c>
      <c r="E184" t="inlineStr">
        <is>
          <t>Enterprise</t>
        </is>
      </c>
      <c r="F184" t="inlineStr">
        <is>
          <t>Mid-Market</t>
        </is>
      </c>
      <c r="G184" t="inlineStr">
        <is>
          <t>User Interface</t>
        </is>
      </c>
      <c r="H184" t="inlineStr">
        <is>
          <t>Performance Issue</t>
        </is>
      </c>
      <c r="I184" t="inlineStr">
        <is>
          <t>Noting this during onboarding. We notice slow page transitions whenever more than a few tabs are open. So far 102 people on our side have reported it.</t>
        </is>
      </c>
      <c r="J184" t="inlineStr">
        <is>
          <t>Neutral</t>
        </is>
      </c>
      <c r="K184" t="inlineStr">
        <is>
          <t>Medium</t>
        </is>
      </c>
      <c r="L184" t="inlineStr">
        <is>
          <t>Minor Inconvenience</t>
        </is>
      </c>
      <c r="M184" t="inlineStr">
        <is>
          <t>ui_perf</t>
        </is>
      </c>
      <c r="N184" t="inlineStr">
        <is>
          <t>Laggy pages</t>
        </is>
      </c>
      <c r="O184" t="inlineStr">
        <is>
          <t>2025-11</t>
        </is>
      </c>
    </row>
    <row r="185">
      <c r="A185" t="inlineStr">
        <is>
          <t>FB-00184</t>
        </is>
      </c>
      <c r="B185" t="inlineStr">
        <is>
          <t>CUST-0201</t>
        </is>
      </c>
      <c r="C185" s="11" t="n">
        <v>45983</v>
      </c>
      <c r="D185" t="inlineStr">
        <is>
          <t>Support Ticket</t>
        </is>
      </c>
      <c r="E185" t="inlineStr">
        <is>
          <t>Starter</t>
        </is>
      </c>
      <c r="F185" t="inlineStr">
        <is>
          <t>SMB</t>
        </is>
      </c>
      <c r="G185" t="inlineStr">
        <is>
          <t>User Interface</t>
        </is>
      </c>
      <c r="H185" t="inlineStr">
        <is>
          <t>Feature Request</t>
        </is>
      </c>
      <c r="I185" t="inlineStr">
        <is>
          <t>Quick note from our admin. Requesting offline mobile access so reps can log activity right after a meeting. Happy to join a feedback call.</t>
        </is>
      </c>
      <c r="J185" t="inlineStr">
        <is>
          <t>Neutral</t>
        </is>
      </c>
      <c r="K185" t="inlineStr">
        <is>
          <t>Medium</t>
        </is>
      </c>
      <c r="L185" t="inlineStr">
        <is>
          <t>Workflow Slowdown</t>
        </is>
      </c>
      <c r="M185" t="inlineStr">
        <is>
          <t>ui_mobile</t>
        </is>
      </c>
      <c r="N185" t="inlineStr">
        <is>
          <t>Mobile app</t>
        </is>
      </c>
      <c r="O185" t="inlineStr">
        <is>
          <t>2025-11</t>
        </is>
      </c>
    </row>
    <row r="186">
      <c r="A186" t="inlineStr">
        <is>
          <t>FB-00185</t>
        </is>
      </c>
      <c r="B186" t="inlineStr">
        <is>
          <t>CUST-0069</t>
        </is>
      </c>
      <c r="C186" s="11" t="n">
        <v>45984</v>
      </c>
      <c r="D186" t="inlineStr">
        <is>
          <t>In-App Feedback</t>
        </is>
      </c>
      <c r="E186" t="inlineStr">
        <is>
          <t>Starter</t>
        </is>
      </c>
      <c r="F186" t="inlineStr">
        <is>
          <t>Mid-Market</t>
        </is>
      </c>
      <c r="G186" t="inlineStr">
        <is>
          <t>User Interface</t>
        </is>
      </c>
      <c r="H186" t="inlineStr">
        <is>
          <t>Usability Issue</t>
        </is>
      </c>
      <c r="I186" t="inlineStr">
        <is>
          <t>This has been a recurring problem for us. Too many clicks to reach common screens because of the navigation menu. We estimate we lose roughly 46 hours a month on this.</t>
        </is>
      </c>
      <c r="J186" t="inlineStr">
        <is>
          <t>Negative</t>
        </is>
      </c>
      <c r="K186" t="inlineStr">
        <is>
          <t>Medium</t>
        </is>
      </c>
      <c r="L186" t="inlineStr">
        <is>
          <t>Minor Inconvenience</t>
        </is>
      </c>
      <c r="M186" t="inlineStr">
        <is>
          <t>ui_nav</t>
        </is>
      </c>
      <c r="N186" t="inlineStr">
        <is>
          <t>Cluttered navigation</t>
        </is>
      </c>
      <c r="O186" t="inlineStr">
        <is>
          <t>2025-11</t>
        </is>
      </c>
    </row>
    <row r="187">
      <c r="A187" t="inlineStr">
        <is>
          <t>FB-00186</t>
        </is>
      </c>
      <c r="B187" t="inlineStr">
        <is>
          <t>CUST-0318</t>
        </is>
      </c>
      <c r="C187" s="11" t="n">
        <v>45984</v>
      </c>
      <c r="D187" t="inlineStr">
        <is>
          <t>Support Ticket</t>
        </is>
      </c>
      <c r="E187" t="inlineStr">
        <is>
          <t>Starter</t>
        </is>
      </c>
      <c r="F187" t="inlineStr">
        <is>
          <t>SMB</t>
        </is>
      </c>
      <c r="G187" t="inlineStr">
        <is>
          <t>Reporting</t>
        </is>
      </c>
      <c r="H187" t="inlineStr">
        <is>
          <t>Performance Issue</t>
        </is>
      </c>
      <c r="I187" t="inlineStr">
        <is>
          <t>The report load time is painfully slow with a full year of data.</t>
        </is>
      </c>
      <c r="J187" t="inlineStr">
        <is>
          <t>Positive</t>
        </is>
      </c>
      <c r="K187" t="inlineStr">
        <is>
          <t>Low</t>
        </is>
      </c>
      <c r="L187" t="inlineStr">
        <is>
          <t>Minor Inconvenience</t>
        </is>
      </c>
      <c r="M187" t="inlineStr">
        <is>
          <t>rep_slow</t>
        </is>
      </c>
      <c r="N187" t="inlineStr">
        <is>
          <t>Slow dashboards</t>
        </is>
      </c>
      <c r="O187" t="inlineStr">
        <is>
          <t>2025-11</t>
        </is>
      </c>
    </row>
    <row r="188">
      <c r="A188" t="inlineStr">
        <is>
          <t>FB-00187</t>
        </is>
      </c>
      <c r="B188" t="inlineStr">
        <is>
          <t>CUST-0286</t>
        </is>
      </c>
      <c r="C188" s="11" t="n">
        <v>45984</v>
      </c>
      <c r="D188" t="inlineStr">
        <is>
          <t>Support Ticket</t>
        </is>
      </c>
      <c r="E188" t="inlineStr">
        <is>
          <t>Enterprise</t>
        </is>
      </c>
      <c r="F188" t="inlineStr">
        <is>
          <t>Enterprise</t>
        </is>
      </c>
      <c r="G188" t="inlineStr">
        <is>
          <t>Integrations</t>
        </is>
      </c>
      <c r="H188" t="inlineStr">
        <is>
          <t>Integration Issue</t>
        </is>
      </c>
      <c r="I188" t="inlineStr">
        <is>
          <t>We keep hitting API timeouts during nightly syncs with our data warehouse. It affects our onboarding process every cycle.</t>
        </is>
      </c>
      <c r="J188" t="inlineStr">
        <is>
          <t>Negative</t>
        </is>
      </c>
      <c r="K188" t="inlineStr">
        <is>
          <t>High</t>
        </is>
      </c>
      <c r="L188" t="inlineStr">
        <is>
          <t>Workflow Slowdown</t>
        </is>
      </c>
      <c r="M188" t="inlineStr">
        <is>
          <t>int_api</t>
        </is>
      </c>
      <c r="N188" t="inlineStr">
        <is>
          <t>API limits and webhook failures</t>
        </is>
      </c>
      <c r="O188" t="inlineStr">
        <is>
          <t>2025-11</t>
        </is>
      </c>
    </row>
    <row r="189">
      <c r="A189" t="inlineStr">
        <is>
          <t>FB-00188</t>
        </is>
      </c>
      <c r="B189" t="inlineStr">
        <is>
          <t>CUST-0342</t>
        </is>
      </c>
      <c r="C189" s="11" t="n">
        <v>45985</v>
      </c>
      <c r="D189" t="inlineStr">
        <is>
          <t>Support Ticket</t>
        </is>
      </c>
      <c r="E189" t="inlineStr">
        <is>
          <t>Enterprise</t>
        </is>
      </c>
      <c r="F189" t="inlineStr">
        <is>
          <t>Enterprise</t>
        </is>
      </c>
      <c r="G189" t="inlineStr">
        <is>
          <t>Integrations</t>
        </is>
      </c>
      <c r="H189" t="inlineStr">
        <is>
          <t>Integration Issue</t>
        </is>
      </c>
      <c r="I189" t="inlineStr">
        <is>
          <t>Our team keeps running into this. Hard to debug: webhook delivery fail with vague error codes. So far 57 people on our side have reported it.</t>
        </is>
      </c>
      <c r="J189" t="inlineStr">
        <is>
          <t>Negative</t>
        </is>
      </c>
      <c r="K189" t="inlineStr">
        <is>
          <t>Critical</t>
        </is>
      </c>
      <c r="L189" t="inlineStr">
        <is>
          <t>Blocks Key Task</t>
        </is>
      </c>
      <c r="M189" t="inlineStr">
        <is>
          <t>int_api</t>
        </is>
      </c>
      <c r="N189" t="inlineStr">
        <is>
          <t>API limits and webhook failures</t>
        </is>
      </c>
      <c r="O189" t="inlineStr">
        <is>
          <t>2025-11</t>
        </is>
      </c>
    </row>
    <row r="190">
      <c r="A190" t="inlineStr">
        <is>
          <t>FB-00189</t>
        </is>
      </c>
      <c r="B190" t="inlineStr">
        <is>
          <t>CUST-0239</t>
        </is>
      </c>
      <c r="C190" s="11" t="n">
        <v>45986</v>
      </c>
      <c r="D190" t="inlineStr">
        <is>
          <t>Feature Request</t>
        </is>
      </c>
      <c r="E190" t="inlineStr">
        <is>
          <t>Professional</t>
        </is>
      </c>
      <c r="F190" t="inlineStr">
        <is>
          <t>Mid-Market</t>
        </is>
      </c>
      <c r="G190" t="inlineStr">
        <is>
          <t>Reporting</t>
        </is>
      </c>
      <c r="H190" t="inlineStr">
        <is>
          <t>Feature Request</t>
        </is>
      </c>
      <c r="I190" t="inlineStr">
        <is>
          <t>Overall we like the product. We need report scheduling so non-technical managers can create their own views. It happens about 27 times a week for our team of 74. Keep up the good work.</t>
        </is>
      </c>
      <c r="J190" t="inlineStr">
        <is>
          <t>Positive</t>
        </is>
      </c>
      <c r="K190" t="inlineStr">
        <is>
          <t>Medium</t>
        </is>
      </c>
      <c r="L190" t="inlineStr">
        <is>
          <t>Minor Inconvenience</t>
        </is>
      </c>
      <c r="M190" t="inlineStr">
        <is>
          <t>rep_custom</t>
        </is>
      </c>
      <c r="N190" t="inlineStr">
        <is>
          <t>Custom and scheduled reports</t>
        </is>
      </c>
      <c r="O190" t="inlineStr">
        <is>
          <t>2025-11</t>
        </is>
      </c>
    </row>
    <row r="191">
      <c r="A191" t="inlineStr">
        <is>
          <t>FB-00190</t>
        </is>
      </c>
      <c r="B191" t="inlineStr">
        <is>
          <t>CUST-0277</t>
        </is>
      </c>
      <c r="C191" s="11" t="n">
        <v>45986</v>
      </c>
      <c r="D191" t="inlineStr">
        <is>
          <t>Support Ticket</t>
        </is>
      </c>
      <c r="E191" t="inlineStr">
        <is>
          <t>Professional</t>
        </is>
      </c>
      <c r="F191" t="inlineStr">
        <is>
          <t>Mid-Market</t>
        </is>
      </c>
      <c r="G191" t="inlineStr">
        <is>
          <t>Integrations</t>
        </is>
      </c>
      <c r="H191" t="inlineStr">
        <is>
          <t>Feature Request</t>
        </is>
      </c>
      <c r="I191" t="inlineStr">
        <is>
          <t>Sharing this from our team. Lack of a marketing automation connector is a gap versus other CRMs we evaluated. It affects our onboarding process every cycle. Let us know if you need examples.</t>
        </is>
      </c>
      <c r="J191" t="inlineStr">
        <is>
          <t>Neutral</t>
        </is>
      </c>
      <c r="K191" t="inlineStr">
        <is>
          <t>High</t>
        </is>
      </c>
      <c r="L191" t="inlineStr">
        <is>
          <t>Workflow Slowdown</t>
        </is>
      </c>
      <c r="M191" t="inlineStr">
        <is>
          <t>int_native</t>
        </is>
      </c>
      <c r="N191" t="inlineStr">
        <is>
          <t>Native integrations</t>
        </is>
      </c>
      <c r="O191" t="inlineStr">
        <is>
          <t>2025-11</t>
        </is>
      </c>
    </row>
    <row r="192">
      <c r="A192" t="inlineStr">
        <is>
          <t>FB-00191</t>
        </is>
      </c>
      <c r="B192" t="inlineStr">
        <is>
          <t>CUST-0171</t>
        </is>
      </c>
      <c r="C192" s="11" t="n">
        <v>45986</v>
      </c>
      <c r="D192" t="inlineStr">
        <is>
          <t>Customer Survey</t>
        </is>
      </c>
      <c r="E192" t="inlineStr">
        <is>
          <t>Professional</t>
        </is>
      </c>
      <c r="F192" t="inlineStr">
        <is>
          <t>Mid-Market</t>
        </is>
      </c>
      <c r="G192" t="inlineStr">
        <is>
          <t>Lead Management</t>
        </is>
      </c>
      <c r="H192" t="inlineStr">
        <is>
          <t>Feature Request</t>
        </is>
      </c>
      <c r="I192" t="inlineStr">
        <is>
          <t>Feedback from our monthly review. Please add automated lead scoring based on engagement, company size and recent activity.</t>
        </is>
      </c>
      <c r="J192" t="inlineStr">
        <is>
          <t>Neutral</t>
        </is>
      </c>
      <c r="K192" t="inlineStr">
        <is>
          <t>Medium</t>
        </is>
      </c>
      <c r="L192" t="inlineStr">
        <is>
          <t>Blocks Key Task</t>
        </is>
      </c>
      <c r="M192" t="inlineStr">
        <is>
          <t>lead_score</t>
        </is>
      </c>
      <c r="N192" t="inlineStr">
        <is>
          <t>Automated lead scoring</t>
        </is>
      </c>
      <c r="O192" t="inlineStr">
        <is>
          <t>2025-11</t>
        </is>
      </c>
    </row>
    <row r="193">
      <c r="A193" t="inlineStr">
        <is>
          <t>FB-00192</t>
        </is>
      </c>
      <c r="B193" t="inlineStr">
        <is>
          <t>CUST-0054</t>
        </is>
      </c>
      <c r="C193" s="11" t="n">
        <v>45987</v>
      </c>
      <c r="D193" t="inlineStr">
        <is>
          <t>Support Ticket</t>
        </is>
      </c>
      <c r="E193" t="inlineStr">
        <is>
          <t>Enterprise</t>
        </is>
      </c>
      <c r="F193" t="inlineStr">
        <is>
          <t>Enterprise</t>
        </is>
      </c>
      <c r="G193" t="inlineStr">
        <is>
          <t>Reporting</t>
        </is>
      </c>
      <c r="H193" t="inlineStr">
        <is>
          <t>Feature Request</t>
        </is>
      </c>
      <c r="I193" t="inlineStr">
        <is>
          <t>Noting this during onboarding. We need a custom report builder so non-technical managers can create their own views. It affects our quarterly planning process every cycle. Let us know if you need examples.</t>
        </is>
      </c>
      <c r="J193" t="inlineStr">
        <is>
          <t>Neutral</t>
        </is>
      </c>
      <c r="K193" t="inlineStr">
        <is>
          <t>Low</t>
        </is>
      </c>
      <c r="L193" t="inlineStr">
        <is>
          <t>Minor Inconvenience</t>
        </is>
      </c>
      <c r="M193" t="inlineStr">
        <is>
          <t>rep_custom</t>
        </is>
      </c>
      <c r="N193" t="inlineStr">
        <is>
          <t>Custom and scheduled reports</t>
        </is>
      </c>
      <c r="O193" t="inlineStr">
        <is>
          <t>2025-11</t>
        </is>
      </c>
    </row>
    <row r="194">
      <c r="A194" t="inlineStr">
        <is>
          <t>FB-00193</t>
        </is>
      </c>
      <c r="B194" t="inlineStr">
        <is>
          <t>CUST-0378</t>
        </is>
      </c>
      <c r="C194" s="11" t="n">
        <v>45987</v>
      </c>
      <c r="D194" t="inlineStr">
        <is>
          <t>Customer Survey</t>
        </is>
      </c>
      <c r="E194" t="inlineStr">
        <is>
          <t>Starter</t>
        </is>
      </c>
      <c r="F194" t="inlineStr">
        <is>
          <t>SMB</t>
        </is>
      </c>
      <c r="G194" t="inlineStr">
        <is>
          <t>Contact Management</t>
        </is>
      </c>
      <c r="H194" t="inlineStr">
        <is>
          <t>Feature Request</t>
        </is>
      </c>
      <c r="I194" t="inlineStr">
        <is>
          <t>Noting this during onboarding. Is there any plan for contact de-duplication tooling? Merging one record at a time is not realistic. So far 35 people on our side have reported it.</t>
        </is>
      </c>
      <c r="J194" t="inlineStr">
        <is>
          <t>Neutral</t>
        </is>
      </c>
      <c r="K194" t="inlineStr">
        <is>
          <t>High</t>
        </is>
      </c>
      <c r="L194" t="inlineStr">
        <is>
          <t>Revenue/Operations Risk</t>
        </is>
      </c>
      <c r="M194" t="inlineStr">
        <is>
          <t>contact_dedupe</t>
        </is>
      </c>
      <c r="N194" t="inlineStr">
        <is>
          <t>Bulk contact merge</t>
        </is>
      </c>
      <c r="O194" t="inlineStr">
        <is>
          <t>2025-11</t>
        </is>
      </c>
    </row>
    <row r="195">
      <c r="A195" t="inlineStr">
        <is>
          <t>FB-00194</t>
        </is>
      </c>
      <c r="B195" t="inlineStr">
        <is>
          <t>CUST-0234</t>
        </is>
      </c>
      <c r="C195" s="11" t="n">
        <v>45987</v>
      </c>
      <c r="D195" t="inlineStr">
        <is>
          <t>Feature Request</t>
        </is>
      </c>
      <c r="E195" t="inlineStr">
        <is>
          <t>Enterprise</t>
        </is>
      </c>
      <c r="F195" t="inlineStr">
        <is>
          <t>SMB</t>
        </is>
      </c>
      <c r="G195" t="inlineStr">
        <is>
          <t>Lead Management</t>
        </is>
      </c>
      <c r="H195" t="inlineStr">
        <is>
          <t>Feature Request</t>
        </is>
      </c>
      <c r="I195" t="inlineStr">
        <is>
          <t>Great support experience recently. We need automated lead scoring so reps can focus on the prospects most likely to close. We estimate we lose roughly 6 hours a month on this.</t>
        </is>
      </c>
      <c r="J195" t="inlineStr">
        <is>
          <t>Positive</t>
        </is>
      </c>
      <c r="K195" t="inlineStr">
        <is>
          <t>Low</t>
        </is>
      </c>
      <c r="L195" t="inlineStr">
        <is>
          <t>Minor Inconvenience</t>
        </is>
      </c>
      <c r="M195" t="inlineStr">
        <is>
          <t>lead_score</t>
        </is>
      </c>
      <c r="N195" t="inlineStr">
        <is>
          <t>Automated lead scoring</t>
        </is>
      </c>
      <c r="O195" t="inlineStr">
        <is>
          <t>2025-11</t>
        </is>
      </c>
    </row>
    <row r="196">
      <c r="A196" t="inlineStr">
        <is>
          <t>FB-00195</t>
        </is>
      </c>
      <c r="B196" t="inlineStr">
        <is>
          <t>CUST-0206</t>
        </is>
      </c>
      <c r="C196" s="11" t="n">
        <v>45987</v>
      </c>
      <c r="D196" t="inlineStr">
        <is>
          <t>Customer Survey</t>
        </is>
      </c>
      <c r="E196" t="inlineStr">
        <is>
          <t>Professional</t>
        </is>
      </c>
      <c r="F196" t="inlineStr">
        <is>
          <t>Mid-Market</t>
        </is>
      </c>
      <c r="G196" t="inlineStr">
        <is>
          <t>Workflow Automation</t>
        </is>
      </c>
      <c r="H196" t="inlineStr">
        <is>
          <t>Usability Issue</t>
        </is>
      </c>
      <c r="I196" t="inlineStr">
        <is>
          <t>Raising this again after our last business review. Our new admins struggle with the automation canvas; there is no guidance or validation. So far 93 people on our side have reported it.</t>
        </is>
      </c>
      <c r="J196" t="inlineStr">
        <is>
          <t>Negative</t>
        </is>
      </c>
      <c r="K196" t="inlineStr">
        <is>
          <t>High</t>
        </is>
      </c>
      <c r="L196" t="inlineStr">
        <is>
          <t>Blocks Key Task</t>
        </is>
      </c>
      <c r="M196" t="inlineStr">
        <is>
          <t>wf_builder</t>
        </is>
      </c>
      <c r="N196" t="inlineStr">
        <is>
          <t>Confusing workflow builder</t>
        </is>
      </c>
      <c r="O196" t="inlineStr">
        <is>
          <t>2025-11</t>
        </is>
      </c>
    </row>
    <row r="197">
      <c r="A197" t="inlineStr">
        <is>
          <t>FB-00196</t>
        </is>
      </c>
      <c r="B197" t="inlineStr">
        <is>
          <t>CUST-0080</t>
        </is>
      </c>
      <c r="C197" s="11" t="n">
        <v>45987</v>
      </c>
      <c r="D197" t="inlineStr">
        <is>
          <t>Customer Survey</t>
        </is>
      </c>
      <c r="E197" t="inlineStr">
        <is>
          <t>Professional</t>
        </is>
      </c>
      <c r="F197" t="inlineStr">
        <is>
          <t>Mid-Market</t>
        </is>
      </c>
      <c r="G197" t="inlineStr">
        <is>
          <t>Integrations</t>
        </is>
      </c>
      <c r="H197" t="inlineStr">
        <is>
          <t>Integration Issue</t>
        </is>
      </c>
      <c r="I197" t="inlineStr">
        <is>
          <t>This has been a recurring problem for us. Webhook delivery is unreliable and there is no retry or log we can inspect. It affects our quarterly planning process every cycle. Is there a workaround?</t>
        </is>
      </c>
      <c r="J197" t="inlineStr">
        <is>
          <t>Negative</t>
        </is>
      </c>
      <c r="K197" t="inlineStr">
        <is>
          <t>Low</t>
        </is>
      </c>
      <c r="L197" t="inlineStr">
        <is>
          <t>Workflow Slowdown</t>
        </is>
      </c>
      <c r="M197" t="inlineStr">
        <is>
          <t>int_api</t>
        </is>
      </c>
      <c r="N197" t="inlineStr">
        <is>
          <t>API limits and webhook failures</t>
        </is>
      </c>
      <c r="O197" t="inlineStr">
        <is>
          <t>2025-11</t>
        </is>
      </c>
    </row>
    <row r="198">
      <c r="A198" t="inlineStr">
        <is>
          <t>FB-00197</t>
        </is>
      </c>
      <c r="B198" t="inlineStr">
        <is>
          <t>CUST-0286</t>
        </is>
      </c>
      <c r="C198" s="11" t="n">
        <v>45988</v>
      </c>
      <c r="D198" t="inlineStr">
        <is>
          <t>Customer Survey</t>
        </is>
      </c>
      <c r="E198" t="inlineStr">
        <is>
          <t>Enterprise</t>
        </is>
      </c>
      <c r="F198" t="inlineStr">
        <is>
          <t>Enterprise</t>
        </is>
      </c>
      <c r="G198" t="inlineStr">
        <is>
          <t>Contact Management</t>
        </is>
      </c>
      <c r="H198" t="inlineStr">
        <is>
          <t>Feature Request</t>
        </is>
      </c>
      <c r="I198" t="inlineStr">
        <is>
          <t>Sharing this from our team. We need an account hierarchy view to reflect parent companies and subsidiaries.</t>
        </is>
      </c>
      <c r="J198" t="inlineStr">
        <is>
          <t>Neutral</t>
        </is>
      </c>
      <c r="K198" t="inlineStr">
        <is>
          <t>Low</t>
        </is>
      </c>
      <c r="L198" t="inlineStr">
        <is>
          <t>Minor Inconvenience</t>
        </is>
      </c>
      <c r="M198" t="inlineStr">
        <is>
          <t>contact_custom</t>
        </is>
      </c>
      <c r="N198" t="inlineStr">
        <is>
          <t>Custom fields and hierarchy</t>
        </is>
      </c>
      <c r="O198" t="inlineStr">
        <is>
          <t>2025-11</t>
        </is>
      </c>
    </row>
    <row r="199">
      <c r="A199" t="inlineStr">
        <is>
          <t>FB-00198</t>
        </is>
      </c>
      <c r="B199" t="inlineStr">
        <is>
          <t>CUST-0324</t>
        </is>
      </c>
      <c r="C199" s="11" t="n">
        <v>45988</v>
      </c>
      <c r="D199" t="inlineStr">
        <is>
          <t>In-App Feedback</t>
        </is>
      </c>
      <c r="E199" t="inlineStr">
        <is>
          <t>Starter</t>
        </is>
      </c>
      <c r="F199" t="inlineStr">
        <is>
          <t>SMB</t>
        </is>
      </c>
      <c r="G199" t="inlineStr">
        <is>
          <t>Workflow Automation</t>
        </is>
      </c>
      <c r="H199" t="inlineStr">
        <is>
          <t>Usability Issue</t>
        </is>
      </c>
      <c r="I199" t="inlineStr">
        <is>
          <t>Frustrated with this one. The automation canvas is hard to follow once a flow has more than a handful of steps. It happens about 23 times a week for our team of 25.</t>
        </is>
      </c>
      <c r="J199" t="inlineStr">
        <is>
          <t>Negative</t>
        </is>
      </c>
      <c r="K199" t="inlineStr">
        <is>
          <t>High</t>
        </is>
      </c>
      <c r="L199" t="inlineStr">
        <is>
          <t>Blocks Key Task</t>
        </is>
      </c>
      <c r="M199" t="inlineStr">
        <is>
          <t>wf_builder</t>
        </is>
      </c>
      <c r="N199" t="inlineStr">
        <is>
          <t>Confusing workflow builder</t>
        </is>
      </c>
      <c r="O199" t="inlineStr">
        <is>
          <t>2025-11</t>
        </is>
      </c>
    </row>
    <row r="200">
      <c r="A200" t="inlineStr">
        <is>
          <t>FB-00199</t>
        </is>
      </c>
      <c r="B200" t="inlineStr">
        <is>
          <t>CUST-0286</t>
        </is>
      </c>
      <c r="C200" s="11" t="n">
        <v>45988</v>
      </c>
      <c r="D200" t="inlineStr">
        <is>
          <t>Feature Request</t>
        </is>
      </c>
      <c r="E200" t="inlineStr">
        <is>
          <t>Enterprise</t>
        </is>
      </c>
      <c r="F200" t="inlineStr">
        <is>
          <t>Enterprise</t>
        </is>
      </c>
      <c r="G200" t="inlineStr">
        <is>
          <t>Workflow Automation</t>
        </is>
      </c>
      <c r="H200" t="inlineStr">
        <is>
          <t>Feature Request</t>
        </is>
      </c>
      <c r="I200" t="inlineStr">
        <is>
          <t>Sharing this from our team. Competitors ship automation recipes; we are rebuilding the same flows from scratch. Let us know if you need examples.</t>
        </is>
      </c>
      <c r="J200" t="inlineStr">
        <is>
          <t>Neutral</t>
        </is>
      </c>
      <c r="K200" t="inlineStr">
        <is>
          <t>Medium</t>
        </is>
      </c>
      <c r="L200" t="inlineStr">
        <is>
          <t>Workflow Slowdown</t>
        </is>
      </c>
      <c r="M200" t="inlineStr">
        <is>
          <t>wf_templates</t>
        </is>
      </c>
      <c r="N200" t="inlineStr">
        <is>
          <t>Workflow templates</t>
        </is>
      </c>
      <c r="O200" t="inlineStr">
        <is>
          <t>2025-11</t>
        </is>
      </c>
    </row>
    <row r="201">
      <c r="A201" t="inlineStr">
        <is>
          <t>FB-00200</t>
        </is>
      </c>
      <c r="B201" t="inlineStr">
        <is>
          <t>CUST-0059</t>
        </is>
      </c>
      <c r="C201" s="11" t="n">
        <v>45988</v>
      </c>
      <c r="D201" t="inlineStr">
        <is>
          <t>In-App Feedback</t>
        </is>
      </c>
      <c r="E201" t="inlineStr">
        <is>
          <t>Starter</t>
        </is>
      </c>
      <c r="F201" t="inlineStr">
        <is>
          <t>SMB</t>
        </is>
      </c>
      <c r="G201" t="inlineStr">
        <is>
          <t>Workflow Automation</t>
        </is>
      </c>
      <c r="H201" t="inlineStr">
        <is>
          <t>Bug</t>
        </is>
      </c>
      <c r="I201" t="inlineStr">
        <is>
          <t>Not what we expected for the price. Several workflow failures left deals stuck in the wrong stage. It happens about 34 times a week for our team of 30. Please look into it soon.</t>
        </is>
      </c>
      <c r="J201" t="inlineStr">
        <is>
          <t>Negative</t>
        </is>
      </c>
      <c r="K201" t="inlineStr">
        <is>
          <t>Medium</t>
        </is>
      </c>
      <c r="L201" t="inlineStr">
        <is>
          <t>Blocks Key Task</t>
        </is>
      </c>
      <c r="M201" t="inlineStr">
        <is>
          <t>wf_fail</t>
        </is>
      </c>
      <c r="N201" t="inlineStr">
        <is>
          <t>Workflows failing silently</t>
        </is>
      </c>
      <c r="O201" t="inlineStr">
        <is>
          <t>2025-11</t>
        </is>
      </c>
    </row>
    <row r="202">
      <c r="A202" t="inlineStr">
        <is>
          <t>FB-00201</t>
        </is>
      </c>
      <c r="B202" t="inlineStr">
        <is>
          <t>CUST-0205</t>
        </is>
      </c>
      <c r="C202" s="11" t="n">
        <v>45989</v>
      </c>
      <c r="D202" t="inlineStr">
        <is>
          <t>Feature Request</t>
        </is>
      </c>
      <c r="E202" t="inlineStr">
        <is>
          <t>Enterprise</t>
        </is>
      </c>
      <c r="F202" t="inlineStr">
        <is>
          <t>Enterprise</t>
        </is>
      </c>
      <c r="G202" t="inlineStr">
        <is>
          <t>Integrations</t>
        </is>
      </c>
      <c r="H202" t="inlineStr">
        <is>
          <t>Feature Request</t>
        </is>
      </c>
      <c r="I202" t="inlineStr">
        <is>
          <t>Sharing this from our team. Please add SCIM provisioning; managing users by hand does not scale. It affects our renewal process every cycle.</t>
        </is>
      </c>
      <c r="J202" t="inlineStr">
        <is>
          <t>Neutral</t>
        </is>
      </c>
      <c r="K202" t="inlineStr">
        <is>
          <t>Medium</t>
        </is>
      </c>
      <c r="L202" t="inlineStr">
        <is>
          <t>Blocks Key Task</t>
        </is>
      </c>
      <c r="M202" t="inlineStr">
        <is>
          <t>int_sso</t>
        </is>
      </c>
      <c r="N202" t="inlineStr">
        <is>
          <t>SSO and provisioning</t>
        </is>
      </c>
      <c r="O202" t="inlineStr">
        <is>
          <t>2025-11</t>
        </is>
      </c>
    </row>
    <row r="203">
      <c r="A203" t="inlineStr">
        <is>
          <t>FB-00202</t>
        </is>
      </c>
      <c r="B203" t="inlineStr">
        <is>
          <t>CUST-0338</t>
        </is>
      </c>
      <c r="C203" s="11" t="n">
        <v>45990</v>
      </c>
      <c r="D203" t="inlineStr">
        <is>
          <t>In-App Feedback</t>
        </is>
      </c>
      <c r="E203" t="inlineStr">
        <is>
          <t>Professional</t>
        </is>
      </c>
      <c r="F203" t="inlineStr">
        <is>
          <t>Mid-Market</t>
        </is>
      </c>
      <c r="G203" t="inlineStr">
        <is>
          <t>Workflow Automation</t>
        </is>
      </c>
      <c r="H203" t="inlineStr">
        <is>
          <t>Feature Request</t>
        </is>
      </c>
      <c r="I203" t="inlineStr">
        <is>
          <t>Noting this during onboarding. We'd adopt automation faster with automation recipes we could customize. It affects our weekly pipeline review process every cycle.</t>
        </is>
      </c>
      <c r="J203" t="inlineStr">
        <is>
          <t>Neutral</t>
        </is>
      </c>
      <c r="K203" t="inlineStr">
        <is>
          <t>Medium</t>
        </is>
      </c>
      <c r="L203" t="inlineStr">
        <is>
          <t>Workflow Slowdown</t>
        </is>
      </c>
      <c r="M203" t="inlineStr">
        <is>
          <t>wf_templates</t>
        </is>
      </c>
      <c r="N203" t="inlineStr">
        <is>
          <t>Workflow templates</t>
        </is>
      </c>
      <c r="O203" t="inlineStr">
        <is>
          <t>2025-11</t>
        </is>
      </c>
    </row>
    <row r="204">
      <c r="A204" t="inlineStr">
        <is>
          <t>FB-00203</t>
        </is>
      </c>
      <c r="B204" t="inlineStr">
        <is>
          <t>CUST-0231</t>
        </is>
      </c>
      <c r="C204" s="11" t="n">
        <v>45991</v>
      </c>
      <c r="D204" t="inlineStr">
        <is>
          <t>Customer Survey</t>
        </is>
      </c>
      <c r="E204" t="inlineStr">
        <is>
          <t>Enterprise</t>
        </is>
      </c>
      <c r="F204" t="inlineStr">
        <is>
          <t>Enterprise</t>
        </is>
      </c>
      <c r="G204" t="inlineStr">
        <is>
          <t>Contact Management</t>
        </is>
      </c>
      <c r="H204" t="inlineStr">
        <is>
          <t>Feature Request</t>
        </is>
      </c>
      <c r="I204" t="inlineStr">
        <is>
          <t>Is there any plan for a bulk contact merge? Merging one record at a time is not realistic. It happens about 4 times a week for our team of 97. Thanks to the team.</t>
        </is>
      </c>
      <c r="J204" t="inlineStr">
        <is>
          <t>Positive</t>
        </is>
      </c>
      <c r="K204" t="inlineStr">
        <is>
          <t>Low</t>
        </is>
      </c>
      <c r="L204" t="inlineStr">
        <is>
          <t>Workflow Slowdown</t>
        </is>
      </c>
      <c r="M204" t="inlineStr">
        <is>
          <t>contact_dedupe</t>
        </is>
      </c>
      <c r="N204" t="inlineStr">
        <is>
          <t>Bulk contact merge</t>
        </is>
      </c>
      <c r="O204" t="inlineStr">
        <is>
          <t>2025-11</t>
        </is>
      </c>
    </row>
    <row r="205">
      <c r="A205" t="inlineStr">
        <is>
          <t>FB-00204</t>
        </is>
      </c>
      <c r="B205" t="inlineStr">
        <is>
          <t>CUST-0342</t>
        </is>
      </c>
      <c r="C205" s="11" t="n">
        <v>45991</v>
      </c>
      <c r="D205" t="inlineStr">
        <is>
          <t>In-App Feedback</t>
        </is>
      </c>
      <c r="E205" t="inlineStr">
        <is>
          <t>Enterprise</t>
        </is>
      </c>
      <c r="F205" t="inlineStr">
        <is>
          <t>Enterprise</t>
        </is>
      </c>
      <c r="G205" t="inlineStr">
        <is>
          <t>User Interface</t>
        </is>
      </c>
      <c r="H205" t="inlineStr">
        <is>
          <t>Feature Request</t>
        </is>
      </c>
      <c r="I205" t="inlineStr">
        <is>
          <t>Our field reps need offline mobile access to update deals between visits. We estimate we lose roughly 54 hours a month on this.</t>
        </is>
      </c>
      <c r="J205" t="inlineStr">
        <is>
          <t>Neutral</t>
        </is>
      </c>
      <c r="K205" t="inlineStr">
        <is>
          <t>Medium</t>
        </is>
      </c>
      <c r="L205" t="inlineStr">
        <is>
          <t>Workflow Slowdown</t>
        </is>
      </c>
      <c r="M205" t="inlineStr">
        <is>
          <t>ui_mobile</t>
        </is>
      </c>
      <c r="N205" t="inlineStr">
        <is>
          <t>Mobile app</t>
        </is>
      </c>
      <c r="O205" t="inlineStr">
        <is>
          <t>2025-11</t>
        </is>
      </c>
    </row>
    <row r="206">
      <c r="A206" t="inlineStr">
        <is>
          <t>FB-00205</t>
        </is>
      </c>
      <c r="B206" t="inlineStr">
        <is>
          <t>CUST-0413</t>
        </is>
      </c>
      <c r="C206" s="11" t="n">
        <v>45991</v>
      </c>
      <c r="D206" t="inlineStr">
        <is>
          <t>Customer Survey</t>
        </is>
      </c>
      <c r="E206" t="inlineStr">
        <is>
          <t>Professional</t>
        </is>
      </c>
      <c r="F206" t="inlineStr">
        <is>
          <t>SMB</t>
        </is>
      </c>
      <c r="G206" t="inlineStr">
        <is>
          <t>Lead Management</t>
        </is>
      </c>
      <c r="H206" t="inlineStr">
        <is>
          <t>Usability Issue</t>
        </is>
      </c>
      <c r="I206" t="inlineStr">
        <is>
          <t>Our team keeps running into this. Setting up round-robin lead assignment takes too many steps and the options don't cover territories. Our admin flagged it while onboarding 73 new users. Please look into it soon.</t>
        </is>
      </c>
      <c r="J206" t="inlineStr">
        <is>
          <t>Negative</t>
        </is>
      </c>
      <c r="K206" t="inlineStr">
        <is>
          <t>Medium</t>
        </is>
      </c>
      <c r="L206" t="inlineStr">
        <is>
          <t>Blocks Key Task</t>
        </is>
      </c>
      <c r="M206" t="inlineStr">
        <is>
          <t>lead_assign</t>
        </is>
      </c>
      <c r="N206" t="inlineStr">
        <is>
          <t>Lead routing is inflexible</t>
        </is>
      </c>
      <c r="O206" t="inlineStr">
        <is>
          <t>2025-11</t>
        </is>
      </c>
    </row>
    <row r="207">
      <c r="A207" t="inlineStr">
        <is>
          <t>FB-00206</t>
        </is>
      </c>
      <c r="B207" t="inlineStr">
        <is>
          <t>CUST-0411</t>
        </is>
      </c>
      <c r="C207" s="11" t="n">
        <v>45992</v>
      </c>
      <c r="D207" t="inlineStr">
        <is>
          <t>Feature Request</t>
        </is>
      </c>
      <c r="E207" t="inlineStr">
        <is>
          <t>Starter</t>
        </is>
      </c>
      <c r="F207" t="inlineStr">
        <is>
          <t>SMB</t>
        </is>
      </c>
      <c r="G207" t="inlineStr">
        <is>
          <t>Integrations</t>
        </is>
      </c>
      <c r="H207" t="inlineStr">
        <is>
          <t>Feature Request</t>
        </is>
      </c>
      <c r="I207" t="inlineStr">
        <is>
          <t>Requesting a marketing automation connector to remove manual re-entry. Our customer success lead flagged it while onboarding 38 new users. Let us know if you need examples.</t>
        </is>
      </c>
      <c r="J207" t="inlineStr">
        <is>
          <t>Neutral</t>
        </is>
      </c>
      <c r="K207" t="inlineStr">
        <is>
          <t>Low</t>
        </is>
      </c>
      <c r="L207" t="inlineStr">
        <is>
          <t>Blocks Key Task</t>
        </is>
      </c>
      <c r="M207" t="inlineStr">
        <is>
          <t>int_native</t>
        </is>
      </c>
      <c r="N207" t="inlineStr">
        <is>
          <t>Native integrations</t>
        </is>
      </c>
      <c r="O207" t="inlineStr">
        <is>
          <t>2025-12</t>
        </is>
      </c>
    </row>
    <row r="208">
      <c r="A208" t="inlineStr">
        <is>
          <t>FB-00207</t>
        </is>
      </c>
      <c r="B208" t="inlineStr">
        <is>
          <t>CUST-0010</t>
        </is>
      </c>
      <c r="C208" s="11" t="n">
        <v>45993</v>
      </c>
      <c r="D208" t="inlineStr">
        <is>
          <t>Support Ticket</t>
        </is>
      </c>
      <c r="E208" t="inlineStr">
        <is>
          <t>Professional</t>
        </is>
      </c>
      <c r="F208" t="inlineStr">
        <is>
          <t>SMB</t>
        </is>
      </c>
      <c r="G208" t="inlineStr">
        <is>
          <t>Lead Management</t>
        </is>
      </c>
      <c r="H208" t="inlineStr">
        <is>
          <t>Feature Request</t>
        </is>
      </c>
      <c r="I208" t="inlineStr">
        <is>
          <t>Not what we expected for the price. Right now reps rank leads by gut feel; lead scoring rules would fix that. We estimate we lose roughly 35 hours a month on this. Is there a workaround?</t>
        </is>
      </c>
      <c r="J208" t="inlineStr">
        <is>
          <t>Negative</t>
        </is>
      </c>
      <c r="K208" t="inlineStr">
        <is>
          <t>Low</t>
        </is>
      </c>
      <c r="L208" t="inlineStr">
        <is>
          <t>Blocks Key Task</t>
        </is>
      </c>
      <c r="M208" t="inlineStr">
        <is>
          <t>lead_score</t>
        </is>
      </c>
      <c r="N208" t="inlineStr">
        <is>
          <t>Automated lead scoring</t>
        </is>
      </c>
      <c r="O208" t="inlineStr">
        <is>
          <t>2025-12</t>
        </is>
      </c>
    </row>
    <row r="209">
      <c r="A209" t="inlineStr">
        <is>
          <t>FB-00208</t>
        </is>
      </c>
      <c r="B209" t="inlineStr">
        <is>
          <t>CUST-0036</t>
        </is>
      </c>
      <c r="C209" s="11" t="n">
        <v>45993</v>
      </c>
      <c r="D209" t="inlineStr">
        <is>
          <t>Support Ticket</t>
        </is>
      </c>
      <c r="E209" t="inlineStr">
        <is>
          <t>Starter</t>
        </is>
      </c>
      <c r="F209" t="inlineStr">
        <is>
          <t>SMB</t>
        </is>
      </c>
      <c r="G209" t="inlineStr">
        <is>
          <t>Integrations</t>
        </is>
      </c>
      <c r="H209" t="inlineStr">
        <is>
          <t>Integration Issue</t>
        </is>
      </c>
      <c r="I209" t="inlineStr">
        <is>
          <t>Our email sync keeps disconnecting and activities are missing from the contact timeline. So far 51 people on our side have reported it.</t>
        </is>
      </c>
      <c r="J209" t="inlineStr">
        <is>
          <t>Positive</t>
        </is>
      </c>
      <c r="K209" t="inlineStr">
        <is>
          <t>Medium</t>
        </is>
      </c>
      <c r="L209" t="inlineStr">
        <is>
          <t>Workflow Slowdown</t>
        </is>
      </c>
      <c r="M209" t="inlineStr">
        <is>
          <t>int_email</t>
        </is>
      </c>
      <c r="N209" t="inlineStr">
        <is>
          <t>Email and calendar sync drops</t>
        </is>
      </c>
      <c r="O209" t="inlineStr">
        <is>
          <t>2025-12</t>
        </is>
      </c>
    </row>
    <row r="210">
      <c r="A210" t="inlineStr">
        <is>
          <t>FB-00209</t>
        </is>
      </c>
      <c r="B210" t="inlineStr">
        <is>
          <t>CUST-0401</t>
        </is>
      </c>
      <c r="C210" s="11" t="n">
        <v>45993</v>
      </c>
      <c r="D210" t="inlineStr">
        <is>
          <t>In-App Feedback</t>
        </is>
      </c>
      <c r="E210" t="inlineStr">
        <is>
          <t>Professional</t>
        </is>
      </c>
      <c r="F210" t="inlineStr">
        <is>
          <t>SMB</t>
        </is>
      </c>
      <c r="G210" t="inlineStr">
        <is>
          <t>Contact Management</t>
        </is>
      </c>
      <c r="H210" t="inlineStr">
        <is>
          <t>Performance Issue</t>
        </is>
      </c>
      <c r="I210" t="inlineStr">
        <is>
          <t>Raising this again after our last business review. Our contact list filtering is slow and often returns stale results right after an update. Our sales manager flagged it while onboarding 16 new users. Support suggested logging it here.</t>
        </is>
      </c>
      <c r="J210" t="inlineStr">
        <is>
          <t>Negative</t>
        </is>
      </c>
      <c r="K210" t="inlineStr">
        <is>
          <t>Low</t>
        </is>
      </c>
      <c r="L210" t="inlineStr">
        <is>
          <t>Minor Inconvenience</t>
        </is>
      </c>
      <c r="M210" t="inlineStr">
        <is>
          <t>contact_search</t>
        </is>
      </c>
      <c r="N210" t="inlineStr">
        <is>
          <t>Slow contact search</t>
        </is>
      </c>
      <c r="O210" t="inlineStr">
        <is>
          <t>2025-12</t>
        </is>
      </c>
    </row>
    <row r="211">
      <c r="A211" t="inlineStr">
        <is>
          <t>FB-00210</t>
        </is>
      </c>
      <c r="B211" t="inlineStr">
        <is>
          <t>CUST-0133</t>
        </is>
      </c>
      <c r="C211" s="11" t="n">
        <v>45994</v>
      </c>
      <c r="D211" t="inlineStr">
        <is>
          <t>Support Ticket</t>
        </is>
      </c>
      <c r="E211" t="inlineStr">
        <is>
          <t>Professional</t>
        </is>
      </c>
      <c r="F211" t="inlineStr">
        <is>
          <t>Mid-Market</t>
        </is>
      </c>
      <c r="G211" t="inlineStr">
        <is>
          <t>Integrations</t>
        </is>
      </c>
      <c r="H211" t="inlineStr">
        <is>
          <t>Integration Issue</t>
        </is>
      </c>
      <c r="I211" t="inlineStr">
        <is>
          <t>Our integration partner flagged webhook delivery as a risk for the project. Let us know if you need examples.</t>
        </is>
      </c>
      <c r="J211" t="inlineStr">
        <is>
          <t>Neutral</t>
        </is>
      </c>
      <c r="K211" t="inlineStr">
        <is>
          <t>Medium</t>
        </is>
      </c>
      <c r="L211" t="inlineStr">
        <is>
          <t>Workflow Slowdown</t>
        </is>
      </c>
      <c r="M211" t="inlineStr">
        <is>
          <t>int_api</t>
        </is>
      </c>
      <c r="N211" t="inlineStr">
        <is>
          <t>API limits and webhook failures</t>
        </is>
      </c>
      <c r="O211" t="inlineStr">
        <is>
          <t>2025-12</t>
        </is>
      </c>
    </row>
    <row r="212">
      <c r="A212" t="inlineStr">
        <is>
          <t>FB-00211</t>
        </is>
      </c>
      <c r="B212" t="inlineStr">
        <is>
          <t>CUST-0207</t>
        </is>
      </c>
      <c r="C212" s="11" t="n">
        <v>45994</v>
      </c>
      <c r="D212" t="inlineStr">
        <is>
          <t>Customer Survey</t>
        </is>
      </c>
      <c r="E212" t="inlineStr">
        <is>
          <t>Professional</t>
        </is>
      </c>
      <c r="F212" t="inlineStr">
        <is>
          <t>Mid-Market</t>
        </is>
      </c>
      <c r="G212" t="inlineStr">
        <is>
          <t>User Interface</t>
        </is>
      </c>
      <c r="H212" t="inlineStr">
        <is>
          <t>Feature Request</t>
        </is>
      </c>
      <c r="I212" t="inlineStr">
        <is>
          <t>Sharing this from our team. Please add bulk actions on lists; changing records one at a time wastes hours.</t>
        </is>
      </c>
      <c r="J212" t="inlineStr">
        <is>
          <t>Neutral</t>
        </is>
      </c>
      <c r="K212" t="inlineStr">
        <is>
          <t>Low</t>
        </is>
      </c>
      <c r="L212" t="inlineStr">
        <is>
          <t>Workflow Slowdown</t>
        </is>
      </c>
      <c r="M212" t="inlineStr">
        <is>
          <t>ui_bulk</t>
        </is>
      </c>
      <c r="N212" t="inlineStr">
        <is>
          <t>Bulk actions</t>
        </is>
      </c>
      <c r="O212" t="inlineStr">
        <is>
          <t>2025-12</t>
        </is>
      </c>
    </row>
    <row r="213">
      <c r="A213" t="inlineStr">
        <is>
          <t>FB-00212</t>
        </is>
      </c>
      <c r="B213" t="inlineStr">
        <is>
          <t>CUST-0352</t>
        </is>
      </c>
      <c r="C213" s="11" t="n">
        <v>45994</v>
      </c>
      <c r="D213" t="inlineStr">
        <is>
          <t>In-App Feedback</t>
        </is>
      </c>
      <c r="E213" t="inlineStr">
        <is>
          <t>Starter</t>
        </is>
      </c>
      <c r="F213" t="inlineStr">
        <is>
          <t>SMB</t>
        </is>
      </c>
      <c r="G213" t="inlineStr">
        <is>
          <t>User Interface</t>
        </is>
      </c>
      <c r="H213" t="inlineStr">
        <is>
          <t>Usability Issue</t>
        </is>
      </c>
      <c r="I213" t="inlineStr">
        <is>
          <t>The navigation menu is cluttered and I can never find the setting I need. We estimate we lose roughly 22 hours a month on this.</t>
        </is>
      </c>
      <c r="J213" t="inlineStr">
        <is>
          <t>Negative</t>
        </is>
      </c>
      <c r="K213" t="inlineStr">
        <is>
          <t>Low</t>
        </is>
      </c>
      <c r="L213" t="inlineStr">
        <is>
          <t>Workflow Slowdown</t>
        </is>
      </c>
      <c r="M213" t="inlineStr">
        <is>
          <t>ui_nav</t>
        </is>
      </c>
      <c r="N213" t="inlineStr">
        <is>
          <t>Cluttered navigation</t>
        </is>
      </c>
      <c r="O213" t="inlineStr">
        <is>
          <t>2025-12</t>
        </is>
      </c>
    </row>
    <row r="214">
      <c r="A214" t="inlineStr">
        <is>
          <t>FB-00213</t>
        </is>
      </c>
      <c r="B214" t="inlineStr">
        <is>
          <t>CUST-0416</t>
        </is>
      </c>
      <c r="C214" s="11" t="n">
        <v>45994</v>
      </c>
      <c r="D214" t="inlineStr">
        <is>
          <t>In-App Feedback</t>
        </is>
      </c>
      <c r="E214" t="inlineStr">
        <is>
          <t>Professional</t>
        </is>
      </c>
      <c r="F214" t="inlineStr">
        <is>
          <t>Mid-Market</t>
        </is>
      </c>
      <c r="G214" t="inlineStr">
        <is>
          <t>Reporting</t>
        </is>
      </c>
      <c r="H214" t="inlineStr">
        <is>
          <t>Performance Issue</t>
        </is>
      </c>
      <c r="I214" t="inlineStr">
        <is>
          <t>Not what we expected for the price. The report load time is painfully slow with a full year of data. Please look into it soon.</t>
        </is>
      </c>
      <c r="J214" t="inlineStr">
        <is>
          <t>Negative</t>
        </is>
      </c>
      <c r="K214" t="inlineStr">
        <is>
          <t>Medium</t>
        </is>
      </c>
      <c r="L214" t="inlineStr">
        <is>
          <t>Workflow Slowdown</t>
        </is>
      </c>
      <c r="M214" t="inlineStr">
        <is>
          <t>rep_slow</t>
        </is>
      </c>
      <c r="N214" t="inlineStr">
        <is>
          <t>Slow dashboards</t>
        </is>
      </c>
      <c r="O214" t="inlineStr">
        <is>
          <t>2025-12</t>
        </is>
      </c>
    </row>
    <row r="215">
      <c r="A215" t="inlineStr">
        <is>
          <t>FB-00214</t>
        </is>
      </c>
      <c r="B215" t="inlineStr">
        <is>
          <t>CUST-0011</t>
        </is>
      </c>
      <c r="C215" s="11" t="n">
        <v>45994</v>
      </c>
      <c r="D215" t="inlineStr">
        <is>
          <t>In-App Feedback</t>
        </is>
      </c>
      <c r="E215" t="inlineStr">
        <is>
          <t>Starter</t>
        </is>
      </c>
      <c r="F215" t="inlineStr">
        <is>
          <t>SMB</t>
        </is>
      </c>
      <c r="G215" t="inlineStr">
        <is>
          <t>Contact Management</t>
        </is>
      </c>
      <c r="H215" t="inlineStr">
        <is>
          <t>Feature Request</t>
        </is>
      </c>
      <c r="I215" t="inlineStr">
        <is>
          <t>Happy with most of the product. Is there any plan for a tool to merge duplicate contacts? Merging one record at a time is not realistic. Thanks to the team.</t>
        </is>
      </c>
      <c r="J215" t="inlineStr">
        <is>
          <t>Positive</t>
        </is>
      </c>
      <c r="K215" t="inlineStr">
        <is>
          <t>Medium</t>
        </is>
      </c>
      <c r="L215" t="inlineStr">
        <is>
          <t>Workflow Slowdown</t>
        </is>
      </c>
      <c r="M215" t="inlineStr">
        <is>
          <t>contact_dedupe</t>
        </is>
      </c>
      <c r="N215" t="inlineStr">
        <is>
          <t>Bulk contact merge</t>
        </is>
      </c>
      <c r="O215" t="inlineStr">
        <is>
          <t>2025-12</t>
        </is>
      </c>
    </row>
    <row r="216">
      <c r="A216" t="inlineStr">
        <is>
          <t>FB-00215</t>
        </is>
      </c>
      <c r="B216" t="inlineStr">
        <is>
          <t>CUST-0352</t>
        </is>
      </c>
      <c r="C216" s="11" t="n">
        <v>45994</v>
      </c>
      <c r="D216" t="inlineStr">
        <is>
          <t>Feature Request</t>
        </is>
      </c>
      <c r="E216" t="inlineStr">
        <is>
          <t>Starter</t>
        </is>
      </c>
      <c r="F216" t="inlineStr">
        <is>
          <t>SMB</t>
        </is>
      </c>
      <c r="G216" t="inlineStr">
        <is>
          <t>User Interface</t>
        </is>
      </c>
      <c r="H216" t="inlineStr">
        <is>
          <t>Feature Request</t>
        </is>
      </c>
      <c r="I216" t="inlineStr">
        <is>
          <t>Feedback from our monthly review. Our field reps need offline mobile access to update deals between visits. Let us know if you need examples.</t>
        </is>
      </c>
      <c r="J216" t="inlineStr">
        <is>
          <t>Neutral</t>
        </is>
      </c>
      <c r="K216" t="inlineStr">
        <is>
          <t>Low</t>
        </is>
      </c>
      <c r="L216" t="inlineStr">
        <is>
          <t>Workflow Slowdown</t>
        </is>
      </c>
      <c r="M216" t="inlineStr">
        <is>
          <t>ui_mobile</t>
        </is>
      </c>
      <c r="N216" t="inlineStr">
        <is>
          <t>Mobile app</t>
        </is>
      </c>
      <c r="O216" t="inlineStr">
        <is>
          <t>2025-12</t>
        </is>
      </c>
    </row>
    <row r="217">
      <c r="A217" t="inlineStr">
        <is>
          <t>FB-00216</t>
        </is>
      </c>
      <c r="B217" t="inlineStr">
        <is>
          <t>CUST-0339</t>
        </is>
      </c>
      <c r="C217" s="11" t="n">
        <v>45995</v>
      </c>
      <c r="D217" t="inlineStr">
        <is>
          <t>Customer Survey</t>
        </is>
      </c>
      <c r="E217" t="inlineStr">
        <is>
          <t>Professional</t>
        </is>
      </c>
      <c r="F217" t="inlineStr">
        <is>
          <t>Mid-Market</t>
        </is>
      </c>
      <c r="G217" t="inlineStr">
        <is>
          <t>Lead Management</t>
        </is>
      </c>
      <c r="H217" t="inlineStr">
        <is>
          <t>Performance Issue</t>
        </is>
      </c>
      <c r="I217" t="inlineStr">
        <is>
          <t>Noting this during onboarding. The pipeline board loading gets very slow once we pass a few thousand open leads. Let us know if you need examples.</t>
        </is>
      </c>
      <c r="J217" t="inlineStr">
        <is>
          <t>Neutral</t>
        </is>
      </c>
      <c r="K217" t="inlineStr">
        <is>
          <t>High</t>
        </is>
      </c>
      <c r="L217" t="inlineStr">
        <is>
          <t>Blocks Key Task</t>
        </is>
      </c>
      <c r="M217" t="inlineStr">
        <is>
          <t>lead_slow</t>
        </is>
      </c>
      <c r="N217" t="inlineStr">
        <is>
          <t>Slow lead lists and pipeline board</t>
        </is>
      </c>
      <c r="O217" t="inlineStr">
        <is>
          <t>2025-12</t>
        </is>
      </c>
    </row>
    <row r="218">
      <c r="A218" t="inlineStr">
        <is>
          <t>FB-00217</t>
        </is>
      </c>
      <c r="B218" t="inlineStr">
        <is>
          <t>CUST-0254</t>
        </is>
      </c>
      <c r="C218" s="11" t="n">
        <v>45995</v>
      </c>
      <c r="D218" t="inlineStr">
        <is>
          <t>Customer Survey</t>
        </is>
      </c>
      <c r="E218" t="inlineStr">
        <is>
          <t>Professional</t>
        </is>
      </c>
      <c r="F218" t="inlineStr">
        <is>
          <t>SMB</t>
        </is>
      </c>
      <c r="G218" t="inlineStr">
        <is>
          <t>User Interface</t>
        </is>
      </c>
      <c r="H218" t="inlineStr">
        <is>
          <t>Performance Issue</t>
        </is>
      </c>
      <c r="I218" t="inlineStr">
        <is>
          <t>The slow page transitions gets worse in the afternoon. So far 58 people on our side have reported it.</t>
        </is>
      </c>
      <c r="J218" t="inlineStr">
        <is>
          <t>Neutral</t>
        </is>
      </c>
      <c r="K218" t="inlineStr">
        <is>
          <t>High</t>
        </is>
      </c>
      <c r="L218" t="inlineStr">
        <is>
          <t>Blocks Key Task</t>
        </is>
      </c>
      <c r="M218" t="inlineStr">
        <is>
          <t>ui_perf</t>
        </is>
      </c>
      <c r="N218" t="inlineStr">
        <is>
          <t>Laggy pages</t>
        </is>
      </c>
      <c r="O218" t="inlineStr">
        <is>
          <t>2025-12</t>
        </is>
      </c>
    </row>
    <row r="219">
      <c r="A219" t="inlineStr">
        <is>
          <t>FB-00218</t>
        </is>
      </c>
      <c r="B219" t="inlineStr">
        <is>
          <t>CUST-0035</t>
        </is>
      </c>
      <c r="C219" s="11" t="n">
        <v>45995</v>
      </c>
      <c r="D219" t="inlineStr">
        <is>
          <t>Feature Request</t>
        </is>
      </c>
      <c r="E219" t="inlineStr">
        <is>
          <t>Professional</t>
        </is>
      </c>
      <c r="F219" t="inlineStr">
        <is>
          <t>Enterprise</t>
        </is>
      </c>
      <c r="G219" t="inlineStr">
        <is>
          <t>User Interface</t>
        </is>
      </c>
      <c r="H219" t="inlineStr">
        <is>
          <t>Feature Request</t>
        </is>
      </c>
      <c r="I219" t="inlineStr">
        <is>
          <t>Noting this during onboarding. Admins ask for multi-select actions every time we reorganize territories. Our sales manager flagged it while onboarding 99 new users.</t>
        </is>
      </c>
      <c r="J219" t="inlineStr">
        <is>
          <t>Neutral</t>
        </is>
      </c>
      <c r="K219" t="inlineStr">
        <is>
          <t>High</t>
        </is>
      </c>
      <c r="L219" t="inlineStr">
        <is>
          <t>Workflow Slowdown</t>
        </is>
      </c>
      <c r="M219" t="inlineStr">
        <is>
          <t>ui_bulk</t>
        </is>
      </c>
      <c r="N219" t="inlineStr">
        <is>
          <t>Bulk actions</t>
        </is>
      </c>
      <c r="O219" t="inlineStr">
        <is>
          <t>2025-12</t>
        </is>
      </c>
    </row>
    <row r="220">
      <c r="A220" t="inlineStr">
        <is>
          <t>FB-00219</t>
        </is>
      </c>
      <c r="B220" t="inlineStr">
        <is>
          <t>CUST-0175</t>
        </is>
      </c>
      <c r="C220" s="11" t="n">
        <v>45995</v>
      </c>
      <c r="D220" t="inlineStr">
        <is>
          <t>Feature Request</t>
        </is>
      </c>
      <c r="E220" t="inlineStr">
        <is>
          <t>Professional</t>
        </is>
      </c>
      <c r="F220" t="inlineStr">
        <is>
          <t>Mid-Market</t>
        </is>
      </c>
      <c r="G220" t="inlineStr">
        <is>
          <t>Reporting</t>
        </is>
      </c>
      <c r="H220" t="inlineStr">
        <is>
          <t>Feature Request</t>
        </is>
      </c>
      <c r="I220" t="inlineStr">
        <is>
          <t>Please add a custom report builder; today an analyst rebuilds the same report every week. Happy to join a feedback call.</t>
        </is>
      </c>
      <c r="J220" t="inlineStr">
        <is>
          <t>Neutral</t>
        </is>
      </c>
      <c r="K220" t="inlineStr">
        <is>
          <t>High</t>
        </is>
      </c>
      <c r="L220" t="inlineStr">
        <is>
          <t>Minor Inconvenience</t>
        </is>
      </c>
      <c r="M220" t="inlineStr">
        <is>
          <t>rep_custom</t>
        </is>
      </c>
      <c r="N220" t="inlineStr">
        <is>
          <t>Custom and scheduled reports</t>
        </is>
      </c>
      <c r="O220" t="inlineStr">
        <is>
          <t>2025-12</t>
        </is>
      </c>
    </row>
    <row r="221">
      <c r="A221" t="inlineStr">
        <is>
          <t>FB-00220</t>
        </is>
      </c>
      <c r="B221" t="inlineStr">
        <is>
          <t>CUST-0314</t>
        </is>
      </c>
      <c r="C221" s="11" t="n">
        <v>45997</v>
      </c>
      <c r="D221" t="inlineStr">
        <is>
          <t>Support Ticket</t>
        </is>
      </c>
      <c r="E221" t="inlineStr">
        <is>
          <t>Enterprise</t>
        </is>
      </c>
      <c r="F221" t="inlineStr">
        <is>
          <t>Mid-Market</t>
        </is>
      </c>
      <c r="G221" t="inlineStr">
        <is>
          <t>Contact Management</t>
        </is>
      </c>
      <c r="H221" t="inlineStr">
        <is>
          <t>Bug</t>
        </is>
      </c>
      <c r="I221" t="inlineStr">
        <is>
          <t>Our spreadsheet import scrambles phone and email columns even after we map them correctly. We estimate we lose roughly 49 hours a month on this. Happy to join a feedback call.</t>
        </is>
      </c>
      <c r="J221" t="inlineStr">
        <is>
          <t>Neutral</t>
        </is>
      </c>
      <c r="K221" t="inlineStr">
        <is>
          <t>Medium</t>
        </is>
      </c>
      <c r="L221" t="inlineStr">
        <is>
          <t>Unknown</t>
        </is>
      </c>
      <c r="M221" t="inlineStr">
        <is>
          <t>contact_import</t>
        </is>
      </c>
      <c r="N221" t="inlineStr">
        <is>
          <t>Unreliable contact imports</t>
        </is>
      </c>
      <c r="O221" t="inlineStr">
        <is>
          <t>2025-12</t>
        </is>
      </c>
    </row>
    <row r="222">
      <c r="A222" t="inlineStr">
        <is>
          <t>FB-00221</t>
        </is>
      </c>
      <c r="B222" t="inlineStr">
        <is>
          <t>CUST-0060</t>
        </is>
      </c>
      <c r="C222" s="11" t="n">
        <v>45997</v>
      </c>
      <c r="D222" t="inlineStr">
        <is>
          <t>In-App Feedback</t>
        </is>
      </c>
      <c r="E222" t="inlineStr">
        <is>
          <t>Starter</t>
        </is>
      </c>
      <c r="F222" t="inlineStr">
        <is>
          <t>SMB</t>
        </is>
      </c>
      <c r="G222" t="inlineStr">
        <is>
          <t>Reporting</t>
        </is>
      </c>
      <c r="H222" t="inlineStr">
        <is>
          <t>Performance Issue</t>
        </is>
      </c>
      <c r="I222" t="inlineStr">
        <is>
          <t>Happy with most of the product. The dashboard refresh is painfully slow with a full year of data. Thanks to the team.</t>
        </is>
      </c>
      <c r="J222" t="inlineStr">
        <is>
          <t>Positive</t>
        </is>
      </c>
      <c r="K222" t="inlineStr">
        <is>
          <t>Low</t>
        </is>
      </c>
      <c r="L222" t="inlineStr">
        <is>
          <t>Workflow Slowdown</t>
        </is>
      </c>
      <c r="M222" t="inlineStr">
        <is>
          <t>rep_slow</t>
        </is>
      </c>
      <c r="N222" t="inlineStr">
        <is>
          <t>Slow dashboards</t>
        </is>
      </c>
      <c r="O222" t="inlineStr">
        <is>
          <t>2025-12</t>
        </is>
      </c>
    </row>
    <row r="223">
      <c r="A223" t="inlineStr">
        <is>
          <t>FB-00222</t>
        </is>
      </c>
      <c r="B223" t="inlineStr">
        <is>
          <t>CUST-0121</t>
        </is>
      </c>
      <c r="C223" s="11" t="n">
        <v>45997</v>
      </c>
      <c r="D223" t="inlineStr">
        <is>
          <t>In-App Feedback</t>
        </is>
      </c>
      <c r="E223" t="inlineStr">
        <is>
          <t>Starter</t>
        </is>
      </c>
      <c r="F223" t="inlineStr">
        <is>
          <t>SMB</t>
        </is>
      </c>
      <c r="G223" t="inlineStr">
        <is>
          <t>Reporting</t>
        </is>
      </c>
      <c r="H223" t="inlineStr">
        <is>
          <t>Performance Issue</t>
        </is>
      </c>
      <c r="I223" t="inlineStr">
        <is>
          <t>Not what we expected for the price. Dashboard refresh got noticeably worse over the last few months.</t>
        </is>
      </c>
      <c r="J223" t="inlineStr">
        <is>
          <t>Negative</t>
        </is>
      </c>
      <c r="K223" t="inlineStr">
        <is>
          <t>Medium</t>
        </is>
      </c>
      <c r="L223" t="inlineStr">
        <is>
          <t>Workflow Slowdown</t>
        </is>
      </c>
      <c r="M223" t="inlineStr">
        <is>
          <t>rep_slow</t>
        </is>
      </c>
      <c r="N223" t="inlineStr">
        <is>
          <t>Slow dashboards</t>
        </is>
      </c>
      <c r="O223" t="inlineStr">
        <is>
          <t>2025-12</t>
        </is>
      </c>
    </row>
    <row r="224">
      <c r="A224" t="inlineStr">
        <is>
          <t>FB-00223</t>
        </is>
      </c>
      <c r="B224" t="inlineStr">
        <is>
          <t>CUST-0091</t>
        </is>
      </c>
      <c r="C224" s="11" t="n">
        <v>45997</v>
      </c>
      <c r="D224" t="inlineStr">
        <is>
          <t>Feature Request</t>
        </is>
      </c>
      <c r="E224" t="inlineStr">
        <is>
          <t>Professional</t>
        </is>
      </c>
      <c r="F224" t="inlineStr">
        <is>
          <t>SMB</t>
        </is>
      </c>
      <c r="G224" t="inlineStr">
        <is>
          <t>Workflow Automation</t>
        </is>
      </c>
      <c r="H224" t="inlineStr">
        <is>
          <t>Feature Request</t>
        </is>
      </c>
      <c r="I224" t="inlineStr">
        <is>
          <t>Recent updates have been a nice improvement. Adding multi-level approvals is a blocker for our finance team. It affects our quarterly planning process every cycle. Thanks to the team.</t>
        </is>
      </c>
      <c r="J224" t="inlineStr">
        <is>
          <t>Positive</t>
        </is>
      </c>
      <c r="K224" t="inlineStr">
        <is>
          <t>Low</t>
        </is>
      </c>
      <c r="L224" t="inlineStr">
        <is>
          <t>Workflow Slowdown</t>
        </is>
      </c>
      <c r="M224" t="inlineStr">
        <is>
          <t>wf_approval</t>
        </is>
      </c>
      <c r="N224" t="inlineStr">
        <is>
          <t>Approval steps in workflows</t>
        </is>
      </c>
      <c r="O224" t="inlineStr">
        <is>
          <t>2025-12</t>
        </is>
      </c>
    </row>
    <row r="225">
      <c r="A225" t="inlineStr">
        <is>
          <t>FB-00224</t>
        </is>
      </c>
      <c r="B225" t="inlineStr">
        <is>
          <t>CUST-0187</t>
        </is>
      </c>
      <c r="C225" s="11" t="n">
        <v>45998</v>
      </c>
      <c r="D225" t="inlineStr">
        <is>
          <t>In-App Feedback</t>
        </is>
      </c>
      <c r="E225" t="inlineStr">
        <is>
          <t>Enterprise</t>
        </is>
      </c>
      <c r="F225" t="inlineStr">
        <is>
          <t>Mid-Market</t>
        </is>
      </c>
      <c r="G225" t="inlineStr">
        <is>
          <t>Reporting</t>
        </is>
      </c>
      <c r="H225" t="inlineStr">
        <is>
          <t>Performance Issue</t>
        </is>
      </c>
      <c r="I225" t="inlineStr">
        <is>
          <t>Quick note from our admin. Report load time got noticeably worse over the last few months.</t>
        </is>
      </c>
      <c r="J225" t="inlineStr">
        <is>
          <t>Neutral</t>
        </is>
      </c>
      <c r="K225" t="inlineStr">
        <is>
          <t>High</t>
        </is>
      </c>
      <c r="L225" t="inlineStr">
        <is>
          <t>Blocks Key Task</t>
        </is>
      </c>
      <c r="M225" t="inlineStr">
        <is>
          <t>rep_slow</t>
        </is>
      </c>
      <c r="N225" t="inlineStr">
        <is>
          <t>Slow dashboards</t>
        </is>
      </c>
      <c r="O225" t="inlineStr">
        <is>
          <t>2025-12</t>
        </is>
      </c>
    </row>
    <row r="226">
      <c r="A226" t="inlineStr">
        <is>
          <t>FB-00225</t>
        </is>
      </c>
      <c r="B226" t="inlineStr">
        <is>
          <t>CUST-0216</t>
        </is>
      </c>
      <c r="C226" s="11" t="n">
        <v>45998</v>
      </c>
      <c r="D226" t="inlineStr">
        <is>
          <t>Support Ticket</t>
        </is>
      </c>
      <c r="E226" t="inlineStr">
        <is>
          <t>Starter</t>
        </is>
      </c>
      <c r="F226" t="inlineStr">
        <is>
          <t>Mid-Market</t>
        </is>
      </c>
      <c r="G226" t="inlineStr">
        <is>
          <t>Lead Management</t>
        </is>
      </c>
      <c r="H226" t="inlineStr">
        <is>
          <t>Bug</t>
        </is>
      </c>
      <c r="I226" t="inlineStr">
        <is>
          <t>Frustrated with this one. There are duplicated leads across our pipeline views and nobody knows which record is the source of truth. Our marketing ops owner flagged it while onboarding 46 new users. We need a fix before renewal.</t>
        </is>
      </c>
      <c r="J226" t="inlineStr">
        <is>
          <t>Negative</t>
        </is>
      </c>
      <c r="K226" t="inlineStr">
        <is>
          <t>Medium</t>
        </is>
      </c>
      <c r="L226" t="inlineStr">
        <is>
          <t>Minor Inconvenience</t>
        </is>
      </c>
      <c r="M226" t="inlineStr">
        <is>
          <t>lead_dup</t>
        </is>
      </c>
      <c r="N226" t="inlineStr">
        <is>
          <t>Duplicate leads created</t>
        </is>
      </c>
      <c r="O226" t="inlineStr">
        <is>
          <t>2025-12</t>
        </is>
      </c>
    </row>
    <row r="227">
      <c r="A227" t="inlineStr">
        <is>
          <t>FB-00226</t>
        </is>
      </c>
      <c r="B227" t="inlineStr">
        <is>
          <t>CUST-0102</t>
        </is>
      </c>
      <c r="C227" s="11" t="n">
        <v>45999</v>
      </c>
      <c r="D227" t="inlineStr">
        <is>
          <t>Support Ticket</t>
        </is>
      </c>
      <c r="E227" t="inlineStr">
        <is>
          <t>Professional</t>
        </is>
      </c>
      <c r="F227" t="inlineStr">
        <is>
          <t>Mid-Market</t>
        </is>
      </c>
      <c r="G227" t="inlineStr">
        <is>
          <t>Contact Management</t>
        </is>
      </c>
      <c r="H227" t="inlineStr">
        <is>
          <t>Bug</t>
        </is>
      </c>
      <c r="I227" t="inlineStr">
        <is>
          <t>Escalating on behalf of our ops lead. The spreadsheet import fails halfway through with a generic error and no row-level detail. It affects our weekly pipeline review process every cycle. Is there a workaround?</t>
        </is>
      </c>
      <c r="J227" t="inlineStr">
        <is>
          <t>Negative</t>
        </is>
      </c>
      <c r="K227" t="inlineStr">
        <is>
          <t>High</t>
        </is>
      </c>
      <c r="L227" t="inlineStr">
        <is>
          <t>Blocks Key Task</t>
        </is>
      </c>
      <c r="M227" t="inlineStr">
        <is>
          <t>contact_import</t>
        </is>
      </c>
      <c r="N227" t="inlineStr">
        <is>
          <t>Unreliable contact imports</t>
        </is>
      </c>
      <c r="O227" t="inlineStr">
        <is>
          <t>2025-12</t>
        </is>
      </c>
    </row>
    <row r="228">
      <c r="A228" t="inlineStr">
        <is>
          <t>FB-00227</t>
        </is>
      </c>
      <c r="B228" t="inlineStr">
        <is>
          <t>CUST-0198</t>
        </is>
      </c>
      <c r="C228" s="11" t="n">
        <v>46000</v>
      </c>
      <c r="D228" t="inlineStr">
        <is>
          <t>In-App Feedback</t>
        </is>
      </c>
      <c r="E228" t="inlineStr">
        <is>
          <t>Starter</t>
        </is>
      </c>
      <c r="F228" t="inlineStr">
        <is>
          <t>SMB</t>
        </is>
      </c>
      <c r="G228" t="inlineStr">
        <is>
          <t>Reporting</t>
        </is>
      </c>
      <c r="H228" t="inlineStr">
        <is>
          <t>Performance Issue</t>
        </is>
      </c>
      <c r="I228" t="inlineStr">
        <is>
          <t>FYI for the product team. Report load time got noticeably worse over the last few months. So far 66 people on our side have reported it.</t>
        </is>
      </c>
      <c r="J228" t="inlineStr">
        <is>
          <t>Neutral</t>
        </is>
      </c>
      <c r="K228" t="inlineStr">
        <is>
          <t>Low</t>
        </is>
      </c>
      <c r="L228" t="inlineStr">
        <is>
          <t>Minor Inconvenience</t>
        </is>
      </c>
      <c r="M228" t="inlineStr">
        <is>
          <t>rep_slow</t>
        </is>
      </c>
      <c r="N228" t="inlineStr">
        <is>
          <t>Slow dashboards</t>
        </is>
      </c>
      <c r="O228" t="inlineStr">
        <is>
          <t>2025-12</t>
        </is>
      </c>
    </row>
    <row r="229">
      <c r="A229" t="inlineStr">
        <is>
          <t>FB-00228</t>
        </is>
      </c>
      <c r="B229" t="inlineStr">
        <is>
          <t>CUST-0153</t>
        </is>
      </c>
      <c r="C229" s="11" t="n">
        <v>46000</v>
      </c>
      <c r="D229" t="inlineStr">
        <is>
          <t>Feature Request</t>
        </is>
      </c>
      <c r="E229" t="inlineStr">
        <is>
          <t>Enterprise</t>
        </is>
      </c>
      <c r="F229" t="inlineStr">
        <is>
          <t>Enterprise</t>
        </is>
      </c>
      <c r="G229" t="inlineStr">
        <is>
          <t>Reporting</t>
        </is>
      </c>
      <c r="H229" t="inlineStr">
        <is>
          <t>Feature Request</t>
        </is>
      </c>
      <c r="I229" t="inlineStr">
        <is>
          <t>We need scheduled report emails so non-technical managers can create their own views. It affects our onboarding process every cycle.</t>
        </is>
      </c>
      <c r="J229" t="inlineStr">
        <is>
          <t>Positive</t>
        </is>
      </c>
      <c r="K229" t="inlineStr">
        <is>
          <t>Medium</t>
        </is>
      </c>
      <c r="L229" t="inlineStr">
        <is>
          <t>Minor Inconvenience</t>
        </is>
      </c>
      <c r="M229" t="inlineStr">
        <is>
          <t>rep_custom</t>
        </is>
      </c>
      <c r="N229" t="inlineStr">
        <is>
          <t>Custom and scheduled reports</t>
        </is>
      </c>
      <c r="O229" t="inlineStr">
        <is>
          <t>2025-12</t>
        </is>
      </c>
    </row>
    <row r="230">
      <c r="A230" t="inlineStr">
        <is>
          <t>FB-00229</t>
        </is>
      </c>
      <c r="B230" t="inlineStr">
        <is>
          <t>CUST-0092</t>
        </is>
      </c>
      <c r="C230" s="11" t="n">
        <v>46000</v>
      </c>
      <c r="D230" t="inlineStr">
        <is>
          <t>Feature Request</t>
        </is>
      </c>
      <c r="E230" t="inlineStr">
        <is>
          <t>Professional</t>
        </is>
      </c>
      <c r="F230" t="inlineStr">
        <is>
          <t>Mid-Market</t>
        </is>
      </c>
      <c r="G230" t="inlineStr">
        <is>
          <t>User Interface</t>
        </is>
      </c>
      <c r="H230" t="inlineStr">
        <is>
          <t>Feature Request</t>
        </is>
      </c>
      <c r="I230" t="inlineStr">
        <is>
          <t>Great support experience recently. Requesting bulk actions on lists across every list view. Thanks to the team.</t>
        </is>
      </c>
      <c r="J230" t="inlineStr">
        <is>
          <t>Positive</t>
        </is>
      </c>
      <c r="K230" t="inlineStr">
        <is>
          <t>Low</t>
        </is>
      </c>
      <c r="L230" t="inlineStr">
        <is>
          <t>Minor Inconvenience</t>
        </is>
      </c>
      <c r="M230" t="inlineStr">
        <is>
          <t>ui_bulk</t>
        </is>
      </c>
      <c r="N230" t="inlineStr">
        <is>
          <t>Bulk actions</t>
        </is>
      </c>
      <c r="O230" t="inlineStr">
        <is>
          <t>2025-12</t>
        </is>
      </c>
    </row>
    <row r="231">
      <c r="A231" t="inlineStr">
        <is>
          <t>FB-00230</t>
        </is>
      </c>
      <c r="B231" t="inlineStr">
        <is>
          <t>CUST-0391</t>
        </is>
      </c>
      <c r="C231" s="11" t="n">
        <v>46000</v>
      </c>
      <c r="D231" t="inlineStr">
        <is>
          <t>Customer Survey</t>
        </is>
      </c>
      <c r="E231" t="inlineStr">
        <is>
          <t>Enterprise</t>
        </is>
      </c>
      <c r="F231" t="inlineStr">
        <is>
          <t>Mid-Market</t>
        </is>
      </c>
      <c r="G231" t="inlineStr">
        <is>
          <t>User Interface</t>
        </is>
      </c>
      <c r="H231" t="inlineStr">
        <is>
          <t>Feature Request</t>
        </is>
      </c>
      <c r="I231" t="inlineStr">
        <is>
          <t>Quick note from our admin. Admins ask for multi-select actions every time we reorganize territories.</t>
        </is>
      </c>
      <c r="J231" t="inlineStr">
        <is>
          <t>Neutral</t>
        </is>
      </c>
      <c r="K231" t="inlineStr">
        <is>
          <t>Medium</t>
        </is>
      </c>
      <c r="L231" t="inlineStr">
        <is>
          <t>Blocks Key Task</t>
        </is>
      </c>
      <c r="M231" t="inlineStr">
        <is>
          <t>ui_bulk</t>
        </is>
      </c>
      <c r="N231" t="inlineStr">
        <is>
          <t>Bulk actions</t>
        </is>
      </c>
      <c r="O231" t="inlineStr">
        <is>
          <t>2025-12</t>
        </is>
      </c>
    </row>
    <row r="232">
      <c r="A232" t="inlineStr">
        <is>
          <t>FB-00231</t>
        </is>
      </c>
      <c r="B232" t="inlineStr">
        <is>
          <t>CUST-0121</t>
        </is>
      </c>
      <c r="C232" s="11" t="n">
        <v>46001</v>
      </c>
      <c r="D232" t="inlineStr">
        <is>
          <t>Support Ticket</t>
        </is>
      </c>
      <c r="E232" t="inlineStr">
        <is>
          <t>Starter</t>
        </is>
      </c>
      <c r="F232" t="inlineStr">
        <is>
          <t>SMB</t>
        </is>
      </c>
      <c r="G232" t="inlineStr">
        <is>
          <t>User Interface</t>
        </is>
      </c>
      <c r="H232" t="inlineStr">
        <is>
          <t>Usability Issue</t>
        </is>
      </c>
      <c r="I232" t="inlineStr">
        <is>
          <t>The settings navigation changed and nobody told us where things moved. It affects our weekly pipeline review process every cycle. Is there a workaround?</t>
        </is>
      </c>
      <c r="J232" t="inlineStr">
        <is>
          <t>Negative</t>
        </is>
      </c>
      <c r="K232" t="inlineStr">
        <is>
          <t>Low</t>
        </is>
      </c>
      <c r="L232" t="inlineStr">
        <is>
          <t>Workflow Slowdown</t>
        </is>
      </c>
      <c r="M232" t="inlineStr">
        <is>
          <t>ui_nav</t>
        </is>
      </c>
      <c r="N232" t="inlineStr">
        <is>
          <t>Cluttered navigation</t>
        </is>
      </c>
      <c r="O232" t="inlineStr">
        <is>
          <t>2025-12</t>
        </is>
      </c>
    </row>
    <row r="233">
      <c r="A233" t="inlineStr">
        <is>
          <t>FB-00232</t>
        </is>
      </c>
      <c r="B233" t="inlineStr">
        <is>
          <t>CUST-0330</t>
        </is>
      </c>
      <c r="C233" s="11" t="n">
        <v>46001</v>
      </c>
      <c r="D233" t="inlineStr">
        <is>
          <t>Feature Request</t>
        </is>
      </c>
      <c r="E233" t="inlineStr">
        <is>
          <t>Professional</t>
        </is>
      </c>
      <c r="F233" t="inlineStr">
        <is>
          <t>Mid-Market</t>
        </is>
      </c>
      <c r="G233" t="inlineStr">
        <is>
          <t>Integrations</t>
        </is>
      </c>
      <c r="H233" t="inlineStr">
        <is>
          <t>Feature Request</t>
        </is>
      </c>
      <c r="I233" t="inlineStr">
        <is>
          <t>Quick note from our admin. Requesting a native accounting integration to remove manual re-entry. So far 26 people on our side have reported it.</t>
        </is>
      </c>
      <c r="J233" t="inlineStr">
        <is>
          <t>Neutral</t>
        </is>
      </c>
      <c r="K233" t="inlineStr">
        <is>
          <t>Medium</t>
        </is>
      </c>
      <c r="L233" t="inlineStr">
        <is>
          <t>Workflow Slowdown</t>
        </is>
      </c>
      <c r="M233" t="inlineStr">
        <is>
          <t>int_native</t>
        </is>
      </c>
      <c r="N233" t="inlineStr">
        <is>
          <t>Native integrations</t>
        </is>
      </c>
      <c r="O233" t="inlineStr">
        <is>
          <t>2025-12</t>
        </is>
      </c>
    </row>
    <row r="234">
      <c r="A234" t="inlineStr">
        <is>
          <t>FB-00233</t>
        </is>
      </c>
      <c r="B234" t="inlineStr">
        <is>
          <t>CUST-0237</t>
        </is>
      </c>
      <c r="C234" s="11" t="n">
        <v>46003</v>
      </c>
      <c r="D234" t="inlineStr">
        <is>
          <t>In-App Feedback</t>
        </is>
      </c>
      <c r="E234" t="inlineStr">
        <is>
          <t>Enterprise</t>
        </is>
      </c>
      <c r="F234" t="inlineStr">
        <is>
          <t>Mid-Market</t>
        </is>
      </c>
      <c r="G234" t="inlineStr">
        <is>
          <t>Reporting</t>
        </is>
      </c>
      <c r="H234" t="inlineStr">
        <is>
          <t>Performance Issue</t>
        </is>
      </c>
      <c r="I234" t="inlineStr">
        <is>
          <t>Frustrated with this one. Dashboard loading got noticeably worse over the last few months. It affects our weekly pipeline review process every cycle.</t>
        </is>
      </c>
      <c r="J234" t="inlineStr">
        <is>
          <t>Negative</t>
        </is>
      </c>
      <c r="K234" t="inlineStr">
        <is>
          <t>High</t>
        </is>
      </c>
      <c r="L234" t="inlineStr">
        <is>
          <t>Blocks Key Task</t>
        </is>
      </c>
      <c r="M234" t="inlineStr">
        <is>
          <t>rep_slow</t>
        </is>
      </c>
      <c r="N234" t="inlineStr">
        <is>
          <t>Slow dashboards</t>
        </is>
      </c>
      <c r="O234" t="inlineStr">
        <is>
          <t>2025-12</t>
        </is>
      </c>
    </row>
    <row r="235">
      <c r="A235" t="inlineStr">
        <is>
          <t>FB-00234</t>
        </is>
      </c>
      <c r="B235" t="inlineStr">
        <is>
          <t>CUST-0420</t>
        </is>
      </c>
      <c r="C235" s="11" t="n">
        <v>46003</v>
      </c>
      <c r="D235" t="inlineStr">
        <is>
          <t>In-App Feedback</t>
        </is>
      </c>
      <c r="E235" t="inlineStr">
        <is>
          <t>Enterprise</t>
        </is>
      </c>
      <c r="F235" t="inlineStr">
        <is>
          <t>Enterprise</t>
        </is>
      </c>
      <c r="G235" t="inlineStr">
        <is>
          <t>Lead Management</t>
        </is>
      </c>
      <c r="H235" t="inlineStr">
        <is>
          <t>Bug</t>
        </is>
      </c>
      <c r="I235" t="inlineStr">
        <is>
          <t>This has been a recurring problem for us. We are seeing duplicated leads when a lead arrives from both the website and a trade-show list. So far 89 people on our side have reported it.</t>
        </is>
      </c>
      <c r="J235" t="inlineStr">
        <is>
          <t>Negative</t>
        </is>
      </c>
      <c r="K235" t="inlineStr">
        <is>
          <t>Critical</t>
        </is>
      </c>
      <c r="L235" t="inlineStr">
        <is>
          <t>Blocks Key Task</t>
        </is>
      </c>
      <c r="M235" t="inlineStr">
        <is>
          <t>lead_dup</t>
        </is>
      </c>
      <c r="N235" t="inlineStr">
        <is>
          <t>Duplicate leads created</t>
        </is>
      </c>
      <c r="O235" t="inlineStr">
        <is>
          <t>2025-12</t>
        </is>
      </c>
    </row>
    <row r="236">
      <c r="A236" t="inlineStr">
        <is>
          <t>FB-00235</t>
        </is>
      </c>
      <c r="B236" t="inlineStr">
        <is>
          <t>CUST-0365</t>
        </is>
      </c>
      <c r="C236" s="11" t="n">
        <v>46003</v>
      </c>
      <c r="D236" t="inlineStr">
        <is>
          <t>Feature Request</t>
        </is>
      </c>
      <c r="E236" t="inlineStr">
        <is>
          <t>Starter</t>
        </is>
      </c>
      <c r="F236" t="inlineStr">
        <is>
          <t>SMB</t>
        </is>
      </c>
      <c r="G236" t="inlineStr">
        <is>
          <t>Reporting</t>
        </is>
      </c>
      <c r="H236" t="inlineStr">
        <is>
          <t>Feature Request</t>
        </is>
      </c>
      <c r="I236" t="inlineStr">
        <is>
          <t>Quick note from our admin. We need a custom report builder so non-technical managers can create their own views.</t>
        </is>
      </c>
      <c r="J236" t="inlineStr">
        <is>
          <t>Neutral</t>
        </is>
      </c>
      <c r="K236" t="inlineStr">
        <is>
          <t>Medium</t>
        </is>
      </c>
      <c r="L236" t="inlineStr">
        <is>
          <t>Workflow Slowdown</t>
        </is>
      </c>
      <c r="M236" t="inlineStr">
        <is>
          <t>rep_custom</t>
        </is>
      </c>
      <c r="N236" t="inlineStr">
        <is>
          <t>Custom and scheduled reports</t>
        </is>
      </c>
      <c r="O236" t="inlineStr">
        <is>
          <t>2025-12</t>
        </is>
      </c>
    </row>
    <row r="237">
      <c r="A237" t="inlineStr">
        <is>
          <t>FB-00236</t>
        </is>
      </c>
      <c r="B237" t="inlineStr">
        <is>
          <t>CUST-0165</t>
        </is>
      </c>
      <c r="C237" s="11" t="n">
        <v>46003</v>
      </c>
      <c r="D237" t="inlineStr">
        <is>
          <t>Support Ticket</t>
        </is>
      </c>
      <c r="E237" t="inlineStr">
        <is>
          <t>Enterprise</t>
        </is>
      </c>
      <c r="F237" t="inlineStr">
        <is>
          <t>Mid-Market</t>
        </is>
      </c>
      <c r="G237" t="inlineStr">
        <is>
          <t>Integrations</t>
        </is>
      </c>
      <c r="H237" t="inlineStr">
        <is>
          <t>Integration Issue</t>
        </is>
      </c>
      <c r="I237" t="inlineStr">
        <is>
          <t>Not what we expected for the price. Reps no longer trust email sync, so they log activity by hand. It affects our renewal process every cycle.</t>
        </is>
      </c>
      <c r="J237" t="inlineStr">
        <is>
          <t>Negative</t>
        </is>
      </c>
      <c r="K237" t="inlineStr">
        <is>
          <t>High</t>
        </is>
      </c>
      <c r="L237" t="inlineStr">
        <is>
          <t>Workflow Slowdown</t>
        </is>
      </c>
      <c r="M237" t="inlineStr">
        <is>
          <t>int_email</t>
        </is>
      </c>
      <c r="N237" t="inlineStr">
        <is>
          <t>Email and calendar sync drops</t>
        </is>
      </c>
      <c r="O237" t="inlineStr">
        <is>
          <t>2025-12</t>
        </is>
      </c>
    </row>
    <row r="238">
      <c r="A238" t="inlineStr">
        <is>
          <t>FB-00237</t>
        </is>
      </c>
      <c r="B238" t="inlineStr">
        <is>
          <t>CUST-0136</t>
        </is>
      </c>
      <c r="C238" s="11" t="n">
        <v>46003</v>
      </c>
      <c r="D238" t="inlineStr">
        <is>
          <t>In-App Feedback</t>
        </is>
      </c>
      <c r="E238" t="inlineStr">
        <is>
          <t>Starter</t>
        </is>
      </c>
      <c r="F238" t="inlineStr">
        <is>
          <t>SMB</t>
        </is>
      </c>
      <c r="G238" t="inlineStr">
        <is>
          <t>Integrations</t>
        </is>
      </c>
      <c r="H238" t="inlineStr">
        <is>
          <t>Integration Issue</t>
        </is>
      </c>
      <c r="I238" t="inlineStr">
        <is>
          <t>Escalating on behalf of our ops lead. After the token expires, email sync stops with no warning. We estimate we lose roughly 34 hours a month on this.</t>
        </is>
      </c>
      <c r="J238" t="inlineStr">
        <is>
          <t>Negative</t>
        </is>
      </c>
      <c r="K238" t="inlineStr">
        <is>
          <t>High</t>
        </is>
      </c>
      <c r="L238" t="inlineStr">
        <is>
          <t>Blocks Key Task</t>
        </is>
      </c>
      <c r="M238" t="inlineStr">
        <is>
          <t>int_email</t>
        </is>
      </c>
      <c r="N238" t="inlineStr">
        <is>
          <t>Email and calendar sync drops</t>
        </is>
      </c>
      <c r="O238" t="inlineStr">
        <is>
          <t>2025-12</t>
        </is>
      </c>
    </row>
    <row r="239">
      <c r="A239" t="inlineStr">
        <is>
          <t>FB-00238</t>
        </is>
      </c>
      <c r="B239" t="inlineStr">
        <is>
          <t>CUST-0357</t>
        </is>
      </c>
      <c r="C239" s="11" t="n">
        <v>46003</v>
      </c>
      <c r="D239" t="inlineStr">
        <is>
          <t>In-App Feedback</t>
        </is>
      </c>
      <c r="E239" t="inlineStr">
        <is>
          <t>Starter</t>
        </is>
      </c>
      <c r="F239" t="inlineStr">
        <is>
          <t>SMB</t>
        </is>
      </c>
      <c r="G239" t="inlineStr">
        <is>
          <t>Lead Management</t>
        </is>
      </c>
      <c r="H239" t="inlineStr">
        <is>
          <t>Usability Issue</t>
        </is>
      </c>
      <c r="I239" t="inlineStr">
        <is>
          <t>This has been a recurring problem for us. It is hard to understand how round-robin lead assignment decide who owns a lead. We estimate we lose roughly 15 hours a month on this. We need a fix before renewal.</t>
        </is>
      </c>
      <c r="J239" t="inlineStr">
        <is>
          <t>Negative</t>
        </is>
      </c>
      <c r="K239" t="inlineStr">
        <is>
          <t>High</t>
        </is>
      </c>
      <c r="L239" t="inlineStr">
        <is>
          <t>Blocks Key Task</t>
        </is>
      </c>
      <c r="M239" t="inlineStr">
        <is>
          <t>lead_assign</t>
        </is>
      </c>
      <c r="N239" t="inlineStr">
        <is>
          <t>Lead routing is inflexible</t>
        </is>
      </c>
      <c r="O239" t="inlineStr">
        <is>
          <t>2025-12</t>
        </is>
      </c>
    </row>
    <row r="240">
      <c r="A240" t="inlineStr">
        <is>
          <t>FB-00239</t>
        </is>
      </c>
      <c r="B240" t="inlineStr">
        <is>
          <t>CUST-0243</t>
        </is>
      </c>
      <c r="C240" s="11" t="n">
        <v>46003</v>
      </c>
      <c r="D240" t="inlineStr">
        <is>
          <t>In-App Feedback</t>
        </is>
      </c>
      <c r="E240" t="inlineStr">
        <is>
          <t>Professional</t>
        </is>
      </c>
      <c r="F240" t="inlineStr">
        <is>
          <t>SMB</t>
        </is>
      </c>
      <c r="G240" t="inlineStr">
        <is>
          <t>Integrations</t>
        </is>
      </c>
      <c r="H240" t="inlineStr">
        <is>
          <t>Integration Issue</t>
        </is>
      </c>
      <c r="I240" t="inlineStr">
        <is>
          <t>FYI for the product team. Our integration partner flagged API timeouts as a risk for the project. Happy to join a feedback call.</t>
        </is>
      </c>
      <c r="J240" t="inlineStr">
        <is>
          <t>Neutral</t>
        </is>
      </c>
      <c r="K240" t="inlineStr">
        <is>
          <t>Low</t>
        </is>
      </c>
      <c r="L240" t="inlineStr">
        <is>
          <t>Workflow Slowdown</t>
        </is>
      </c>
      <c r="M240" t="inlineStr">
        <is>
          <t>int_api</t>
        </is>
      </c>
      <c r="N240" t="inlineStr">
        <is>
          <t>API limits and webhook failures</t>
        </is>
      </c>
      <c r="O240" t="inlineStr">
        <is>
          <t>2025-12</t>
        </is>
      </c>
    </row>
    <row r="241">
      <c r="A241" t="inlineStr">
        <is>
          <t>FB-00240</t>
        </is>
      </c>
      <c r="B241" t="inlineStr">
        <is>
          <t>CUST-0361</t>
        </is>
      </c>
      <c r="C241" s="11" t="n">
        <v>46003</v>
      </c>
      <c r="D241" t="inlineStr">
        <is>
          <t>In-App Feedback</t>
        </is>
      </c>
      <c r="E241" t="inlineStr">
        <is>
          <t>Professional</t>
        </is>
      </c>
      <c r="F241" t="inlineStr">
        <is>
          <t>Mid-Market</t>
        </is>
      </c>
      <c r="G241" t="inlineStr">
        <is>
          <t>Reporting</t>
        </is>
      </c>
      <c r="H241" t="inlineStr">
        <is>
          <t>Bug</t>
        </is>
      </c>
      <c r="I241" t="inlineStr">
        <is>
          <t>Our team keeps running into this. Finance can't rely on the Excel export; totals don't match the screen. We need a fix before renewal.</t>
        </is>
      </c>
      <c r="J241" t="inlineStr">
        <is>
          <t>Negative</t>
        </is>
      </c>
      <c r="K241" t="inlineStr">
        <is>
          <t>High</t>
        </is>
      </c>
      <c r="L241" t="inlineStr">
        <is>
          <t>Blocks Key Task</t>
        </is>
      </c>
      <c r="M241" t="inlineStr">
        <is>
          <t>rep_export</t>
        </is>
      </c>
      <c r="N241" t="inlineStr">
        <is>
          <t>Broken report exports</t>
        </is>
      </c>
      <c r="O241" t="inlineStr">
        <is>
          <t>2025-12</t>
        </is>
      </c>
    </row>
    <row r="242">
      <c r="A242" t="inlineStr">
        <is>
          <t>FB-00241</t>
        </is>
      </c>
      <c r="B242" t="inlineStr">
        <is>
          <t>CUST-0371</t>
        </is>
      </c>
      <c r="C242" s="11" t="n">
        <v>46004</v>
      </c>
      <c r="D242" t="inlineStr">
        <is>
          <t>Customer Survey</t>
        </is>
      </c>
      <c r="E242" t="inlineStr">
        <is>
          <t>Enterprise</t>
        </is>
      </c>
      <c r="F242" t="inlineStr">
        <is>
          <t>Enterprise</t>
        </is>
      </c>
      <c r="G242" t="inlineStr">
        <is>
          <t>Lead Management</t>
        </is>
      </c>
      <c r="H242" t="inlineStr">
        <is>
          <t>Feature Request</t>
        </is>
      </c>
      <c r="I242" t="inlineStr">
        <is>
          <t>Overall we like the product. Would love to see automated lead scoring that marketing and sales can both tune. Thanks to the team.</t>
        </is>
      </c>
      <c r="J242" t="inlineStr">
        <is>
          <t>Positive</t>
        </is>
      </c>
      <c r="K242" t="inlineStr">
        <is>
          <t>Low</t>
        </is>
      </c>
      <c r="L242" t="inlineStr">
        <is>
          <t>Minor Inconvenience</t>
        </is>
      </c>
      <c r="M242" t="inlineStr">
        <is>
          <t>lead_score</t>
        </is>
      </c>
      <c r="N242" t="inlineStr">
        <is>
          <t>Automated lead scoring</t>
        </is>
      </c>
      <c r="O242" t="inlineStr">
        <is>
          <t>2025-12</t>
        </is>
      </c>
    </row>
    <row r="243">
      <c r="A243" t="inlineStr">
        <is>
          <t>FB-00242</t>
        </is>
      </c>
      <c r="B243" t="inlineStr">
        <is>
          <t>CUST-0408</t>
        </is>
      </c>
      <c r="C243" s="11" t="n">
        <v>46004</v>
      </c>
      <c r="D243" t="inlineStr">
        <is>
          <t>In-App Feedback</t>
        </is>
      </c>
      <c r="E243" t="inlineStr">
        <is>
          <t>Starter</t>
        </is>
      </c>
      <c r="F243" t="inlineStr">
        <is>
          <t>SMB</t>
        </is>
      </c>
      <c r="G243" t="inlineStr">
        <is>
          <t>Integrations</t>
        </is>
      </c>
      <c r="H243" t="inlineStr">
        <is>
          <t>Integration Issue</t>
        </is>
      </c>
      <c r="I243" t="inlineStr">
        <is>
          <t>Sharing this from our team. Reps no longer trust Outlook calendar sync, so they log activity by hand. Happy to join a feedback call.</t>
        </is>
      </c>
      <c r="J243" t="inlineStr">
        <is>
          <t>Neutral</t>
        </is>
      </c>
      <c r="K243" t="inlineStr">
        <is>
          <t>High</t>
        </is>
      </c>
      <c r="L243" t="inlineStr">
        <is>
          <t>Blocks Key Task</t>
        </is>
      </c>
      <c r="M243" t="inlineStr">
        <is>
          <t>int_email</t>
        </is>
      </c>
      <c r="N243" t="inlineStr">
        <is>
          <t>Email and calendar sync drops</t>
        </is>
      </c>
      <c r="O243" t="inlineStr">
        <is>
          <t>2025-12</t>
        </is>
      </c>
    </row>
    <row r="244">
      <c r="A244" t="inlineStr">
        <is>
          <t>FB-00243</t>
        </is>
      </c>
      <c r="B244" t="inlineStr">
        <is>
          <t>CUST-0410</t>
        </is>
      </c>
      <c r="C244" s="11" t="n">
        <v>46004</v>
      </c>
      <c r="D244" t="inlineStr">
        <is>
          <t>Feature Request</t>
        </is>
      </c>
      <c r="E244" t="inlineStr">
        <is>
          <t>Professional</t>
        </is>
      </c>
      <c r="F244" t="inlineStr">
        <is>
          <t>Enterprise</t>
        </is>
      </c>
      <c r="G244" t="inlineStr">
        <is>
          <t>Lead Management</t>
        </is>
      </c>
      <c r="H244" t="inlineStr">
        <is>
          <t>Feature Request</t>
        </is>
      </c>
      <c r="I244" t="inlineStr">
        <is>
          <t>Please add automated lead scoring based on engagement, company size and recent activity. It affects our onboarding process every cycle. We need a fix before renewal.</t>
        </is>
      </c>
      <c r="J244" t="inlineStr">
        <is>
          <t>Negative</t>
        </is>
      </c>
      <c r="K244" t="inlineStr">
        <is>
          <t>Low</t>
        </is>
      </c>
      <c r="L244" t="inlineStr">
        <is>
          <t>Minor Inconvenience</t>
        </is>
      </c>
      <c r="M244" t="inlineStr">
        <is>
          <t>lead_score</t>
        </is>
      </c>
      <c r="N244" t="inlineStr">
        <is>
          <t>Automated lead scoring</t>
        </is>
      </c>
      <c r="O244" t="inlineStr">
        <is>
          <t>2025-12</t>
        </is>
      </c>
    </row>
    <row r="245">
      <c r="A245" t="inlineStr">
        <is>
          <t>FB-00244</t>
        </is>
      </c>
      <c r="B245" t="inlineStr">
        <is>
          <t>CUST-0123</t>
        </is>
      </c>
      <c r="C245" s="11" t="n">
        <v>46005</v>
      </c>
      <c r="D245" t="inlineStr">
        <is>
          <t>Customer Survey</t>
        </is>
      </c>
      <c r="E245" t="inlineStr">
        <is>
          <t>Professional</t>
        </is>
      </c>
      <c r="F245" t="inlineStr">
        <is>
          <t>Mid-Market</t>
        </is>
      </c>
      <c r="G245" t="inlineStr">
        <is>
          <t>User Interface</t>
        </is>
      </c>
      <c r="H245" t="inlineStr">
        <is>
          <t>Usability Issue</t>
        </is>
      </c>
      <c r="I245" t="inlineStr">
        <is>
          <t>FYI for the product team. Too many clicks to reach common screens because of the page layout. It happens about 38 times a week for our team of 47.</t>
        </is>
      </c>
      <c r="J245" t="inlineStr">
        <is>
          <t>Neutral</t>
        </is>
      </c>
      <c r="K245" t="inlineStr">
        <is>
          <t>Low</t>
        </is>
      </c>
      <c r="L245" t="inlineStr">
        <is>
          <t>Minor Inconvenience</t>
        </is>
      </c>
      <c r="M245" t="inlineStr">
        <is>
          <t>ui_nav</t>
        </is>
      </c>
      <c r="N245" t="inlineStr">
        <is>
          <t>Cluttered navigation</t>
        </is>
      </c>
      <c r="O245" t="inlineStr">
        <is>
          <t>2025-12</t>
        </is>
      </c>
    </row>
    <row r="246">
      <c r="A246" t="inlineStr">
        <is>
          <t>FB-00245</t>
        </is>
      </c>
      <c r="B246" t="inlineStr">
        <is>
          <t>CUST-0065</t>
        </is>
      </c>
      <c r="C246" s="11" t="n">
        <v>46006</v>
      </c>
      <c r="D246" t="inlineStr">
        <is>
          <t>Customer Survey</t>
        </is>
      </c>
      <c r="E246" t="inlineStr">
        <is>
          <t>Professional</t>
        </is>
      </c>
      <c r="F246" t="inlineStr">
        <is>
          <t>Mid-Market</t>
        </is>
      </c>
      <c r="G246" t="inlineStr">
        <is>
          <t>User Interface</t>
        </is>
      </c>
      <c r="H246" t="inlineStr">
        <is>
          <t>Usability Issue</t>
        </is>
      </c>
      <c r="I246" t="inlineStr">
        <is>
          <t>This has been a recurring problem for us. New hires get lost in the settings navigation; it takes weeks to learn. We estimate we lose roughly 48 hours a month on this.</t>
        </is>
      </c>
      <c r="J246" t="inlineStr">
        <is>
          <t>Negative</t>
        </is>
      </c>
      <c r="K246" t="inlineStr">
        <is>
          <t>Medium</t>
        </is>
      </c>
      <c r="L246" t="inlineStr">
        <is>
          <t>Minor Inconvenience</t>
        </is>
      </c>
      <c r="M246" t="inlineStr">
        <is>
          <t>ui_nav</t>
        </is>
      </c>
      <c r="N246" t="inlineStr">
        <is>
          <t>Cluttered navigation</t>
        </is>
      </c>
      <c r="O246" t="inlineStr">
        <is>
          <t>2025-12</t>
        </is>
      </c>
    </row>
    <row r="247">
      <c r="A247" t="inlineStr">
        <is>
          <t>FB-00246</t>
        </is>
      </c>
      <c r="B247" t="inlineStr">
        <is>
          <t>CUST-0187</t>
        </is>
      </c>
      <c r="C247" s="11" t="n">
        <v>46006</v>
      </c>
      <c r="D247" t="inlineStr">
        <is>
          <t>Customer Survey</t>
        </is>
      </c>
      <c r="E247" t="inlineStr">
        <is>
          <t>Enterprise</t>
        </is>
      </c>
      <c r="F247" t="inlineStr">
        <is>
          <t>Mid-Market</t>
        </is>
      </c>
      <c r="G247" t="inlineStr">
        <is>
          <t>Lead Management</t>
        </is>
      </c>
      <c r="H247" t="inlineStr">
        <is>
          <t>Feature Request</t>
        </is>
      </c>
      <c r="I247" t="inlineStr">
        <is>
          <t>Please add automated lead scoring based on engagement, company size and recent activity. We estimate we lose roughly 31 hours a month on this. Let us know if you need examples.</t>
        </is>
      </c>
      <c r="J247" t="inlineStr">
        <is>
          <t>Neutral</t>
        </is>
      </c>
      <c r="K247" t="inlineStr">
        <is>
          <t>Low</t>
        </is>
      </c>
      <c r="L247" t="inlineStr">
        <is>
          <t>Minor Inconvenience</t>
        </is>
      </c>
      <c r="M247" t="inlineStr">
        <is>
          <t>lead_score</t>
        </is>
      </c>
      <c r="N247" t="inlineStr">
        <is>
          <t>Automated lead scoring</t>
        </is>
      </c>
      <c r="O247" t="inlineStr">
        <is>
          <t>2025-12</t>
        </is>
      </c>
    </row>
    <row r="248">
      <c r="A248" t="inlineStr">
        <is>
          <t>FB-00247</t>
        </is>
      </c>
      <c r="B248" t="inlineStr">
        <is>
          <t>CUST-0070</t>
        </is>
      </c>
      <c r="C248" s="11" t="n">
        <v>46006</v>
      </c>
      <c r="D248" t="inlineStr">
        <is>
          <t>Customer Survey</t>
        </is>
      </c>
      <c r="E248" t="inlineStr">
        <is>
          <t>Professional</t>
        </is>
      </c>
      <c r="F248" t="inlineStr">
        <is>
          <t>SMB</t>
        </is>
      </c>
      <c r="G248" t="inlineStr">
        <is>
          <t>Integrations</t>
        </is>
      </c>
      <c r="H248" t="inlineStr">
        <is>
          <t>Integration Issue</t>
        </is>
      </c>
      <c r="I248" t="inlineStr">
        <is>
          <t>Great support experience recently. Our email sync keeps disconnecting and activities are missing from the contact timeline. It happens about 33 times a week for our team of 100. Keep up the good work.</t>
        </is>
      </c>
      <c r="J248" t="inlineStr">
        <is>
          <t>Positive</t>
        </is>
      </c>
      <c r="K248" t="inlineStr">
        <is>
          <t>Medium</t>
        </is>
      </c>
      <c r="L248" t="inlineStr">
        <is>
          <t>Workflow Slowdown</t>
        </is>
      </c>
      <c r="M248" t="inlineStr">
        <is>
          <t>int_email</t>
        </is>
      </c>
      <c r="N248" t="inlineStr">
        <is>
          <t>Email and calendar sync drops</t>
        </is>
      </c>
      <c r="O248" t="inlineStr">
        <is>
          <t>2025-12</t>
        </is>
      </c>
    </row>
    <row r="249">
      <c r="A249" t="inlineStr">
        <is>
          <t>FB-00248</t>
        </is>
      </c>
      <c r="B249" t="inlineStr">
        <is>
          <t>CUST-0176</t>
        </is>
      </c>
      <c r="C249" s="11" t="n">
        <v>46007</v>
      </c>
      <c r="D249" t="inlineStr">
        <is>
          <t>Feature Request</t>
        </is>
      </c>
      <c r="E249" t="inlineStr">
        <is>
          <t>Starter</t>
        </is>
      </c>
      <c r="F249" t="inlineStr">
        <is>
          <t>SMB</t>
        </is>
      </c>
      <c r="G249" t="inlineStr">
        <is>
          <t>User Interface</t>
        </is>
      </c>
      <c r="H249" t="inlineStr">
        <is>
          <t>Feature Request</t>
        </is>
      </c>
      <c r="I249" t="inlineStr">
        <is>
          <t>Noting this during onboarding. Our field reps need mobile call logging to update deals between visits. Let us know if you need examples.</t>
        </is>
      </c>
      <c r="J249" t="inlineStr">
        <is>
          <t>Neutral</t>
        </is>
      </c>
      <c r="K249" t="inlineStr">
        <is>
          <t>Medium</t>
        </is>
      </c>
      <c r="L249" t="inlineStr">
        <is>
          <t>Workflow Slowdown</t>
        </is>
      </c>
      <c r="M249" t="inlineStr">
        <is>
          <t>ui_mobile</t>
        </is>
      </c>
      <c r="N249" t="inlineStr">
        <is>
          <t>Mobile app</t>
        </is>
      </c>
      <c r="O249" t="inlineStr">
        <is>
          <t>2025-12</t>
        </is>
      </c>
    </row>
    <row r="250">
      <c r="A250" t="inlineStr">
        <is>
          <t>FB-00249</t>
        </is>
      </c>
      <c r="B250" t="inlineStr">
        <is>
          <t>CUST-0202</t>
        </is>
      </c>
      <c r="C250" s="11" t="n">
        <v>46007</v>
      </c>
      <c r="D250" t="inlineStr">
        <is>
          <t>Support Ticket</t>
        </is>
      </c>
      <c r="E250" t="inlineStr">
        <is>
          <t>Enterprise</t>
        </is>
      </c>
      <c r="F250" t="inlineStr">
        <is>
          <t>Enterprise</t>
        </is>
      </c>
      <c r="G250" t="inlineStr">
        <is>
          <t>Lead Management</t>
        </is>
      </c>
      <c r="H250" t="inlineStr">
        <is>
          <t>Usability Issue</t>
        </is>
      </c>
      <c r="I250" t="inlineStr">
        <is>
          <t>We can't combine region and deal size in the round-robin lead assignment. Our marketing ops owner flagged it while onboarding 87 new users. Let us know if you need examples.</t>
        </is>
      </c>
      <c r="J250" t="inlineStr">
        <is>
          <t>Neutral</t>
        </is>
      </c>
      <c r="K250" t="inlineStr">
        <is>
          <t>Medium</t>
        </is>
      </c>
      <c r="L250" t="inlineStr">
        <is>
          <t>Minor Inconvenience</t>
        </is>
      </c>
      <c r="M250" t="inlineStr">
        <is>
          <t>lead_assign</t>
        </is>
      </c>
      <c r="N250" t="inlineStr">
        <is>
          <t>Lead routing is inflexible</t>
        </is>
      </c>
      <c r="O250" t="inlineStr">
        <is>
          <t>2025-12</t>
        </is>
      </c>
    </row>
    <row r="251">
      <c r="A251" t="inlineStr">
        <is>
          <t>FB-00250</t>
        </is>
      </c>
      <c r="B251" t="inlineStr">
        <is>
          <t>CUST-0401</t>
        </is>
      </c>
      <c r="C251" s="11" t="n">
        <v>46007</v>
      </c>
      <c r="D251" t="inlineStr">
        <is>
          <t>Support Ticket</t>
        </is>
      </c>
      <c r="E251" t="inlineStr">
        <is>
          <t>Professional</t>
        </is>
      </c>
      <c r="F251" t="inlineStr">
        <is>
          <t>SMB</t>
        </is>
      </c>
      <c r="G251" t="inlineStr">
        <is>
          <t>Workflow Automation</t>
        </is>
      </c>
      <c r="H251" t="inlineStr">
        <is>
          <t>Bug</t>
        </is>
      </c>
      <c r="I251" t="inlineStr">
        <is>
          <t>Not what we expected for the price. Several workflow runs failing silently left deals stuck in the wrong stage.</t>
        </is>
      </c>
      <c r="J251" t="inlineStr">
        <is>
          <t>Negative</t>
        </is>
      </c>
      <c r="K251" t="inlineStr">
        <is>
          <t>Medium</t>
        </is>
      </c>
      <c r="L251" t="inlineStr">
        <is>
          <t>Workflow Slowdown</t>
        </is>
      </c>
      <c r="M251" t="inlineStr">
        <is>
          <t>wf_fail</t>
        </is>
      </c>
      <c r="N251" t="inlineStr">
        <is>
          <t>Workflows failing silently</t>
        </is>
      </c>
      <c r="O251" t="inlineStr">
        <is>
          <t>2025-12</t>
        </is>
      </c>
    </row>
    <row r="252">
      <c r="A252" t="inlineStr">
        <is>
          <t>FB-00251</t>
        </is>
      </c>
      <c r="B252" t="inlineStr">
        <is>
          <t>CUST-0015</t>
        </is>
      </c>
      <c r="C252" s="11" t="n">
        <v>46008</v>
      </c>
      <c r="D252" t="inlineStr">
        <is>
          <t>Support Ticket</t>
        </is>
      </c>
      <c r="E252" t="inlineStr">
        <is>
          <t>Professional</t>
        </is>
      </c>
      <c r="F252" t="inlineStr">
        <is>
          <t>Mid-Market</t>
        </is>
      </c>
      <c r="G252" t="inlineStr">
        <is>
          <t>Lead Management</t>
        </is>
      </c>
      <c r="H252" t="inlineStr">
        <is>
          <t>Bug</t>
        </is>
      </c>
      <c r="I252" t="inlineStr">
        <is>
          <t>Frustrated with this one. After every list import we find duplicated leads that have to be cleaned up by hand. Support suggested logging it here.</t>
        </is>
      </c>
      <c r="J252" t="inlineStr">
        <is>
          <t>Negative</t>
        </is>
      </c>
      <c r="K252" t="inlineStr">
        <is>
          <t>High</t>
        </is>
      </c>
      <c r="L252" t="inlineStr">
        <is>
          <t>Blocks Key Task</t>
        </is>
      </c>
      <c r="M252" t="inlineStr">
        <is>
          <t>lead_dup</t>
        </is>
      </c>
      <c r="N252" t="inlineStr">
        <is>
          <t>Duplicate leads created</t>
        </is>
      </c>
      <c r="O252" t="inlineStr">
        <is>
          <t>2025-12</t>
        </is>
      </c>
    </row>
    <row r="253">
      <c r="A253" t="inlineStr">
        <is>
          <t>FB-00252</t>
        </is>
      </c>
      <c r="B253" t="inlineStr">
        <is>
          <t>CUST-0322</t>
        </is>
      </c>
      <c r="C253" s="11" t="n">
        <v>46008</v>
      </c>
      <c r="D253" t="inlineStr">
        <is>
          <t>Support Ticket</t>
        </is>
      </c>
      <c r="E253" t="inlineStr">
        <is>
          <t>Starter</t>
        </is>
      </c>
      <c r="F253" t="inlineStr">
        <is>
          <t>SMB</t>
        </is>
      </c>
      <c r="G253" t="inlineStr">
        <is>
          <t>Contact Management</t>
        </is>
      </c>
      <c r="H253" t="inlineStr">
        <is>
          <t>Performance Issue</t>
        </is>
      </c>
      <c r="I253" t="inlineStr">
        <is>
          <t>Feedback from our monthly review. We avoid saved contact filters during calls because it takes too long. Happy to join a feedback call.</t>
        </is>
      </c>
      <c r="J253" t="inlineStr">
        <is>
          <t>Neutral</t>
        </is>
      </c>
      <c r="K253" t="inlineStr">
        <is>
          <t>Medium</t>
        </is>
      </c>
      <c r="L253" t="inlineStr">
        <is>
          <t>Workflow Slowdown</t>
        </is>
      </c>
      <c r="M253" t="inlineStr">
        <is>
          <t>contact_search</t>
        </is>
      </c>
      <c r="N253" t="inlineStr">
        <is>
          <t>Slow contact search</t>
        </is>
      </c>
      <c r="O253" t="inlineStr">
        <is>
          <t>2025-12</t>
        </is>
      </c>
    </row>
    <row r="254">
      <c r="A254" t="inlineStr">
        <is>
          <t>FB-00253</t>
        </is>
      </c>
      <c r="B254" t="inlineStr">
        <is>
          <t>CUST-0065</t>
        </is>
      </c>
      <c r="C254" s="11" t="n">
        <v>46008</v>
      </c>
      <c r="D254" t="inlineStr">
        <is>
          <t>Customer Survey</t>
        </is>
      </c>
      <c r="E254" t="inlineStr">
        <is>
          <t>Professional</t>
        </is>
      </c>
      <c r="F254" t="inlineStr">
        <is>
          <t>Mid-Market</t>
        </is>
      </c>
      <c r="G254" t="inlineStr">
        <is>
          <t>Workflow Automation</t>
        </is>
      </c>
      <c r="H254" t="inlineStr">
        <is>
          <t>Usability Issue</t>
        </is>
      </c>
      <c r="I254" t="inlineStr">
        <is>
          <t>Our new admins struggle with the automation canvas; there is no guidance or validation. It happens about 6 times a week for our team of 25.</t>
        </is>
      </c>
      <c r="J254" t="inlineStr">
        <is>
          <t>Neutral</t>
        </is>
      </c>
      <c r="K254" t="inlineStr">
        <is>
          <t>Medium</t>
        </is>
      </c>
      <c r="L254" t="inlineStr">
        <is>
          <t>Minor Inconvenience</t>
        </is>
      </c>
      <c r="M254" t="inlineStr">
        <is>
          <t>wf_builder</t>
        </is>
      </c>
      <c r="N254" t="inlineStr">
        <is>
          <t>Confusing workflow builder</t>
        </is>
      </c>
      <c r="O254" t="inlineStr">
        <is>
          <t>2025-12</t>
        </is>
      </c>
    </row>
    <row r="255">
      <c r="A255" t="inlineStr">
        <is>
          <t>FB-00254</t>
        </is>
      </c>
      <c r="B255" t="inlineStr">
        <is>
          <t>CUST-0102</t>
        </is>
      </c>
      <c r="C255" s="11" t="n">
        <v>46008</v>
      </c>
      <c r="D255" t="inlineStr">
        <is>
          <t>Support Ticket</t>
        </is>
      </c>
      <c r="E255" t="inlineStr">
        <is>
          <t>Professional</t>
        </is>
      </c>
      <c r="F255" t="inlineStr">
        <is>
          <t>Mid-Market</t>
        </is>
      </c>
      <c r="G255" t="inlineStr">
        <is>
          <t>Workflow Automation</t>
        </is>
      </c>
      <c r="H255" t="inlineStr">
        <is>
          <t>Usability Issue</t>
        </is>
      </c>
      <c r="I255" t="inlineStr">
        <is>
          <t>Escalating on behalf of our ops lead. I can't tell what a branch does in the workflow builder without opening every node. It affects our renewal process every cycle. Please look into it soon.</t>
        </is>
      </c>
      <c r="J255" t="inlineStr">
        <is>
          <t>Negative</t>
        </is>
      </c>
      <c r="K255" t="inlineStr">
        <is>
          <t>Medium</t>
        </is>
      </c>
      <c r="L255" t="inlineStr">
        <is>
          <t>Minor Inconvenience</t>
        </is>
      </c>
      <c r="M255" t="inlineStr">
        <is>
          <t>wf_builder</t>
        </is>
      </c>
      <c r="N255" t="inlineStr">
        <is>
          <t>Confusing workflow builder</t>
        </is>
      </c>
      <c r="O255" t="inlineStr">
        <is>
          <t>2025-12</t>
        </is>
      </c>
    </row>
    <row r="256">
      <c r="A256" t="inlineStr">
        <is>
          <t>FB-00255</t>
        </is>
      </c>
      <c r="B256" t="inlineStr">
        <is>
          <t>CUST-0313</t>
        </is>
      </c>
      <c r="C256" s="11" t="n">
        <v>46009</v>
      </c>
      <c r="D256" t="inlineStr">
        <is>
          <t>Feature Request</t>
        </is>
      </c>
      <c r="E256" t="inlineStr">
        <is>
          <t>Starter</t>
        </is>
      </c>
      <c r="F256" t="inlineStr">
        <is>
          <t>SMB</t>
        </is>
      </c>
      <c r="G256" t="inlineStr">
        <is>
          <t>User Interface</t>
        </is>
      </c>
      <c r="H256" t="inlineStr">
        <is>
          <t>Feature Request</t>
        </is>
      </c>
      <c r="I256" t="inlineStr">
        <is>
          <t>Quick note from our admin. Please add multi-select actions; changing records one at a time wastes hours. We estimate we lose roughly 58 hours a month on this.</t>
        </is>
      </c>
      <c r="J256" t="inlineStr">
        <is>
          <t>Neutral</t>
        </is>
      </c>
      <c r="K256" t="inlineStr">
        <is>
          <t>Low</t>
        </is>
      </c>
      <c r="L256" t="inlineStr">
        <is>
          <t>Minor Inconvenience</t>
        </is>
      </c>
      <c r="M256" t="inlineStr">
        <is>
          <t>ui_bulk</t>
        </is>
      </c>
      <c r="N256" t="inlineStr">
        <is>
          <t>Bulk actions</t>
        </is>
      </c>
      <c r="O256" t="inlineStr">
        <is>
          <t>2025-12</t>
        </is>
      </c>
    </row>
    <row r="257">
      <c r="A257" t="inlineStr">
        <is>
          <t>FB-00256</t>
        </is>
      </c>
      <c r="B257" t="inlineStr">
        <is>
          <t>CUST-0247</t>
        </is>
      </c>
      <c r="C257" s="11" t="n">
        <v>46009</v>
      </c>
      <c r="D257" t="inlineStr">
        <is>
          <t>In-App Feedback</t>
        </is>
      </c>
      <c r="E257" t="inlineStr">
        <is>
          <t>Professional</t>
        </is>
      </c>
      <c r="F257" t="inlineStr">
        <is>
          <t>Mid-Market</t>
        </is>
      </c>
      <c r="G257" t="inlineStr">
        <is>
          <t>Workflow Automation</t>
        </is>
      </c>
      <c r="H257" t="inlineStr">
        <is>
          <t>Bug</t>
        </is>
      </c>
      <c r="I257" t="inlineStr">
        <is>
          <t>We found automation misfires only because a customer complained. Happy to join a feedback call.</t>
        </is>
      </c>
      <c r="J257" t="inlineStr">
        <is>
          <t>Neutral</t>
        </is>
      </c>
      <c r="K257" t="inlineStr">
        <is>
          <t>Low</t>
        </is>
      </c>
      <c r="L257" t="inlineStr">
        <is>
          <t>Minor Inconvenience</t>
        </is>
      </c>
      <c r="M257" t="inlineStr">
        <is>
          <t>wf_fail</t>
        </is>
      </c>
      <c r="N257" t="inlineStr">
        <is>
          <t>Workflows failing silently</t>
        </is>
      </c>
      <c r="O257" t="inlineStr">
        <is>
          <t>2025-12</t>
        </is>
      </c>
    </row>
    <row r="258">
      <c r="A258" t="inlineStr">
        <is>
          <t>FB-00257</t>
        </is>
      </c>
      <c r="B258" t="inlineStr">
        <is>
          <t>CUST-0262</t>
        </is>
      </c>
      <c r="C258" s="11" t="n">
        <v>46009</v>
      </c>
      <c r="D258" t="inlineStr">
        <is>
          <t>In-App Feedback</t>
        </is>
      </c>
      <c r="E258" t="inlineStr">
        <is>
          <t>Professional</t>
        </is>
      </c>
      <c r="F258" t="inlineStr">
        <is>
          <t>Mid-Market</t>
        </is>
      </c>
      <c r="G258" t="inlineStr">
        <is>
          <t>Lead Management</t>
        </is>
      </c>
      <c r="H258" t="inlineStr">
        <is>
          <t>Usability Issue</t>
        </is>
      </c>
      <c r="I258" t="inlineStr">
        <is>
          <t>Frustrated with this one. We can't combine region and deal size in the lead routing rules. We estimate we lose roughly 26 hours a month on this. We need a fix before renewal.</t>
        </is>
      </c>
      <c r="J258" t="inlineStr">
        <is>
          <t>Negative</t>
        </is>
      </c>
      <c r="K258" t="inlineStr">
        <is>
          <t>Medium</t>
        </is>
      </c>
      <c r="L258" t="inlineStr">
        <is>
          <t>Workflow Slowdown</t>
        </is>
      </c>
      <c r="M258" t="inlineStr">
        <is>
          <t>lead_assign</t>
        </is>
      </c>
      <c r="N258" t="inlineStr">
        <is>
          <t>Lead routing is inflexible</t>
        </is>
      </c>
      <c r="O258" t="inlineStr">
        <is>
          <t>2025-12</t>
        </is>
      </c>
    </row>
    <row r="259">
      <c r="A259" t="inlineStr">
        <is>
          <t>FB-00258</t>
        </is>
      </c>
      <c r="B259" t="inlineStr">
        <is>
          <t>CUST-0139</t>
        </is>
      </c>
      <c r="C259" s="11" t="n">
        <v>46009</v>
      </c>
      <c r="D259" t="inlineStr">
        <is>
          <t>Support Ticket</t>
        </is>
      </c>
      <c r="E259" t="inlineStr">
        <is>
          <t>Professional</t>
        </is>
      </c>
      <c r="F259" t="inlineStr">
        <is>
          <t>Mid-Market</t>
        </is>
      </c>
      <c r="G259" t="inlineStr">
        <is>
          <t>Reporting</t>
        </is>
      </c>
      <c r="H259" t="inlineStr">
        <is>
          <t>Performance Issue</t>
        </is>
      </c>
      <c r="I259" t="inlineStr">
        <is>
          <t>Feedback from our monthly review. Our dashboard refresh spins for a minute before showing any chart. Happy to join a feedback call.</t>
        </is>
      </c>
      <c r="J259" t="inlineStr">
        <is>
          <t>Neutral</t>
        </is>
      </c>
      <c r="K259" t="inlineStr">
        <is>
          <t>Critical</t>
        </is>
      </c>
      <c r="L259" t="inlineStr">
        <is>
          <t>Workflow Slowdown</t>
        </is>
      </c>
      <c r="M259" t="inlineStr">
        <is>
          <t>rep_slow</t>
        </is>
      </c>
      <c r="N259" t="inlineStr">
        <is>
          <t>Slow dashboards</t>
        </is>
      </c>
      <c r="O259" t="inlineStr">
        <is>
          <t>2025-12</t>
        </is>
      </c>
    </row>
    <row r="260">
      <c r="A260" t="inlineStr">
        <is>
          <t>FB-00259</t>
        </is>
      </c>
      <c r="B260" t="inlineStr">
        <is>
          <t>CUST-0306</t>
        </is>
      </c>
      <c r="C260" s="11" t="n">
        <v>46009</v>
      </c>
      <c r="D260" t="inlineStr">
        <is>
          <t>Support Ticket</t>
        </is>
      </c>
      <c r="E260" t="inlineStr">
        <is>
          <t>Professional</t>
        </is>
      </c>
      <c r="F260" t="inlineStr">
        <is>
          <t>SMB</t>
        </is>
      </c>
      <c r="G260" t="inlineStr">
        <is>
          <t>Lead Management</t>
        </is>
      </c>
      <c r="H260" t="inlineStr">
        <is>
          <t>Bug</t>
        </is>
      </c>
      <c r="I260" t="inlineStr">
        <is>
          <t>Web form submissions keep creating lead de-duplication failures, and reps end up calling the same prospect twice. Our sales manager flagged it while onboarding 52 new users. We need a fix before renewal.</t>
        </is>
      </c>
      <c r="J260" t="inlineStr">
        <is>
          <t>Negative</t>
        </is>
      </c>
      <c r="K260" t="inlineStr">
        <is>
          <t>Medium</t>
        </is>
      </c>
      <c r="L260" t="inlineStr">
        <is>
          <t>Revenue/Operations Risk</t>
        </is>
      </c>
      <c r="M260" t="inlineStr">
        <is>
          <t>lead_dup</t>
        </is>
      </c>
      <c r="N260" t="inlineStr">
        <is>
          <t>Duplicate leads created</t>
        </is>
      </c>
      <c r="O260" t="inlineStr">
        <is>
          <t>2025-12</t>
        </is>
      </c>
    </row>
    <row r="261">
      <c r="A261" t="inlineStr">
        <is>
          <t>FB-00260</t>
        </is>
      </c>
      <c r="B261" t="inlineStr">
        <is>
          <t>CUST-0103</t>
        </is>
      </c>
      <c r="C261" s="11" t="n">
        <v>46009</v>
      </c>
      <c r="D261" t="inlineStr">
        <is>
          <t>In-App Feedback</t>
        </is>
      </c>
      <c r="E261" t="inlineStr">
        <is>
          <t>Professional</t>
        </is>
      </c>
      <c r="F261" t="inlineStr">
        <is>
          <t>Mid-Market</t>
        </is>
      </c>
      <c r="G261" t="inlineStr">
        <is>
          <t>Integrations</t>
        </is>
      </c>
      <c r="H261" t="inlineStr">
        <is>
          <t>Integration Issue</t>
        </is>
      </c>
      <c r="I261" t="inlineStr">
        <is>
          <t>Hard to debug: webhook delivery fail with vague error codes. It affects our weekly pipeline review process every cycle. Support suggested logging it here.</t>
        </is>
      </c>
      <c r="J261" t="inlineStr">
        <is>
          <t>Negative</t>
        </is>
      </c>
      <c r="K261" t="inlineStr">
        <is>
          <t>Medium</t>
        </is>
      </c>
      <c r="L261" t="inlineStr">
        <is>
          <t>Workflow Slowdown</t>
        </is>
      </c>
      <c r="M261" t="inlineStr">
        <is>
          <t>int_api</t>
        </is>
      </c>
      <c r="N261" t="inlineStr">
        <is>
          <t>API limits and webhook failures</t>
        </is>
      </c>
      <c r="O261" t="inlineStr">
        <is>
          <t>2025-12</t>
        </is>
      </c>
    </row>
    <row r="262">
      <c r="A262" t="inlineStr">
        <is>
          <t>FB-00261</t>
        </is>
      </c>
      <c r="B262" t="inlineStr">
        <is>
          <t>CUST-0322</t>
        </is>
      </c>
      <c r="C262" s="11" t="n">
        <v>46010</v>
      </c>
      <c r="D262" t="inlineStr">
        <is>
          <t>Customer Survey</t>
        </is>
      </c>
      <c r="E262" t="inlineStr">
        <is>
          <t>Starter</t>
        </is>
      </c>
      <c r="F262" t="inlineStr">
        <is>
          <t>SMB</t>
        </is>
      </c>
      <c r="G262" t="inlineStr">
        <is>
          <t>Contact Management</t>
        </is>
      </c>
      <c r="H262" t="inlineStr">
        <is>
          <t>Performance Issue</t>
        </is>
      </c>
      <c r="I262" t="inlineStr">
        <is>
          <t>The saved contact filters times out on our largest accounts. Is there a workaround?</t>
        </is>
      </c>
      <c r="J262" t="inlineStr">
        <is>
          <t>Negative</t>
        </is>
      </c>
      <c r="K262" t="inlineStr">
        <is>
          <t>Medium</t>
        </is>
      </c>
      <c r="L262" t="inlineStr">
        <is>
          <t>Workflow Slowdown</t>
        </is>
      </c>
      <c r="M262" t="inlineStr">
        <is>
          <t>contact_search</t>
        </is>
      </c>
      <c r="N262" t="inlineStr">
        <is>
          <t>Slow contact search</t>
        </is>
      </c>
      <c r="O262" t="inlineStr">
        <is>
          <t>2025-12</t>
        </is>
      </c>
    </row>
    <row r="263">
      <c r="A263" t="inlineStr">
        <is>
          <t>FB-00262</t>
        </is>
      </c>
      <c r="B263" t="inlineStr">
        <is>
          <t>CUST-0072</t>
        </is>
      </c>
      <c r="C263" s="11" t="n">
        <v>46010</v>
      </c>
      <c r="D263" t="inlineStr">
        <is>
          <t>Support Ticket</t>
        </is>
      </c>
      <c r="E263" t="inlineStr">
        <is>
          <t>Starter</t>
        </is>
      </c>
      <c r="F263" t="inlineStr">
        <is>
          <t>SMB</t>
        </is>
      </c>
      <c r="G263" t="inlineStr">
        <is>
          <t>Lead Management</t>
        </is>
      </c>
      <c r="H263" t="inlineStr">
        <is>
          <t>Feature Request</t>
        </is>
      </c>
      <c r="I263" t="inlineStr">
        <is>
          <t>Noting this during onboarding. Please add lead scoring rules based on engagement, company size and recent activity. Let us know if you need examples.</t>
        </is>
      </c>
      <c r="J263" t="inlineStr">
        <is>
          <t>Neutral</t>
        </is>
      </c>
      <c r="K263" t="inlineStr">
        <is>
          <t>Low</t>
        </is>
      </c>
      <c r="L263" t="inlineStr">
        <is>
          <t>Minor Inconvenience</t>
        </is>
      </c>
      <c r="M263" t="inlineStr">
        <is>
          <t>lead_score</t>
        </is>
      </c>
      <c r="N263" t="inlineStr">
        <is>
          <t>Automated lead scoring</t>
        </is>
      </c>
      <c r="O263" t="inlineStr">
        <is>
          <t>2025-12</t>
        </is>
      </c>
    </row>
    <row r="264">
      <c r="A264" t="inlineStr">
        <is>
          <t>FB-00263</t>
        </is>
      </c>
      <c r="B264" t="inlineStr">
        <is>
          <t>CUST-0258</t>
        </is>
      </c>
      <c r="C264" s="11" t="n">
        <v>46010</v>
      </c>
      <c r="D264" t="inlineStr">
        <is>
          <t>Support Ticket</t>
        </is>
      </c>
      <c r="E264" t="inlineStr">
        <is>
          <t>Professional</t>
        </is>
      </c>
      <c r="F264" t="inlineStr">
        <is>
          <t>Mid-Market</t>
        </is>
      </c>
      <c r="G264" t="inlineStr">
        <is>
          <t>Workflow Automation</t>
        </is>
      </c>
      <c r="H264" t="inlineStr">
        <is>
          <t>Bug</t>
        </is>
      </c>
      <c r="I264" t="inlineStr">
        <is>
          <t>Our team keeps running into this. We are hitting workflow runs failing silently: emails don't send and nobody gets notified.</t>
        </is>
      </c>
      <c r="J264" t="inlineStr">
        <is>
          <t>Negative</t>
        </is>
      </c>
      <c r="K264" t="inlineStr">
        <is>
          <t>Medium</t>
        </is>
      </c>
      <c r="L264" t="inlineStr">
        <is>
          <t>Minor Inconvenience</t>
        </is>
      </c>
      <c r="M264" t="inlineStr">
        <is>
          <t>wf_fail</t>
        </is>
      </c>
      <c r="N264" t="inlineStr">
        <is>
          <t>Workflows failing silently</t>
        </is>
      </c>
      <c r="O264" t="inlineStr">
        <is>
          <t>2025-12</t>
        </is>
      </c>
    </row>
    <row r="265">
      <c r="A265" t="inlineStr">
        <is>
          <t>FB-00264</t>
        </is>
      </c>
      <c r="B265" t="inlineStr">
        <is>
          <t>CUST-0175</t>
        </is>
      </c>
      <c r="C265" s="11" t="n">
        <v>46010</v>
      </c>
      <c r="D265" t="inlineStr">
        <is>
          <t>Customer Survey</t>
        </is>
      </c>
      <c r="E265" t="inlineStr">
        <is>
          <t>Professional</t>
        </is>
      </c>
      <c r="F265" t="inlineStr">
        <is>
          <t>Mid-Market</t>
        </is>
      </c>
      <c r="G265" t="inlineStr">
        <is>
          <t>Reporting</t>
        </is>
      </c>
      <c r="H265" t="inlineStr">
        <is>
          <t>Feature Request</t>
        </is>
      </c>
      <c r="I265" t="inlineStr">
        <is>
          <t>We need a custom report builder so non-technical managers can create their own views. We estimate we lose roughly 39 hours a month on this. We need a fix before renewal.</t>
        </is>
      </c>
      <c r="J265" t="inlineStr">
        <is>
          <t>Negative</t>
        </is>
      </c>
      <c r="K265" t="inlineStr">
        <is>
          <t>Medium</t>
        </is>
      </c>
      <c r="L265" t="inlineStr">
        <is>
          <t>Workflow Slowdown</t>
        </is>
      </c>
      <c r="M265" t="inlineStr">
        <is>
          <t>rep_custom</t>
        </is>
      </c>
      <c r="N265" t="inlineStr">
        <is>
          <t>Custom and scheduled reports</t>
        </is>
      </c>
      <c r="O265" t="inlineStr">
        <is>
          <t>2025-12</t>
        </is>
      </c>
    </row>
    <row r="266">
      <c r="A266" t="inlineStr">
        <is>
          <t>FB-00265</t>
        </is>
      </c>
      <c r="B266" t="inlineStr">
        <is>
          <t>CUST-0030</t>
        </is>
      </c>
      <c r="C266" s="11" t="n">
        <v>46010</v>
      </c>
      <c r="D266" t="inlineStr">
        <is>
          <t>In-App Feedback</t>
        </is>
      </c>
      <c r="E266" t="inlineStr">
        <is>
          <t>Professional</t>
        </is>
      </c>
      <c r="F266" t="inlineStr">
        <is>
          <t>Mid-Market</t>
        </is>
      </c>
      <c r="G266" t="inlineStr">
        <is>
          <t>Integrations</t>
        </is>
      </c>
      <c r="H266" t="inlineStr">
        <is>
          <t>Feature Request</t>
        </is>
      </c>
      <c r="I266" t="inlineStr">
        <is>
          <t>Please build a native Slack integration; our team copies data across systems daily.</t>
        </is>
      </c>
      <c r="J266" t="inlineStr">
        <is>
          <t>Neutral</t>
        </is>
      </c>
      <c r="K266" t="inlineStr">
        <is>
          <t>Low</t>
        </is>
      </c>
      <c r="L266" t="inlineStr">
        <is>
          <t>Minor Inconvenience</t>
        </is>
      </c>
      <c r="M266" t="inlineStr">
        <is>
          <t>int_native</t>
        </is>
      </c>
      <c r="N266" t="inlineStr">
        <is>
          <t>Native integrations</t>
        </is>
      </c>
      <c r="O266" t="inlineStr">
        <is>
          <t>2025-12</t>
        </is>
      </c>
    </row>
    <row r="267">
      <c r="A267" t="inlineStr">
        <is>
          <t>FB-00266</t>
        </is>
      </c>
      <c r="B267" t="inlineStr">
        <is>
          <t>CUST-0112</t>
        </is>
      </c>
      <c r="C267" s="11" t="n">
        <v>46010</v>
      </c>
      <c r="D267" t="inlineStr">
        <is>
          <t>Customer Survey</t>
        </is>
      </c>
      <c r="E267" t="inlineStr">
        <is>
          <t>Starter</t>
        </is>
      </c>
      <c r="F267" t="inlineStr">
        <is>
          <t>SMB</t>
        </is>
      </c>
      <c r="G267" t="inlineStr">
        <is>
          <t>Integrations</t>
        </is>
      </c>
      <c r="H267" t="inlineStr">
        <is>
          <t>Feature Request</t>
        </is>
      </c>
      <c r="I267" t="inlineStr">
        <is>
          <t>Overall we like the product. Requesting a native Slack integration to remove manual re-entry. So far 83 people on our side have reported it.</t>
        </is>
      </c>
      <c r="J267" t="inlineStr">
        <is>
          <t>Positive</t>
        </is>
      </c>
      <c r="K267" t="inlineStr">
        <is>
          <t>Low</t>
        </is>
      </c>
      <c r="L267" t="inlineStr">
        <is>
          <t>Minor Inconvenience</t>
        </is>
      </c>
      <c r="M267" t="inlineStr">
        <is>
          <t>int_native</t>
        </is>
      </c>
      <c r="N267" t="inlineStr">
        <is>
          <t>Native integrations</t>
        </is>
      </c>
      <c r="O267" t="inlineStr">
        <is>
          <t>2025-12</t>
        </is>
      </c>
    </row>
    <row r="268">
      <c r="A268" t="inlineStr">
        <is>
          <t>FB-00267</t>
        </is>
      </c>
      <c r="B268" t="inlineStr">
        <is>
          <t>CUST-0409</t>
        </is>
      </c>
      <c r="C268" s="11" t="n">
        <v>46011</v>
      </c>
      <c r="D268" t="inlineStr">
        <is>
          <t>Feature Request</t>
        </is>
      </c>
      <c r="E268" t="inlineStr">
        <is>
          <t>Starter</t>
        </is>
      </c>
      <c r="F268" t="inlineStr">
        <is>
          <t>SMB</t>
        </is>
      </c>
      <c r="G268" t="inlineStr">
        <is>
          <t>Workflow Automation</t>
        </is>
      </c>
      <c r="H268" t="inlineStr">
        <is>
          <t>Feature Request</t>
        </is>
      </c>
      <c r="I268" t="inlineStr">
        <is>
          <t>Please provide prebuilt automations for common processes like onboarding and renewals. We estimate we lose roughly 6 hours a month on this.</t>
        </is>
      </c>
      <c r="J268" t="inlineStr">
        <is>
          <t>Neutral</t>
        </is>
      </c>
      <c r="K268" t="inlineStr">
        <is>
          <t>Medium</t>
        </is>
      </c>
      <c r="L268" t="inlineStr">
        <is>
          <t>Blocks Key Task</t>
        </is>
      </c>
      <c r="M268" t="inlineStr">
        <is>
          <t>wf_templates</t>
        </is>
      </c>
      <c r="N268" t="inlineStr">
        <is>
          <t>Workflow templates</t>
        </is>
      </c>
      <c r="O268" t="inlineStr">
        <is>
          <t>2025-12</t>
        </is>
      </c>
    </row>
    <row r="269">
      <c r="A269" t="inlineStr">
        <is>
          <t>FB-00268</t>
        </is>
      </c>
      <c r="B269" t="inlineStr">
        <is>
          <t>CUST-0036</t>
        </is>
      </c>
      <c r="C269" s="11" t="n">
        <v>46011</v>
      </c>
      <c r="D269" t="inlineStr">
        <is>
          <t>In-App Feedback</t>
        </is>
      </c>
      <c r="E269" t="inlineStr">
        <is>
          <t>Starter</t>
        </is>
      </c>
      <c r="F269" t="inlineStr">
        <is>
          <t>SMB</t>
        </is>
      </c>
      <c r="G269" t="inlineStr">
        <is>
          <t>Reporting</t>
        </is>
      </c>
      <c r="H269" t="inlineStr">
        <is>
          <t>Bug</t>
        </is>
      </c>
      <c r="I269" t="inlineStr">
        <is>
          <t>Escalating on behalf of our ops lead. The Excel export times out for date ranges longer than a quarter. So far 46 people on our side have reported it. Support suggested logging it here.</t>
        </is>
      </c>
      <c r="J269" t="inlineStr">
        <is>
          <t>Negative</t>
        </is>
      </c>
      <c r="K269" t="inlineStr">
        <is>
          <t>Medium</t>
        </is>
      </c>
      <c r="L269" t="inlineStr">
        <is>
          <t>Workflow Slowdown</t>
        </is>
      </c>
      <c r="M269" t="inlineStr">
        <is>
          <t>rep_export</t>
        </is>
      </c>
      <c r="N269" t="inlineStr">
        <is>
          <t>Broken report exports</t>
        </is>
      </c>
      <c r="O269" t="inlineStr">
        <is>
          <t>2025-12</t>
        </is>
      </c>
    </row>
    <row r="270">
      <c r="A270" t="inlineStr">
        <is>
          <t>FB-00269</t>
        </is>
      </c>
      <c r="B270" t="inlineStr">
        <is>
          <t>CUST-0314</t>
        </is>
      </c>
      <c r="C270" s="11" t="n">
        <v>46011</v>
      </c>
      <c r="D270" t="inlineStr">
        <is>
          <t>Support Ticket</t>
        </is>
      </c>
      <c r="E270" t="inlineStr">
        <is>
          <t>Enterprise</t>
        </is>
      </c>
      <c r="F270" t="inlineStr">
        <is>
          <t>Mid-Market</t>
        </is>
      </c>
      <c r="G270" t="inlineStr">
        <is>
          <t>Workflow Automation</t>
        </is>
      </c>
      <c r="H270" t="inlineStr">
        <is>
          <t>Bug</t>
        </is>
      </c>
      <c r="I270" t="inlineStr">
        <is>
          <t>Our team keeps running into this. We are hitting workflow failures: emails don't send and nobody gets notified. So far 105 people on our side have reported it.</t>
        </is>
      </c>
      <c r="J270" t="inlineStr">
        <is>
          <t>Negative</t>
        </is>
      </c>
      <c r="K270" t="inlineStr">
        <is>
          <t>Low</t>
        </is>
      </c>
      <c r="L270" t="inlineStr">
        <is>
          <t>Workflow Slowdown</t>
        </is>
      </c>
      <c r="M270" t="inlineStr">
        <is>
          <t>wf_fail</t>
        </is>
      </c>
      <c r="N270" t="inlineStr">
        <is>
          <t>Workflows failing silently</t>
        </is>
      </c>
      <c r="O270" t="inlineStr">
        <is>
          <t>2025-12</t>
        </is>
      </c>
    </row>
    <row r="271">
      <c r="A271" t="inlineStr">
        <is>
          <t>FB-00270</t>
        </is>
      </c>
      <c r="B271" t="inlineStr">
        <is>
          <t>CUST-0202</t>
        </is>
      </c>
      <c r="C271" s="11" t="n">
        <v>46011</v>
      </c>
      <c r="D271" t="inlineStr">
        <is>
          <t>In-App Feedback</t>
        </is>
      </c>
      <c r="E271" t="inlineStr">
        <is>
          <t>Enterprise</t>
        </is>
      </c>
      <c r="F271" t="inlineStr">
        <is>
          <t>Enterprise</t>
        </is>
      </c>
      <c r="G271" t="inlineStr">
        <is>
          <t>Lead Management</t>
        </is>
      </c>
      <c r="H271" t="inlineStr">
        <is>
          <t>Performance Issue</t>
        </is>
      </c>
      <c r="I271" t="inlineStr">
        <is>
          <t>Frustrated with this one. Complaint about lead view load times: the board freezes while cards render. Support suggested logging it here.</t>
        </is>
      </c>
      <c r="J271" t="inlineStr">
        <is>
          <t>Negative</t>
        </is>
      </c>
      <c r="K271" t="inlineStr">
        <is>
          <t>High</t>
        </is>
      </c>
      <c r="L271" t="inlineStr">
        <is>
          <t>Blocks Key Task</t>
        </is>
      </c>
      <c r="M271" t="inlineStr">
        <is>
          <t>lead_slow</t>
        </is>
      </c>
      <c r="N271" t="inlineStr">
        <is>
          <t>Slow lead lists and pipeline board</t>
        </is>
      </c>
      <c r="O271" t="inlineStr">
        <is>
          <t>2025-12</t>
        </is>
      </c>
    </row>
    <row r="272">
      <c r="A272" t="inlineStr">
        <is>
          <t>FB-00271</t>
        </is>
      </c>
      <c r="B272" t="inlineStr">
        <is>
          <t>CUST-0372</t>
        </is>
      </c>
      <c r="C272" s="11" t="n">
        <v>46011</v>
      </c>
      <c r="D272" t="inlineStr">
        <is>
          <t>Feature Request</t>
        </is>
      </c>
      <c r="E272" t="inlineStr">
        <is>
          <t>Starter</t>
        </is>
      </c>
      <c r="F272" t="inlineStr">
        <is>
          <t>SMB</t>
        </is>
      </c>
      <c r="G272" t="inlineStr">
        <is>
          <t>Integrations</t>
        </is>
      </c>
      <c r="H272" t="inlineStr">
        <is>
          <t>Feature Request</t>
        </is>
      </c>
      <c r="I272" t="inlineStr">
        <is>
          <t>Sharing this from our team. Requesting a native accounting integration to remove manual re-entry. Our finance analyst flagged it while onboarding 25 new users.</t>
        </is>
      </c>
      <c r="J272" t="inlineStr">
        <is>
          <t>Neutral</t>
        </is>
      </c>
      <c r="K272" t="inlineStr">
        <is>
          <t>Medium</t>
        </is>
      </c>
      <c r="L272" t="inlineStr">
        <is>
          <t>Workflow Slowdown</t>
        </is>
      </c>
      <c r="M272" t="inlineStr">
        <is>
          <t>int_native</t>
        </is>
      </c>
      <c r="N272" t="inlineStr">
        <is>
          <t>Native integrations</t>
        </is>
      </c>
      <c r="O272" t="inlineStr">
        <is>
          <t>2025-12</t>
        </is>
      </c>
    </row>
    <row r="273">
      <c r="A273" t="inlineStr">
        <is>
          <t>FB-00272</t>
        </is>
      </c>
      <c r="B273" t="inlineStr">
        <is>
          <t>CUST-0229</t>
        </is>
      </c>
      <c r="C273" s="11" t="n">
        <v>46011</v>
      </c>
      <c r="D273" t="inlineStr">
        <is>
          <t>In-App Feedback</t>
        </is>
      </c>
      <c r="E273" t="inlineStr">
        <is>
          <t>Starter</t>
        </is>
      </c>
      <c r="F273" t="inlineStr">
        <is>
          <t>Mid-Market</t>
        </is>
      </c>
      <c r="G273" t="inlineStr">
        <is>
          <t>Contact Management</t>
        </is>
      </c>
      <c r="H273" t="inlineStr">
        <is>
          <t>Bug</t>
        </is>
      </c>
      <c r="I273" t="inlineStr">
        <is>
          <t>The spreadsheet import rejects files with accented characters in names.</t>
        </is>
      </c>
      <c r="J273" t="inlineStr">
        <is>
          <t>Neutral</t>
        </is>
      </c>
      <c r="K273" t="inlineStr">
        <is>
          <t>High</t>
        </is>
      </c>
      <c r="L273" t="inlineStr">
        <is>
          <t>Blocks Key Task</t>
        </is>
      </c>
      <c r="M273" t="inlineStr">
        <is>
          <t>contact_import</t>
        </is>
      </c>
      <c r="N273" t="inlineStr">
        <is>
          <t>Unreliable contact imports</t>
        </is>
      </c>
      <c r="O273" t="inlineStr">
        <is>
          <t>2025-12</t>
        </is>
      </c>
    </row>
    <row r="274">
      <c r="A274" t="inlineStr">
        <is>
          <t>FB-00273</t>
        </is>
      </c>
      <c r="B274" t="inlineStr">
        <is>
          <t>CUST-0269</t>
        </is>
      </c>
      <c r="C274" s="11" t="n">
        <v>46011</v>
      </c>
      <c r="D274" t="inlineStr">
        <is>
          <t>Customer Survey</t>
        </is>
      </c>
      <c r="E274" t="inlineStr">
        <is>
          <t>Professional</t>
        </is>
      </c>
      <c r="F274" t="inlineStr">
        <is>
          <t>SMB</t>
        </is>
      </c>
      <c r="G274" t="inlineStr">
        <is>
          <t>Integrations</t>
        </is>
      </c>
      <c r="H274" t="inlineStr">
        <is>
          <t>Integration Issue</t>
        </is>
      </c>
      <c r="I274" t="inlineStr">
        <is>
          <t>Hard to debug: API timeouts fail with vague error codes. Our admin flagged it while onboarding 87 new users. Support suggested logging it here.</t>
        </is>
      </c>
      <c r="J274" t="inlineStr">
        <is>
          <t>Negative</t>
        </is>
      </c>
      <c r="K274" t="inlineStr">
        <is>
          <t>High</t>
        </is>
      </c>
      <c r="L274" t="inlineStr">
        <is>
          <t>Workflow Slowdown</t>
        </is>
      </c>
      <c r="M274" t="inlineStr">
        <is>
          <t>int_api</t>
        </is>
      </c>
      <c r="N274" t="inlineStr">
        <is>
          <t>API limits and webhook failures</t>
        </is>
      </c>
      <c r="O274" t="inlineStr">
        <is>
          <t>2025-12</t>
        </is>
      </c>
    </row>
    <row r="275">
      <c r="A275" t="inlineStr">
        <is>
          <t>FB-00274</t>
        </is>
      </c>
      <c r="B275" t="inlineStr">
        <is>
          <t>CUST-0082</t>
        </is>
      </c>
      <c r="C275" s="11" t="n">
        <v>46011</v>
      </c>
      <c r="D275" t="inlineStr">
        <is>
          <t>Support Ticket</t>
        </is>
      </c>
      <c r="E275" t="inlineStr">
        <is>
          <t>Starter</t>
        </is>
      </c>
      <c r="F275" t="inlineStr">
        <is>
          <t>SMB</t>
        </is>
      </c>
      <c r="G275" t="inlineStr">
        <is>
          <t>Lead Management</t>
        </is>
      </c>
      <c r="H275" t="inlineStr">
        <is>
          <t>Usability Issue</t>
        </is>
      </c>
      <c r="I275" t="inlineStr">
        <is>
          <t>This has been a recurring problem for us. Setting up lead routing rules takes too many steps and the options don't cover territories. It happens about 15 times a week for our team of 6.</t>
        </is>
      </c>
      <c r="J275" t="inlineStr">
        <is>
          <t>Negative</t>
        </is>
      </c>
      <c r="K275" t="inlineStr">
        <is>
          <t>Medium</t>
        </is>
      </c>
      <c r="L275" t="inlineStr">
        <is>
          <t>Workflow Slowdown</t>
        </is>
      </c>
      <c r="M275" t="inlineStr">
        <is>
          <t>lead_assign</t>
        </is>
      </c>
      <c r="N275" t="inlineStr">
        <is>
          <t>Lead routing is inflexible</t>
        </is>
      </c>
      <c r="O275" t="inlineStr">
        <is>
          <t>2025-12</t>
        </is>
      </c>
    </row>
    <row r="276">
      <c r="A276" t="inlineStr">
        <is>
          <t>FB-00275</t>
        </is>
      </c>
      <c r="B276" t="inlineStr">
        <is>
          <t>CUST-0311</t>
        </is>
      </c>
      <c r="C276" s="11" t="n">
        <v>46012</v>
      </c>
      <c r="D276" t="inlineStr">
        <is>
          <t>Support Ticket</t>
        </is>
      </c>
      <c r="E276" t="inlineStr">
        <is>
          <t>Starter</t>
        </is>
      </c>
      <c r="F276" t="inlineStr">
        <is>
          <t>SMB</t>
        </is>
      </c>
      <c r="G276" t="inlineStr">
        <is>
          <t>Reporting</t>
        </is>
      </c>
      <c r="H276" t="inlineStr">
        <is>
          <t>Bug</t>
        </is>
      </c>
      <c r="I276" t="inlineStr">
        <is>
          <t>Our CSV export of reports drops formatting and shows dates as numbers. So far 3 people on our side have reported it. We need a fix before renewal.</t>
        </is>
      </c>
      <c r="J276" t="inlineStr">
        <is>
          <t>Negative</t>
        </is>
      </c>
      <c r="K276" t="inlineStr">
        <is>
          <t>Medium</t>
        </is>
      </c>
      <c r="L276" t="inlineStr">
        <is>
          <t>Minor Inconvenience</t>
        </is>
      </c>
      <c r="M276" t="inlineStr">
        <is>
          <t>rep_export</t>
        </is>
      </c>
      <c r="N276" t="inlineStr">
        <is>
          <t>Broken report exports</t>
        </is>
      </c>
      <c r="O276" t="inlineStr">
        <is>
          <t>2025-12</t>
        </is>
      </c>
    </row>
    <row r="277">
      <c r="A277" t="inlineStr">
        <is>
          <t>FB-00276</t>
        </is>
      </c>
      <c r="B277" t="inlineStr">
        <is>
          <t>CUST-0413</t>
        </is>
      </c>
      <c r="C277" s="11" t="n">
        <v>46012</v>
      </c>
      <c r="D277" t="inlineStr">
        <is>
          <t>Customer Survey</t>
        </is>
      </c>
      <c r="E277" t="inlineStr">
        <is>
          <t>Professional</t>
        </is>
      </c>
      <c r="F277" t="inlineStr">
        <is>
          <t>SMB</t>
        </is>
      </c>
      <c r="G277" t="inlineStr">
        <is>
          <t>Reporting</t>
        </is>
      </c>
      <c r="H277" t="inlineStr">
        <is>
          <t>Feature Request</t>
        </is>
      </c>
      <c r="I277" t="inlineStr">
        <is>
          <t>Quick note from our admin. We need a custom report builder so non-technical managers can create their own views. It happens about 36 times a week for our team of 67.</t>
        </is>
      </c>
      <c r="J277" t="inlineStr">
        <is>
          <t>Neutral</t>
        </is>
      </c>
      <c r="K277" t="inlineStr">
        <is>
          <t>Medium</t>
        </is>
      </c>
      <c r="L277" t="inlineStr">
        <is>
          <t>Minor Inconvenience</t>
        </is>
      </c>
      <c r="M277" t="inlineStr">
        <is>
          <t>rep_custom</t>
        </is>
      </c>
      <c r="N277" t="inlineStr">
        <is>
          <t>Custom and scheduled reports</t>
        </is>
      </c>
      <c r="O277" t="inlineStr">
        <is>
          <t>2025-12</t>
        </is>
      </c>
    </row>
    <row r="278">
      <c r="A278" t="inlineStr">
        <is>
          <t>FB-00277</t>
        </is>
      </c>
      <c r="B278" t="inlineStr">
        <is>
          <t>CUST-0217</t>
        </is>
      </c>
      <c r="C278" s="11" t="n">
        <v>46012</v>
      </c>
      <c r="D278" t="inlineStr">
        <is>
          <t>Support Ticket</t>
        </is>
      </c>
      <c r="E278" t="inlineStr">
        <is>
          <t>Starter</t>
        </is>
      </c>
      <c r="F278" t="inlineStr">
        <is>
          <t>Mid-Market</t>
        </is>
      </c>
      <c r="G278" t="inlineStr">
        <is>
          <t>Contact Management</t>
        </is>
      </c>
      <c r="H278" t="inlineStr">
        <is>
          <t>Performance Issue</t>
        </is>
      </c>
      <c r="I278" t="inlineStr">
        <is>
          <t>Escalating on behalf of our ops lead. The contact list filtering times out on our largest accounts. It happens about 24 times a week for our team of 119.</t>
        </is>
      </c>
      <c r="J278" t="inlineStr">
        <is>
          <t>Negative</t>
        </is>
      </c>
      <c r="K278" t="inlineStr">
        <is>
          <t>Medium</t>
        </is>
      </c>
      <c r="L278" t="inlineStr">
        <is>
          <t>Minor Inconvenience</t>
        </is>
      </c>
      <c r="M278" t="inlineStr">
        <is>
          <t>contact_search</t>
        </is>
      </c>
      <c r="N278" t="inlineStr">
        <is>
          <t>Slow contact search</t>
        </is>
      </c>
      <c r="O278" t="inlineStr">
        <is>
          <t>2025-12</t>
        </is>
      </c>
    </row>
    <row r="279">
      <c r="A279" t="inlineStr">
        <is>
          <t>FB-00278</t>
        </is>
      </c>
      <c r="B279" t="inlineStr">
        <is>
          <t>CUST-0212</t>
        </is>
      </c>
      <c r="C279" s="11" t="n">
        <v>46012</v>
      </c>
      <c r="D279" t="inlineStr">
        <is>
          <t>Customer Survey</t>
        </is>
      </c>
      <c r="E279" t="inlineStr">
        <is>
          <t>Professional</t>
        </is>
      </c>
      <c r="F279" t="inlineStr">
        <is>
          <t>Mid-Market</t>
        </is>
      </c>
      <c r="G279" t="inlineStr">
        <is>
          <t>Workflow Automation</t>
        </is>
      </c>
      <c r="H279" t="inlineStr">
        <is>
          <t>Usability Issue</t>
        </is>
      </c>
      <c r="I279" t="inlineStr">
        <is>
          <t>Frustrated with this one. I can't tell what a branch does in the workflow editor without opening every node. It affects our month-end reporting process every cycle. We need a fix before renewal.</t>
        </is>
      </c>
      <c r="J279" t="inlineStr">
        <is>
          <t>Negative</t>
        </is>
      </c>
      <c r="K279" t="inlineStr">
        <is>
          <t>Low</t>
        </is>
      </c>
      <c r="L279" t="inlineStr">
        <is>
          <t>Minor Inconvenience</t>
        </is>
      </c>
      <c r="M279" t="inlineStr">
        <is>
          <t>wf_builder</t>
        </is>
      </c>
      <c r="N279" t="inlineStr">
        <is>
          <t>Confusing workflow builder</t>
        </is>
      </c>
      <c r="O279" t="inlineStr">
        <is>
          <t>2025-12</t>
        </is>
      </c>
    </row>
    <row r="280">
      <c r="A280" t="inlineStr">
        <is>
          <t>FB-00279</t>
        </is>
      </c>
      <c r="B280" t="inlineStr">
        <is>
          <t>CUST-0420</t>
        </is>
      </c>
      <c r="C280" s="11" t="n">
        <v>46012</v>
      </c>
      <c r="D280" t="inlineStr">
        <is>
          <t>Support Ticket</t>
        </is>
      </c>
      <c r="E280" t="inlineStr">
        <is>
          <t>Enterprise</t>
        </is>
      </c>
      <c r="F280" t="inlineStr">
        <is>
          <t>Enterprise</t>
        </is>
      </c>
      <c r="G280" t="inlineStr">
        <is>
          <t>User Interface</t>
        </is>
      </c>
      <c r="H280" t="inlineStr">
        <is>
          <t>Performance Issue</t>
        </is>
      </c>
      <c r="I280" t="inlineStr">
        <is>
          <t>Since the redesign there is more page lag on older laptops.</t>
        </is>
      </c>
      <c r="J280" t="inlineStr">
        <is>
          <t>Negative</t>
        </is>
      </c>
      <c r="K280" t="inlineStr">
        <is>
          <t>Low</t>
        </is>
      </c>
      <c r="L280" t="inlineStr">
        <is>
          <t>Workflow Slowdown</t>
        </is>
      </c>
      <c r="M280" t="inlineStr">
        <is>
          <t>ui_perf</t>
        </is>
      </c>
      <c r="N280" t="inlineStr">
        <is>
          <t>Laggy pages</t>
        </is>
      </c>
      <c r="O280" t="inlineStr">
        <is>
          <t>2025-12</t>
        </is>
      </c>
    </row>
    <row r="281">
      <c r="A281" t="inlineStr">
        <is>
          <t>FB-00280</t>
        </is>
      </c>
      <c r="B281" t="inlineStr">
        <is>
          <t>CUST-0132</t>
        </is>
      </c>
      <c r="C281" s="11" t="n">
        <v>46012</v>
      </c>
      <c r="D281" t="inlineStr">
        <is>
          <t>Customer Survey</t>
        </is>
      </c>
      <c r="E281" t="inlineStr">
        <is>
          <t>Starter</t>
        </is>
      </c>
      <c r="F281" t="inlineStr">
        <is>
          <t>SMB</t>
        </is>
      </c>
      <c r="G281" t="inlineStr">
        <is>
          <t>User Interface</t>
        </is>
      </c>
      <c r="H281" t="inlineStr">
        <is>
          <t>Performance Issue</t>
        </is>
      </c>
      <c r="I281" t="inlineStr">
        <is>
          <t>UI freezing makes data entry frustrating during live calls. We estimate we lose roughly 25 hours a month on this. Is there a workaround?</t>
        </is>
      </c>
      <c r="J281" t="inlineStr">
        <is>
          <t>Negative</t>
        </is>
      </c>
      <c r="K281" t="inlineStr">
        <is>
          <t>Medium</t>
        </is>
      </c>
      <c r="L281" t="inlineStr">
        <is>
          <t>Minor Inconvenience</t>
        </is>
      </c>
      <c r="M281" t="inlineStr">
        <is>
          <t>ui_perf</t>
        </is>
      </c>
      <c r="N281" t="inlineStr">
        <is>
          <t>Laggy pages</t>
        </is>
      </c>
      <c r="O281" t="inlineStr">
        <is>
          <t>2025-12</t>
        </is>
      </c>
    </row>
    <row r="282">
      <c r="A282" t="inlineStr">
        <is>
          <t>FB-00281</t>
        </is>
      </c>
      <c r="B282" t="inlineStr">
        <is>
          <t>CUST-0002</t>
        </is>
      </c>
      <c r="C282" s="11" t="n">
        <v>46013</v>
      </c>
      <c r="D282" t="inlineStr">
        <is>
          <t>Support Ticket</t>
        </is>
      </c>
      <c r="E282" t="inlineStr">
        <is>
          <t>Starter</t>
        </is>
      </c>
      <c r="F282" t="inlineStr">
        <is>
          <t>SMB</t>
        </is>
      </c>
      <c r="G282" t="inlineStr">
        <is>
          <t>Workflow Automation</t>
        </is>
      </c>
      <c r="H282" t="inlineStr">
        <is>
          <t>Usability Issue</t>
        </is>
      </c>
      <c r="I282" t="inlineStr">
        <is>
          <t>Overall we like the product. Our new admins struggle with the automation canvas; there is no guidance or validation. Our finance analyst flagged it while onboarding 47 new users.</t>
        </is>
      </c>
      <c r="J282" t="inlineStr">
        <is>
          <t>Positive</t>
        </is>
      </c>
      <c r="K282" t="inlineStr">
        <is>
          <t>Medium</t>
        </is>
      </c>
      <c r="L282" t="inlineStr">
        <is>
          <t>Blocks Key Task</t>
        </is>
      </c>
      <c r="M282" t="inlineStr">
        <is>
          <t>wf_builder</t>
        </is>
      </c>
      <c r="N282" t="inlineStr">
        <is>
          <t>Confusing workflow builder</t>
        </is>
      </c>
      <c r="O282" t="inlineStr">
        <is>
          <t>2025-12</t>
        </is>
      </c>
    </row>
    <row r="283">
      <c r="A283" t="inlineStr">
        <is>
          <t>FB-00282</t>
        </is>
      </c>
      <c r="B283" t="inlineStr">
        <is>
          <t>CUST-0084</t>
        </is>
      </c>
      <c r="C283" s="11" t="n">
        <v>46013</v>
      </c>
      <c r="D283" t="inlineStr">
        <is>
          <t>Feature Request</t>
        </is>
      </c>
      <c r="E283" t="inlineStr">
        <is>
          <t>Enterprise</t>
        </is>
      </c>
      <c r="F283" t="inlineStr">
        <is>
          <t>Enterprise</t>
        </is>
      </c>
      <c r="G283" t="inlineStr">
        <is>
          <t>User Interface</t>
        </is>
      </c>
      <c r="H283" t="inlineStr">
        <is>
          <t>Feature Request</t>
        </is>
      </c>
      <c r="I283" t="inlineStr">
        <is>
          <t>Please prioritize mobile call logging; the mobile web view is hard to use. It happens about 22 times a week for our team of 93. Please look into it soon.</t>
        </is>
      </c>
      <c r="J283" t="inlineStr">
        <is>
          <t>Negative</t>
        </is>
      </c>
      <c r="K283" t="inlineStr">
        <is>
          <t>High</t>
        </is>
      </c>
      <c r="L283" t="inlineStr">
        <is>
          <t>Workflow Slowdown</t>
        </is>
      </c>
      <c r="M283" t="inlineStr">
        <is>
          <t>ui_mobile</t>
        </is>
      </c>
      <c r="N283" t="inlineStr">
        <is>
          <t>Mobile app</t>
        </is>
      </c>
      <c r="O283" t="inlineStr">
        <is>
          <t>2025-12</t>
        </is>
      </c>
    </row>
    <row r="284">
      <c r="A284" t="inlineStr">
        <is>
          <t>FB-00283</t>
        </is>
      </c>
      <c r="B284" t="inlineStr">
        <is>
          <t>CUST-0352</t>
        </is>
      </c>
      <c r="C284" s="11" t="n">
        <v>46013</v>
      </c>
      <c r="D284" t="inlineStr">
        <is>
          <t>Feature Request</t>
        </is>
      </c>
      <c r="E284" t="inlineStr">
        <is>
          <t>Starter</t>
        </is>
      </c>
      <c r="F284" t="inlineStr">
        <is>
          <t>SMB</t>
        </is>
      </c>
      <c r="G284" t="inlineStr">
        <is>
          <t>User Interface</t>
        </is>
      </c>
      <c r="H284" t="inlineStr">
        <is>
          <t>Feature Request</t>
        </is>
      </c>
      <c r="I284" t="inlineStr">
        <is>
          <t>We lose notes whenever reps are away from a desk without mobile call logging. We estimate we lose roughly 18 hours a month on this. Let us know if you need examples.</t>
        </is>
      </c>
      <c r="J284" t="inlineStr">
        <is>
          <t>Neutral</t>
        </is>
      </c>
      <c r="K284" t="inlineStr">
        <is>
          <t>Medium</t>
        </is>
      </c>
      <c r="L284" t="inlineStr">
        <is>
          <t>Blocks Key Task</t>
        </is>
      </c>
      <c r="M284" t="inlineStr">
        <is>
          <t>ui_mobile</t>
        </is>
      </c>
      <c r="N284" t="inlineStr">
        <is>
          <t>Mobile app</t>
        </is>
      </c>
      <c r="O284" t="inlineStr">
        <is>
          <t>2025-12</t>
        </is>
      </c>
    </row>
    <row r="285">
      <c r="A285" t="inlineStr">
        <is>
          <t>FB-00284</t>
        </is>
      </c>
      <c r="B285" t="inlineStr">
        <is>
          <t>CUST-0032</t>
        </is>
      </c>
      <c r="C285" s="11" t="n">
        <v>46014</v>
      </c>
      <c r="D285" t="inlineStr">
        <is>
          <t>Support Ticket</t>
        </is>
      </c>
      <c r="E285" t="inlineStr">
        <is>
          <t>Starter</t>
        </is>
      </c>
      <c r="F285" t="inlineStr">
        <is>
          <t>SMB</t>
        </is>
      </c>
      <c r="G285" t="inlineStr">
        <is>
          <t>Lead Management</t>
        </is>
      </c>
      <c r="H285" t="inlineStr">
        <is>
          <t>Performance Issue</t>
        </is>
      </c>
      <c r="I285" t="inlineStr">
        <is>
          <t>Reps have stopped using the board because of lead view load times. Is there a workaround?</t>
        </is>
      </c>
      <c r="J285" t="inlineStr">
        <is>
          <t>Negative</t>
        </is>
      </c>
      <c r="K285" t="inlineStr">
        <is>
          <t>Low</t>
        </is>
      </c>
      <c r="L285" t="inlineStr">
        <is>
          <t>Minor Inconvenience</t>
        </is>
      </c>
      <c r="M285" t="inlineStr">
        <is>
          <t>lead_slow</t>
        </is>
      </c>
      <c r="N285" t="inlineStr">
        <is>
          <t>Slow lead lists and pipeline board</t>
        </is>
      </c>
      <c r="O285" t="inlineStr">
        <is>
          <t>2025-12</t>
        </is>
      </c>
    </row>
    <row r="286">
      <c r="A286" t="inlineStr">
        <is>
          <t>FB-00285</t>
        </is>
      </c>
      <c r="B286" t="inlineStr">
        <is>
          <t>CUST-0111</t>
        </is>
      </c>
      <c r="C286" s="11" t="n">
        <v>46014</v>
      </c>
      <c r="D286" t="inlineStr">
        <is>
          <t>Feature Request</t>
        </is>
      </c>
      <c r="E286" t="inlineStr">
        <is>
          <t>Professional</t>
        </is>
      </c>
      <c r="F286" t="inlineStr">
        <is>
          <t>Enterprise</t>
        </is>
      </c>
      <c r="G286" t="inlineStr">
        <is>
          <t>Workflow Automation</t>
        </is>
      </c>
      <c r="H286" t="inlineStr">
        <is>
          <t>Feature Request</t>
        </is>
      </c>
      <c r="I286" t="inlineStr">
        <is>
          <t>Sharing this from our team. We'd adopt automation faster with workflow templates we could customize. It affects our onboarding process every cycle. Let us know if you need examples.</t>
        </is>
      </c>
      <c r="J286" t="inlineStr">
        <is>
          <t>Neutral</t>
        </is>
      </c>
      <c r="K286" t="inlineStr">
        <is>
          <t>Medium</t>
        </is>
      </c>
      <c r="L286" t="inlineStr">
        <is>
          <t>Workflow Slowdown</t>
        </is>
      </c>
      <c r="M286" t="inlineStr">
        <is>
          <t>wf_templates</t>
        </is>
      </c>
      <c r="N286" t="inlineStr">
        <is>
          <t>Workflow templates</t>
        </is>
      </c>
      <c r="O286" t="inlineStr">
        <is>
          <t>2025-12</t>
        </is>
      </c>
    </row>
    <row r="287">
      <c r="A287" t="inlineStr">
        <is>
          <t>FB-00286</t>
        </is>
      </c>
      <c r="B287" t="inlineStr">
        <is>
          <t>CUST-0269</t>
        </is>
      </c>
      <c r="C287" s="11" t="n">
        <v>46014</v>
      </c>
      <c r="D287" t="inlineStr">
        <is>
          <t>Support Ticket</t>
        </is>
      </c>
      <c r="E287" t="inlineStr">
        <is>
          <t>Professional</t>
        </is>
      </c>
      <c r="F287" t="inlineStr">
        <is>
          <t>SMB</t>
        </is>
      </c>
      <c r="G287" t="inlineStr">
        <is>
          <t>Reporting</t>
        </is>
      </c>
      <c r="H287" t="inlineStr">
        <is>
          <t>Bug</t>
        </is>
      </c>
      <c r="I287" t="inlineStr">
        <is>
          <t>Escalating on behalf of our ops lead. Finance can't rely on the CSV export of reports; totals don't match the screen. It happens about 20 times a week for our team of 66.</t>
        </is>
      </c>
      <c r="J287" t="inlineStr">
        <is>
          <t>Negative</t>
        </is>
      </c>
      <c r="K287" t="inlineStr">
        <is>
          <t>High</t>
        </is>
      </c>
      <c r="L287" t="inlineStr">
        <is>
          <t>Blocks Key Task</t>
        </is>
      </c>
      <c r="M287" t="inlineStr">
        <is>
          <t>rep_export</t>
        </is>
      </c>
      <c r="N287" t="inlineStr">
        <is>
          <t>Broken report exports</t>
        </is>
      </c>
      <c r="O287" t="inlineStr">
        <is>
          <t>2025-12</t>
        </is>
      </c>
    </row>
    <row r="288">
      <c r="A288" t="inlineStr">
        <is>
          <t>FB-00287</t>
        </is>
      </c>
      <c r="B288" t="inlineStr">
        <is>
          <t>CUST-0419</t>
        </is>
      </c>
      <c r="C288" s="11" t="n">
        <v>46015</v>
      </c>
      <c r="D288" t="inlineStr">
        <is>
          <t>Support Ticket</t>
        </is>
      </c>
      <c r="E288" t="inlineStr">
        <is>
          <t>Starter</t>
        </is>
      </c>
      <c r="F288" t="inlineStr">
        <is>
          <t>SMB</t>
        </is>
      </c>
      <c r="G288" t="inlineStr">
        <is>
          <t>User Interface</t>
        </is>
      </c>
      <c r="H288" t="inlineStr">
        <is>
          <t>Usability Issue</t>
        </is>
      </c>
      <c r="I288" t="inlineStr">
        <is>
          <t>Frustrated with this one. Too many clicks to reach common screens because of the page layout. So far 59 people on our side have reported it.</t>
        </is>
      </c>
      <c r="J288" t="inlineStr">
        <is>
          <t>Negative</t>
        </is>
      </c>
      <c r="K288" t="inlineStr">
        <is>
          <t>Low</t>
        </is>
      </c>
      <c r="L288" t="inlineStr">
        <is>
          <t>Minor Inconvenience</t>
        </is>
      </c>
      <c r="M288" t="inlineStr">
        <is>
          <t>ui_nav</t>
        </is>
      </c>
      <c r="N288" t="inlineStr">
        <is>
          <t>Cluttered navigation</t>
        </is>
      </c>
      <c r="O288" t="inlineStr">
        <is>
          <t>2025-12</t>
        </is>
      </c>
    </row>
    <row r="289">
      <c r="A289" t="inlineStr">
        <is>
          <t>FB-00288</t>
        </is>
      </c>
      <c r="B289" t="inlineStr">
        <is>
          <t>CUST-0414</t>
        </is>
      </c>
      <c r="C289" s="11" t="n">
        <v>46015</v>
      </c>
      <c r="D289" t="inlineStr">
        <is>
          <t>Feature Request</t>
        </is>
      </c>
      <c r="E289" t="inlineStr">
        <is>
          <t>Professional</t>
        </is>
      </c>
      <c r="F289" t="inlineStr">
        <is>
          <t>Enterprise</t>
        </is>
      </c>
      <c r="G289" t="inlineStr">
        <is>
          <t>Contact Management</t>
        </is>
      </c>
      <c r="H289" t="inlineStr">
        <is>
          <t>Feature Request</t>
        </is>
      </c>
      <c r="I289" t="inlineStr">
        <is>
          <t>Requesting a contact relationship hierarchy so account managers can see who reports to whom. We estimate we lose roughly 21 hours a month on this. Let us know if you need examples.</t>
        </is>
      </c>
      <c r="J289" t="inlineStr">
        <is>
          <t>Neutral</t>
        </is>
      </c>
      <c r="K289" t="inlineStr">
        <is>
          <t>High</t>
        </is>
      </c>
      <c r="L289" t="inlineStr">
        <is>
          <t>Revenue/Operations Risk</t>
        </is>
      </c>
      <c r="M289" t="inlineStr">
        <is>
          <t>contact_custom</t>
        </is>
      </c>
      <c r="N289" t="inlineStr">
        <is>
          <t>Custom fields and hierarchy</t>
        </is>
      </c>
      <c r="O289" t="inlineStr">
        <is>
          <t>2025-12</t>
        </is>
      </c>
    </row>
    <row r="290">
      <c r="A290" t="inlineStr">
        <is>
          <t>FB-00289</t>
        </is>
      </c>
      <c r="B290" t="inlineStr">
        <is>
          <t>CUST-0265</t>
        </is>
      </c>
      <c r="C290" s="11" t="n">
        <v>46016</v>
      </c>
      <c r="D290" t="inlineStr">
        <is>
          <t>Support Ticket</t>
        </is>
      </c>
      <c r="E290" t="inlineStr">
        <is>
          <t>Starter</t>
        </is>
      </c>
      <c r="F290" t="inlineStr">
        <is>
          <t>SMB</t>
        </is>
      </c>
      <c r="G290" t="inlineStr">
        <is>
          <t>Lead Management</t>
        </is>
      </c>
      <c r="H290" t="inlineStr">
        <is>
          <t>Usability Issue</t>
        </is>
      </c>
      <c r="I290" t="inlineStr">
        <is>
          <t>Our team keeps running into this. The lead routing rules are confusing and new leads sometimes sit unassigned over weekends. We estimate we lose roughly 6 hours a month on this. We need a fix before renewal.</t>
        </is>
      </c>
      <c r="J290" t="inlineStr">
        <is>
          <t>Negative</t>
        </is>
      </c>
      <c r="K290" t="inlineStr">
        <is>
          <t>Low</t>
        </is>
      </c>
      <c r="L290" t="inlineStr">
        <is>
          <t>Minor Inconvenience</t>
        </is>
      </c>
      <c r="M290" t="inlineStr">
        <is>
          <t>lead_assign</t>
        </is>
      </c>
      <c r="N290" t="inlineStr">
        <is>
          <t>Lead routing is inflexible</t>
        </is>
      </c>
      <c r="O290" t="inlineStr">
        <is>
          <t>2025-12</t>
        </is>
      </c>
    </row>
    <row r="291">
      <c r="A291" t="inlineStr">
        <is>
          <t>FB-00290</t>
        </is>
      </c>
      <c r="B291" t="inlineStr">
        <is>
          <t>CUST-0372</t>
        </is>
      </c>
      <c r="C291" s="11" t="n">
        <v>46016</v>
      </c>
      <c r="D291" t="inlineStr">
        <is>
          <t>Feature Request</t>
        </is>
      </c>
      <c r="E291" t="inlineStr">
        <is>
          <t>Starter</t>
        </is>
      </c>
      <c r="F291" t="inlineStr">
        <is>
          <t>SMB</t>
        </is>
      </c>
      <c r="G291" t="inlineStr">
        <is>
          <t>User Interface</t>
        </is>
      </c>
      <c r="H291" t="inlineStr">
        <is>
          <t>Feature Request</t>
        </is>
      </c>
      <c r="I291" t="inlineStr">
        <is>
          <t>Raising this again after our last business review. Requesting mobile call logging so reps can log activity right after a meeting. It affects our renewal process every cycle.</t>
        </is>
      </c>
      <c r="J291" t="inlineStr">
        <is>
          <t>Negative</t>
        </is>
      </c>
      <c r="K291" t="inlineStr">
        <is>
          <t>Low</t>
        </is>
      </c>
      <c r="L291" t="inlineStr">
        <is>
          <t>Minor Inconvenience</t>
        </is>
      </c>
      <c r="M291" t="inlineStr">
        <is>
          <t>ui_mobile</t>
        </is>
      </c>
      <c r="N291" t="inlineStr">
        <is>
          <t>Mobile app</t>
        </is>
      </c>
      <c r="O291" t="inlineStr">
        <is>
          <t>2025-12</t>
        </is>
      </c>
    </row>
    <row r="292">
      <c r="A292" t="inlineStr">
        <is>
          <t>FB-00291</t>
        </is>
      </c>
      <c r="B292" t="inlineStr">
        <is>
          <t>CUST-0202</t>
        </is>
      </c>
      <c r="C292" s="11" t="n">
        <v>46016</v>
      </c>
      <c r="D292" t="inlineStr">
        <is>
          <t>Support Ticket</t>
        </is>
      </c>
      <c r="E292" t="inlineStr">
        <is>
          <t>Enterprise</t>
        </is>
      </c>
      <c r="F292" t="inlineStr">
        <is>
          <t>Enterprise</t>
        </is>
      </c>
      <c r="G292" t="inlineStr">
        <is>
          <t>Reporting</t>
        </is>
      </c>
      <c r="H292" t="inlineStr">
        <is>
          <t>Bug</t>
        </is>
      </c>
      <c r="I292" t="inlineStr">
        <is>
          <t>Raising this again after our last business review. Finance can't rely on the CSV export of reports; totals don't match the screen. We estimate we lose roughly 45 hours a month on this.</t>
        </is>
      </c>
      <c r="J292" t="inlineStr">
        <is>
          <t>Negative</t>
        </is>
      </c>
      <c r="K292" t="inlineStr">
        <is>
          <t>Critical</t>
        </is>
      </c>
      <c r="L292" t="inlineStr">
        <is>
          <t>Revenue/Operations Risk</t>
        </is>
      </c>
      <c r="M292" t="inlineStr">
        <is>
          <t>rep_export</t>
        </is>
      </c>
      <c r="N292" t="inlineStr">
        <is>
          <t>Broken report exports</t>
        </is>
      </c>
      <c r="O292" t="inlineStr">
        <is>
          <t>2025-12</t>
        </is>
      </c>
    </row>
    <row r="293">
      <c r="A293" t="inlineStr">
        <is>
          <t>FB-00292</t>
        </is>
      </c>
      <c r="B293" t="inlineStr">
        <is>
          <t>CUST-0147</t>
        </is>
      </c>
      <c r="C293" s="11" t="n">
        <v>46016</v>
      </c>
      <c r="D293" t="inlineStr">
        <is>
          <t>Feature Request</t>
        </is>
      </c>
      <c r="E293" t="inlineStr">
        <is>
          <t>Enterprise</t>
        </is>
      </c>
      <c r="F293" t="inlineStr">
        <is>
          <t>Enterprise</t>
        </is>
      </c>
      <c r="G293" t="inlineStr">
        <is>
          <t>Contact Management</t>
        </is>
      </c>
      <c r="H293" t="inlineStr">
        <is>
          <t>Feature Request</t>
        </is>
      </c>
      <c r="I293" t="inlineStr">
        <is>
          <t>Please extend an account hierarchy view; the current limit is too small for our use case.</t>
        </is>
      </c>
      <c r="J293" t="inlineStr">
        <is>
          <t>Neutral</t>
        </is>
      </c>
      <c r="K293" t="inlineStr">
        <is>
          <t>Medium</t>
        </is>
      </c>
      <c r="L293" t="inlineStr">
        <is>
          <t>Minor Inconvenience</t>
        </is>
      </c>
      <c r="M293" t="inlineStr">
        <is>
          <t>contact_custom</t>
        </is>
      </c>
      <c r="N293" t="inlineStr">
        <is>
          <t>Custom fields and hierarchy</t>
        </is>
      </c>
      <c r="O293" t="inlineStr">
        <is>
          <t>2025-12</t>
        </is>
      </c>
    </row>
    <row r="294">
      <c r="A294" t="inlineStr">
        <is>
          <t>FB-00293</t>
        </is>
      </c>
      <c r="B294" t="inlineStr">
        <is>
          <t>CUST-0306</t>
        </is>
      </c>
      <c r="C294" s="11" t="n">
        <v>46016</v>
      </c>
      <c r="D294" t="inlineStr">
        <is>
          <t>Support Ticket</t>
        </is>
      </c>
      <c r="E294" t="inlineStr">
        <is>
          <t>Professional</t>
        </is>
      </c>
      <c r="F294" t="inlineStr">
        <is>
          <t>SMB</t>
        </is>
      </c>
      <c r="G294" t="inlineStr">
        <is>
          <t>Workflow Automation</t>
        </is>
      </c>
      <c r="H294" t="inlineStr">
        <is>
          <t>Bug</t>
        </is>
      </c>
      <c r="I294" t="inlineStr">
        <is>
          <t>Our team keeps running into this. Since the last release we've had workflow failures and tasks are being created twice. It happens about 9 times a week for our team of 91. Support suggested logging it here.</t>
        </is>
      </c>
      <c r="J294" t="inlineStr">
        <is>
          <t>Negative</t>
        </is>
      </c>
      <c r="K294" t="inlineStr">
        <is>
          <t>Medium</t>
        </is>
      </c>
      <c r="L294" t="inlineStr">
        <is>
          <t>Revenue/Operations Risk</t>
        </is>
      </c>
      <c r="M294" t="inlineStr">
        <is>
          <t>wf_fail</t>
        </is>
      </c>
      <c r="N294" t="inlineStr">
        <is>
          <t>Workflows failing silently</t>
        </is>
      </c>
      <c r="O294" t="inlineStr">
        <is>
          <t>2025-12</t>
        </is>
      </c>
    </row>
    <row r="295">
      <c r="A295" t="inlineStr">
        <is>
          <t>FB-00294</t>
        </is>
      </c>
      <c r="B295" t="inlineStr">
        <is>
          <t>CUST-0391</t>
        </is>
      </c>
      <c r="C295" s="11" t="n">
        <v>46017</v>
      </c>
      <c r="D295" t="inlineStr">
        <is>
          <t>Feature Request</t>
        </is>
      </c>
      <c r="E295" t="inlineStr">
        <is>
          <t>Enterprise</t>
        </is>
      </c>
      <c r="F295" t="inlineStr">
        <is>
          <t>Mid-Market</t>
        </is>
      </c>
      <c r="G295" t="inlineStr">
        <is>
          <t>Integrations</t>
        </is>
      </c>
      <c r="H295" t="inlineStr">
        <is>
          <t>Feature Request</t>
        </is>
      </c>
      <c r="I295" t="inlineStr">
        <is>
          <t>Our security team requires SAML login before we can expand seats. So far 17 people on our side have reported it. We need a fix before renewal.</t>
        </is>
      </c>
      <c r="J295" t="inlineStr">
        <is>
          <t>Negative</t>
        </is>
      </c>
      <c r="K295" t="inlineStr">
        <is>
          <t>Low</t>
        </is>
      </c>
      <c r="L295" t="inlineStr">
        <is>
          <t>Minor Inconvenience</t>
        </is>
      </c>
      <c r="M295" t="inlineStr">
        <is>
          <t>int_sso</t>
        </is>
      </c>
      <c r="N295" t="inlineStr">
        <is>
          <t>SSO and provisioning</t>
        </is>
      </c>
      <c r="O295" t="inlineStr">
        <is>
          <t>2025-12</t>
        </is>
      </c>
    </row>
    <row r="296">
      <c r="A296" t="inlineStr">
        <is>
          <t>FB-00295</t>
        </is>
      </c>
      <c r="B296" t="inlineStr">
        <is>
          <t>CUST-0272</t>
        </is>
      </c>
      <c r="C296" s="11" t="n">
        <v>46017</v>
      </c>
      <c r="D296" t="inlineStr">
        <is>
          <t>Support Ticket</t>
        </is>
      </c>
      <c r="E296" t="inlineStr">
        <is>
          <t>Enterprise</t>
        </is>
      </c>
      <c r="F296" t="inlineStr">
        <is>
          <t>Enterprise</t>
        </is>
      </c>
      <c r="G296" t="inlineStr">
        <is>
          <t>Reporting</t>
        </is>
      </c>
      <c r="H296" t="inlineStr">
        <is>
          <t>Performance Issue</t>
        </is>
      </c>
      <c r="I296" t="inlineStr">
        <is>
          <t>Frustrated with this one. Our report load time spins for a minute before showing any chart. Our marketing ops owner flagged it while onboarding 30 new users. Support suggested logging it here.</t>
        </is>
      </c>
      <c r="J296" t="inlineStr">
        <is>
          <t>Negative</t>
        </is>
      </c>
      <c r="K296" t="inlineStr">
        <is>
          <t>Low</t>
        </is>
      </c>
      <c r="L296" t="inlineStr">
        <is>
          <t>Minor Inconvenience</t>
        </is>
      </c>
      <c r="M296" t="inlineStr">
        <is>
          <t>rep_slow</t>
        </is>
      </c>
      <c r="N296" t="inlineStr">
        <is>
          <t>Slow dashboards</t>
        </is>
      </c>
      <c r="O296" t="inlineStr">
        <is>
          <t>2025-12</t>
        </is>
      </c>
    </row>
    <row r="297">
      <c r="A297" t="inlineStr">
        <is>
          <t>FB-00296</t>
        </is>
      </c>
      <c r="B297" t="inlineStr">
        <is>
          <t>CUST-0075</t>
        </is>
      </c>
      <c r="C297" s="11" t="n">
        <v>46017</v>
      </c>
      <c r="D297" t="inlineStr">
        <is>
          <t>In-App Feedback</t>
        </is>
      </c>
      <c r="E297" t="inlineStr">
        <is>
          <t>Professional</t>
        </is>
      </c>
      <c r="F297" t="inlineStr">
        <is>
          <t>Enterprise</t>
        </is>
      </c>
      <c r="G297" t="inlineStr">
        <is>
          <t>Reporting</t>
        </is>
      </c>
      <c r="H297" t="inlineStr">
        <is>
          <t>Performance Issue</t>
        </is>
      </c>
      <c r="I297" t="inlineStr">
        <is>
          <t>Our team keeps running into this. Dashboard loading got noticeably worse over the last few months. Support suggested logging it here.</t>
        </is>
      </c>
      <c r="J297" t="inlineStr">
        <is>
          <t>Negative</t>
        </is>
      </c>
      <c r="K297" t="inlineStr">
        <is>
          <t>Medium</t>
        </is>
      </c>
      <c r="L297" t="inlineStr">
        <is>
          <t>Blocks Key Task</t>
        </is>
      </c>
      <c r="M297" t="inlineStr">
        <is>
          <t>rep_slow</t>
        </is>
      </c>
      <c r="N297" t="inlineStr">
        <is>
          <t>Slow dashboards</t>
        </is>
      </c>
      <c r="O297" t="inlineStr">
        <is>
          <t>2025-12</t>
        </is>
      </c>
    </row>
    <row r="298">
      <c r="A298" t="inlineStr">
        <is>
          <t>FB-00297</t>
        </is>
      </c>
      <c r="B298" t="inlineStr">
        <is>
          <t>CUST-0202</t>
        </is>
      </c>
      <c r="C298" s="11" t="n">
        <v>46018</v>
      </c>
      <c r="D298" t="inlineStr">
        <is>
          <t>In-App Feedback</t>
        </is>
      </c>
      <c r="E298" t="inlineStr">
        <is>
          <t>Enterprise</t>
        </is>
      </c>
      <c r="F298" t="inlineStr">
        <is>
          <t>Enterprise</t>
        </is>
      </c>
      <c r="G298" t="inlineStr">
        <is>
          <t>Integrations</t>
        </is>
      </c>
      <c r="H298" t="inlineStr">
        <is>
          <t>Integration Issue</t>
        </is>
      </c>
      <c r="I298" t="inlineStr">
        <is>
          <t>This has been a recurring problem for us. We keep hitting API timeouts during nightly syncs with our data warehouse. So far 55 people on our side have reported it. Is there a workaround?</t>
        </is>
      </c>
      <c r="J298" t="inlineStr">
        <is>
          <t>Negative</t>
        </is>
      </c>
      <c r="K298" t="inlineStr">
        <is>
          <t>High</t>
        </is>
      </c>
      <c r="L298" t="inlineStr">
        <is>
          <t>Workflow Slowdown</t>
        </is>
      </c>
      <c r="M298" t="inlineStr">
        <is>
          <t>int_api</t>
        </is>
      </c>
      <c r="N298" t="inlineStr">
        <is>
          <t>API limits and webhook failures</t>
        </is>
      </c>
      <c r="O298" t="inlineStr">
        <is>
          <t>2025-12</t>
        </is>
      </c>
    </row>
    <row r="299">
      <c r="A299" t="inlineStr">
        <is>
          <t>FB-00298</t>
        </is>
      </c>
      <c r="B299" t="inlineStr">
        <is>
          <t>CUST-0269</t>
        </is>
      </c>
      <c r="C299" s="11" t="n">
        <v>46018</v>
      </c>
      <c r="D299" t="inlineStr">
        <is>
          <t>Customer Survey</t>
        </is>
      </c>
      <c r="E299" t="inlineStr">
        <is>
          <t>Professional</t>
        </is>
      </c>
      <c r="F299" t="inlineStr">
        <is>
          <t>SMB</t>
        </is>
      </c>
      <c r="G299" t="inlineStr">
        <is>
          <t>User Interface</t>
        </is>
      </c>
      <c r="H299" t="inlineStr">
        <is>
          <t>Feature Request</t>
        </is>
      </c>
      <c r="I299" t="inlineStr">
        <is>
          <t>Noting this during onboarding. Requesting bulk edit actions across every list view. It happens about 20 times a week for our team of 3.</t>
        </is>
      </c>
      <c r="J299" t="inlineStr">
        <is>
          <t>Neutral</t>
        </is>
      </c>
      <c r="K299" t="inlineStr">
        <is>
          <t>Critical</t>
        </is>
      </c>
      <c r="L299" t="inlineStr">
        <is>
          <t>Workflow Slowdown</t>
        </is>
      </c>
      <c r="M299" t="inlineStr">
        <is>
          <t>ui_bulk</t>
        </is>
      </c>
      <c r="N299" t="inlineStr">
        <is>
          <t>Bulk actions</t>
        </is>
      </c>
      <c r="O299" t="inlineStr">
        <is>
          <t>2025-12</t>
        </is>
      </c>
    </row>
    <row r="300">
      <c r="A300" t="inlineStr">
        <is>
          <t>FB-00299</t>
        </is>
      </c>
      <c r="B300" t="inlineStr">
        <is>
          <t>CUST-0187</t>
        </is>
      </c>
      <c r="C300" s="11" t="n">
        <v>46018</v>
      </c>
      <c r="D300" t="inlineStr">
        <is>
          <t>Feature Request</t>
        </is>
      </c>
      <c r="E300" t="inlineStr">
        <is>
          <t>Enterprise</t>
        </is>
      </c>
      <c r="F300" t="inlineStr">
        <is>
          <t>Mid-Market</t>
        </is>
      </c>
      <c r="G300" t="inlineStr">
        <is>
          <t>Reporting</t>
        </is>
      </c>
      <c r="H300" t="inlineStr">
        <is>
          <t>Performance Issue</t>
        </is>
      </c>
      <c r="I300" t="inlineStr">
        <is>
          <t>Noting this during onboarding. The dashboard refresh is painfully slow with a full year of data. We estimate we lose roughly 18 hours a month on this. Let us know if you need examples.</t>
        </is>
      </c>
      <c r="J300" t="inlineStr">
        <is>
          <t>Neutral</t>
        </is>
      </c>
      <c r="K300" t="inlineStr">
        <is>
          <t>Critical</t>
        </is>
      </c>
      <c r="L300" t="inlineStr">
        <is>
          <t>Revenue/Operations Risk</t>
        </is>
      </c>
      <c r="M300" t="inlineStr">
        <is>
          <t>rep_slow</t>
        </is>
      </c>
      <c r="N300" t="inlineStr">
        <is>
          <t>Slow dashboards</t>
        </is>
      </c>
      <c r="O300" t="inlineStr">
        <is>
          <t>2025-12</t>
        </is>
      </c>
    </row>
    <row r="301">
      <c r="A301" t="inlineStr">
        <is>
          <t>FB-00300</t>
        </is>
      </c>
      <c r="B301" t="inlineStr">
        <is>
          <t>CUST-0007</t>
        </is>
      </c>
      <c r="C301" s="11" t="n">
        <v>46018</v>
      </c>
      <c r="D301" t="inlineStr">
        <is>
          <t>In-App Feedback</t>
        </is>
      </c>
      <c r="E301" t="inlineStr">
        <is>
          <t>Professional</t>
        </is>
      </c>
      <c r="F301" t="inlineStr">
        <is>
          <t>SMB</t>
        </is>
      </c>
      <c r="G301" t="inlineStr">
        <is>
          <t>Contact Management</t>
        </is>
      </c>
      <c r="H301" t="inlineStr">
        <is>
          <t>Bug</t>
        </is>
      </c>
      <c r="I301" t="inlineStr">
        <is>
          <t>The spreadsheet import silently skipped rows and we only noticed days later. So far 27 people on our side have reported it. Let us know if you need examples.</t>
        </is>
      </c>
      <c r="J301" t="inlineStr">
        <is>
          <t>Neutral</t>
        </is>
      </c>
      <c r="K301" t="inlineStr">
        <is>
          <t>Medium</t>
        </is>
      </c>
      <c r="L301" t="inlineStr">
        <is>
          <t>Workflow Slowdown</t>
        </is>
      </c>
      <c r="M301" t="inlineStr">
        <is>
          <t>contact_import</t>
        </is>
      </c>
      <c r="N301" t="inlineStr">
        <is>
          <t>Unreliable contact imports</t>
        </is>
      </c>
      <c r="O301" t="inlineStr">
        <is>
          <t>2025-12</t>
        </is>
      </c>
    </row>
    <row r="302">
      <c r="A302" t="inlineStr">
        <is>
          <t>FB-00301</t>
        </is>
      </c>
      <c r="B302" t="inlineStr">
        <is>
          <t>CUST-0007</t>
        </is>
      </c>
      <c r="C302" s="11" t="n">
        <v>46019</v>
      </c>
      <c r="D302" t="inlineStr">
        <is>
          <t>Feature Request</t>
        </is>
      </c>
      <c r="E302" t="inlineStr">
        <is>
          <t>Professional</t>
        </is>
      </c>
      <c r="F302" t="inlineStr">
        <is>
          <t>SMB</t>
        </is>
      </c>
      <c r="G302" t="inlineStr">
        <is>
          <t>User Interface</t>
        </is>
      </c>
      <c r="H302" t="inlineStr">
        <is>
          <t>Feature Request</t>
        </is>
      </c>
      <c r="I302" t="inlineStr">
        <is>
          <t>Sharing this from our team. Our field reps need mobile call logging to update deals between visits. It affects our lead handoff process every cycle. Happy to join a feedback call.</t>
        </is>
      </c>
      <c r="J302" t="inlineStr">
        <is>
          <t>Neutral</t>
        </is>
      </c>
      <c r="K302" t="inlineStr">
        <is>
          <t>Medium</t>
        </is>
      </c>
      <c r="L302" t="inlineStr">
        <is>
          <t>Minor Inconvenience</t>
        </is>
      </c>
      <c r="M302" t="inlineStr">
        <is>
          <t>ui_mobile</t>
        </is>
      </c>
      <c r="N302" t="inlineStr">
        <is>
          <t>Mobile app</t>
        </is>
      </c>
      <c r="O302" t="inlineStr">
        <is>
          <t>2025-12</t>
        </is>
      </c>
    </row>
    <row r="303">
      <c r="A303" t="inlineStr">
        <is>
          <t>FB-00302</t>
        </is>
      </c>
      <c r="B303" t="inlineStr">
        <is>
          <t>CUST-0413</t>
        </is>
      </c>
      <c r="C303" s="11" t="n">
        <v>46019</v>
      </c>
      <c r="D303" t="inlineStr">
        <is>
          <t>Support Ticket</t>
        </is>
      </c>
      <c r="E303" t="inlineStr">
        <is>
          <t>Professional</t>
        </is>
      </c>
      <c r="F303" t="inlineStr">
        <is>
          <t>SMB</t>
        </is>
      </c>
      <c r="G303" t="inlineStr">
        <is>
          <t>Reporting</t>
        </is>
      </c>
      <c r="H303" t="inlineStr">
        <is>
          <t>Bug</t>
        </is>
      </c>
      <c r="I303" t="inlineStr">
        <is>
          <t>FYI for the product team. The report export cuts off rows after a few thousand records. We estimate we lose roughly 30 hours a month on this.</t>
        </is>
      </c>
      <c r="J303" t="inlineStr">
        <is>
          <t>Neutral</t>
        </is>
      </c>
      <c r="K303" t="inlineStr">
        <is>
          <t>High</t>
        </is>
      </c>
      <c r="L303" t="inlineStr">
        <is>
          <t>Blocks Key Task</t>
        </is>
      </c>
      <c r="M303" t="inlineStr">
        <is>
          <t>rep_export</t>
        </is>
      </c>
      <c r="N303" t="inlineStr">
        <is>
          <t>Broken report exports</t>
        </is>
      </c>
      <c r="O303" t="inlineStr">
        <is>
          <t>2025-12</t>
        </is>
      </c>
    </row>
    <row r="304">
      <c r="A304" t="inlineStr">
        <is>
          <t>FB-00303</t>
        </is>
      </c>
      <c r="B304" t="inlineStr">
        <is>
          <t>CUST-0151</t>
        </is>
      </c>
      <c r="C304" s="11" t="n">
        <v>46019</v>
      </c>
      <c r="D304" t="inlineStr">
        <is>
          <t>Customer Survey</t>
        </is>
      </c>
      <c r="E304" t="inlineStr">
        <is>
          <t>Starter</t>
        </is>
      </c>
      <c r="F304" t="inlineStr">
        <is>
          <t>SMB</t>
        </is>
      </c>
      <c r="G304" t="inlineStr">
        <is>
          <t>Contact Management</t>
        </is>
      </c>
      <c r="H304" t="inlineStr">
        <is>
          <t>Bug</t>
        </is>
      </c>
      <c r="I304" t="inlineStr">
        <is>
          <t>Raising this again after our last business review. The import field mapping silently skipped rows and we only noticed days later. Please look into it soon.</t>
        </is>
      </c>
      <c r="J304" t="inlineStr">
        <is>
          <t>Negative</t>
        </is>
      </c>
      <c r="K304" t="inlineStr">
        <is>
          <t>High</t>
        </is>
      </c>
      <c r="L304" t="inlineStr">
        <is>
          <t>Workflow Slowdown</t>
        </is>
      </c>
      <c r="M304" t="inlineStr">
        <is>
          <t>contact_import</t>
        </is>
      </c>
      <c r="N304" t="inlineStr">
        <is>
          <t>Unreliable contact imports</t>
        </is>
      </c>
      <c r="O304" t="inlineStr">
        <is>
          <t>2025-12</t>
        </is>
      </c>
    </row>
    <row r="305">
      <c r="A305" t="inlineStr">
        <is>
          <t>FB-00304</t>
        </is>
      </c>
      <c r="B305" t="inlineStr">
        <is>
          <t>CUST-0363</t>
        </is>
      </c>
      <c r="C305" s="11" t="n">
        <v>46020</v>
      </c>
      <c r="D305" t="inlineStr">
        <is>
          <t>Customer Survey</t>
        </is>
      </c>
      <c r="E305" t="inlineStr">
        <is>
          <t>Professional</t>
        </is>
      </c>
      <c r="F305" t="inlineStr">
        <is>
          <t>Mid-Market</t>
        </is>
      </c>
      <c r="G305" t="inlineStr">
        <is>
          <t>Reporting</t>
        </is>
      </c>
      <c r="H305" t="inlineStr">
        <is>
          <t>Feature Request</t>
        </is>
      </c>
      <c r="I305" t="inlineStr">
        <is>
          <t>Overall we like the product. We need report scheduling so non-technical managers can create their own views. It happens about 34 times a week for our team of 7.</t>
        </is>
      </c>
      <c r="J305" t="inlineStr">
        <is>
          <t>Positive</t>
        </is>
      </c>
      <c r="K305" t="inlineStr">
        <is>
          <t>Low</t>
        </is>
      </c>
      <c r="L305" t="inlineStr">
        <is>
          <t>Workflow Slowdown</t>
        </is>
      </c>
      <c r="M305" t="inlineStr">
        <is>
          <t>rep_custom</t>
        </is>
      </c>
      <c r="N305" t="inlineStr">
        <is>
          <t>Custom and scheduled reports</t>
        </is>
      </c>
      <c r="O305" t="inlineStr">
        <is>
          <t>2025-12</t>
        </is>
      </c>
    </row>
    <row r="306">
      <c r="A306" t="inlineStr">
        <is>
          <t>FB-00305</t>
        </is>
      </c>
      <c r="B306" t="inlineStr">
        <is>
          <t>CUST-0261</t>
        </is>
      </c>
      <c r="C306" s="11" t="n">
        <v>46020</v>
      </c>
      <c r="D306" t="inlineStr">
        <is>
          <t>In-App Feedback</t>
        </is>
      </c>
      <c r="E306" t="inlineStr">
        <is>
          <t>Professional</t>
        </is>
      </c>
      <c r="F306" t="inlineStr">
        <is>
          <t>Enterprise</t>
        </is>
      </c>
      <c r="G306" t="inlineStr">
        <is>
          <t>Contact Management</t>
        </is>
      </c>
      <c r="H306" t="inlineStr">
        <is>
          <t>Feature Request</t>
        </is>
      </c>
      <c r="I306" t="inlineStr">
        <is>
          <t>Please build a bulk contact merge with a preview of what will be combined. Our customer success lead flagged it while onboarding 84 new users. Let us know if you need examples.</t>
        </is>
      </c>
      <c r="J306" t="inlineStr">
        <is>
          <t>Neutral</t>
        </is>
      </c>
      <c r="K306" t="inlineStr">
        <is>
          <t>Medium</t>
        </is>
      </c>
      <c r="L306" t="inlineStr">
        <is>
          <t>Blocks Key Task</t>
        </is>
      </c>
      <c r="M306" t="inlineStr">
        <is>
          <t>contact_dedupe</t>
        </is>
      </c>
      <c r="N306" t="inlineStr">
        <is>
          <t>Bulk contact merge</t>
        </is>
      </c>
      <c r="O306" t="inlineStr">
        <is>
          <t>2025-12</t>
        </is>
      </c>
    </row>
    <row r="307">
      <c r="A307" t="inlineStr">
        <is>
          <t>FB-00306</t>
        </is>
      </c>
      <c r="B307" t="inlineStr">
        <is>
          <t>CUST-0268</t>
        </is>
      </c>
      <c r="C307" s="11" t="n">
        <v>46020</v>
      </c>
      <c r="D307" t="inlineStr">
        <is>
          <t>Support Ticket</t>
        </is>
      </c>
      <c r="E307" t="inlineStr">
        <is>
          <t>Professional</t>
        </is>
      </c>
      <c r="F307" t="inlineStr">
        <is>
          <t>Enterprise</t>
        </is>
      </c>
      <c r="G307" t="inlineStr">
        <is>
          <t>Integrations</t>
        </is>
      </c>
      <c r="H307" t="inlineStr">
        <is>
          <t>Integration Issue</t>
        </is>
      </c>
      <c r="I307" t="inlineStr">
        <is>
          <t>Sharing this from our team. The Outlook calendar sync duplicates meetings and misses replies. Our finance analyst flagged it while onboarding 46 new users. Happy to join a feedback call.</t>
        </is>
      </c>
      <c r="J307" t="inlineStr">
        <is>
          <t>Neutral</t>
        </is>
      </c>
      <c r="K307" t="inlineStr">
        <is>
          <t>High</t>
        </is>
      </c>
      <c r="L307" t="inlineStr">
        <is>
          <t>Blocks Key Task</t>
        </is>
      </c>
      <c r="M307" t="inlineStr">
        <is>
          <t>int_email</t>
        </is>
      </c>
      <c r="N307" t="inlineStr">
        <is>
          <t>Email and calendar sync drops</t>
        </is>
      </c>
      <c r="O307" t="inlineStr">
        <is>
          <t>2025-12</t>
        </is>
      </c>
    </row>
    <row r="308">
      <c r="A308" t="inlineStr">
        <is>
          <t>FB-00307</t>
        </is>
      </c>
      <c r="B308" t="inlineStr">
        <is>
          <t>CUST-0181</t>
        </is>
      </c>
      <c r="C308" s="11" t="n">
        <v>46021</v>
      </c>
      <c r="D308" t="inlineStr">
        <is>
          <t>In-App Feedback</t>
        </is>
      </c>
      <c r="E308" t="inlineStr">
        <is>
          <t>Starter</t>
        </is>
      </c>
      <c r="F308" t="inlineStr">
        <is>
          <t>SMB</t>
        </is>
      </c>
      <c r="G308" t="inlineStr">
        <is>
          <t>User Interface</t>
        </is>
      </c>
      <c r="H308" t="inlineStr">
        <is>
          <t>Feature Request</t>
        </is>
      </c>
      <c r="I308" t="inlineStr">
        <is>
          <t>Feedback from our monthly review. Please add multi-select actions; changing records one at a time wastes hours. We estimate we lose roughly 23 hours a month on this. Let us know if you need examples.</t>
        </is>
      </c>
      <c r="J308" t="inlineStr">
        <is>
          <t>Neutral</t>
        </is>
      </c>
      <c r="K308" t="inlineStr">
        <is>
          <t>Low</t>
        </is>
      </c>
      <c r="L308" t="inlineStr">
        <is>
          <t>Workflow Slowdown</t>
        </is>
      </c>
      <c r="M308" t="inlineStr">
        <is>
          <t>ui_bulk</t>
        </is>
      </c>
      <c r="N308" t="inlineStr">
        <is>
          <t>Bulk actions</t>
        </is>
      </c>
      <c r="O308" t="inlineStr">
        <is>
          <t>2025-12</t>
        </is>
      </c>
    </row>
    <row r="309">
      <c r="A309" t="inlineStr">
        <is>
          <t>FB-00308</t>
        </is>
      </c>
      <c r="B309" t="inlineStr">
        <is>
          <t>CUST-0398</t>
        </is>
      </c>
      <c r="C309" s="11" t="n">
        <v>46021</v>
      </c>
      <c r="D309" t="inlineStr">
        <is>
          <t>Support Ticket</t>
        </is>
      </c>
      <c r="E309" t="inlineStr">
        <is>
          <t>Enterprise</t>
        </is>
      </c>
      <c r="F309" t="inlineStr">
        <is>
          <t>Enterprise</t>
        </is>
      </c>
      <c r="G309" t="inlineStr">
        <is>
          <t>Integrations</t>
        </is>
      </c>
      <c r="H309" t="inlineStr">
        <is>
          <t>Integration Issue</t>
        </is>
      </c>
      <c r="I309" t="inlineStr">
        <is>
          <t>This has been a recurring problem for us. Hard to debug: API rate limits fail with vague error codes. Our admin flagged it while onboarding 58 new users. Is there a workaround?</t>
        </is>
      </c>
      <c r="J309" t="inlineStr">
        <is>
          <t>Negative</t>
        </is>
      </c>
      <c r="K309" t="inlineStr">
        <is>
          <t>High</t>
        </is>
      </c>
      <c r="L309" t="inlineStr">
        <is>
          <t>Blocks Key Task</t>
        </is>
      </c>
      <c r="M309" t="inlineStr">
        <is>
          <t>int_api</t>
        </is>
      </c>
      <c r="N309" t="inlineStr">
        <is>
          <t>API limits and webhook failures</t>
        </is>
      </c>
      <c r="O309" t="inlineStr">
        <is>
          <t>2025-12</t>
        </is>
      </c>
    </row>
    <row r="310">
      <c r="A310" t="inlineStr">
        <is>
          <t>FB-00309</t>
        </is>
      </c>
      <c r="B310" t="inlineStr">
        <is>
          <t>CUST-0232</t>
        </is>
      </c>
      <c r="C310" s="11" t="n">
        <v>46021</v>
      </c>
      <c r="D310" t="inlineStr">
        <is>
          <t>Customer Survey</t>
        </is>
      </c>
      <c r="E310" t="inlineStr">
        <is>
          <t>Enterprise</t>
        </is>
      </c>
      <c r="F310" t="inlineStr">
        <is>
          <t>Mid-Market</t>
        </is>
      </c>
      <c r="G310" t="inlineStr">
        <is>
          <t>Workflow Automation</t>
        </is>
      </c>
      <c r="H310" t="inlineStr">
        <is>
          <t>Bug</t>
        </is>
      </c>
      <c r="I310" t="inlineStr">
        <is>
          <t>We found workflow failures only because a customer complained. We estimate we lose roughly 16 hours a month on this.</t>
        </is>
      </c>
      <c r="J310" t="inlineStr">
        <is>
          <t>Negative</t>
        </is>
      </c>
      <c r="K310" t="inlineStr">
        <is>
          <t>Low</t>
        </is>
      </c>
      <c r="L310" t="inlineStr">
        <is>
          <t>Minor Inconvenience</t>
        </is>
      </c>
      <c r="M310" t="inlineStr">
        <is>
          <t>wf_fail</t>
        </is>
      </c>
      <c r="N310" t="inlineStr">
        <is>
          <t>Workflows failing silently</t>
        </is>
      </c>
      <c r="O310" t="inlineStr">
        <is>
          <t>2025-12</t>
        </is>
      </c>
    </row>
    <row r="311">
      <c r="A311" t="inlineStr">
        <is>
          <t>FB-00310</t>
        </is>
      </c>
      <c r="B311" t="inlineStr">
        <is>
          <t>CUST-0175</t>
        </is>
      </c>
      <c r="C311" s="11" t="n">
        <v>46023</v>
      </c>
      <c r="D311" t="inlineStr">
        <is>
          <t>Customer Survey</t>
        </is>
      </c>
      <c r="E311" t="inlineStr">
        <is>
          <t>Professional</t>
        </is>
      </c>
      <c r="F311" t="inlineStr">
        <is>
          <t>Mid-Market</t>
        </is>
      </c>
      <c r="G311" t="inlineStr">
        <is>
          <t>Reporting</t>
        </is>
      </c>
      <c r="H311" t="inlineStr">
        <is>
          <t>Feature Request</t>
        </is>
      </c>
      <c r="I311" t="inlineStr">
        <is>
          <t>Recent updates have been a nice improvement. Please add forecast rollups; managers keep a separate spreadsheet. Our marketing ops owner flagged it while onboarding 86 new users. Keep up the good work.</t>
        </is>
      </c>
      <c r="J311" t="inlineStr">
        <is>
          <t>Positive</t>
        </is>
      </c>
      <c r="K311" t="inlineStr">
        <is>
          <t>Low</t>
        </is>
      </c>
      <c r="L311" t="inlineStr">
        <is>
          <t>Minor Inconvenience</t>
        </is>
      </c>
      <c r="M311" t="inlineStr">
        <is>
          <t>rep_forecast</t>
        </is>
      </c>
      <c r="N311" t="inlineStr">
        <is>
          <t>Sales forecasting</t>
        </is>
      </c>
      <c r="O311" t="inlineStr">
        <is>
          <t>2026-01</t>
        </is>
      </c>
    </row>
    <row r="312">
      <c r="A312" t="inlineStr">
        <is>
          <t>FB-00311</t>
        </is>
      </c>
      <c r="B312" t="inlineStr">
        <is>
          <t>CUST-0311</t>
        </is>
      </c>
      <c r="C312" s="11" t="n">
        <v>46023</v>
      </c>
      <c r="D312" t="inlineStr">
        <is>
          <t>In-App Feedback</t>
        </is>
      </c>
      <c r="E312" t="inlineStr">
        <is>
          <t>Starter</t>
        </is>
      </c>
      <c r="F312" t="inlineStr">
        <is>
          <t>SMB</t>
        </is>
      </c>
      <c r="G312" t="inlineStr">
        <is>
          <t>Lead Management</t>
        </is>
      </c>
      <c r="H312" t="inlineStr">
        <is>
          <t>Usability Issue</t>
        </is>
      </c>
      <c r="I312" t="inlineStr">
        <is>
          <t>Setting up lead routing rules takes too many steps and the options don't cover territories. Our finance analyst flagged it while onboarding 5 new users.</t>
        </is>
      </c>
      <c r="J312" t="inlineStr">
        <is>
          <t>Negative</t>
        </is>
      </c>
      <c r="K312" t="inlineStr">
        <is>
          <t>Low</t>
        </is>
      </c>
      <c r="L312" t="inlineStr">
        <is>
          <t>Minor Inconvenience</t>
        </is>
      </c>
      <c r="M312" t="inlineStr">
        <is>
          <t>lead_assign</t>
        </is>
      </c>
      <c r="N312" t="inlineStr">
        <is>
          <t>Lead routing is inflexible</t>
        </is>
      </c>
      <c r="O312" t="inlineStr">
        <is>
          <t>2026-01</t>
        </is>
      </c>
    </row>
    <row r="313">
      <c r="A313" t="inlineStr">
        <is>
          <t>FB-00312</t>
        </is>
      </c>
      <c r="B313" t="inlineStr">
        <is>
          <t>CUST-0185</t>
        </is>
      </c>
      <c r="C313" s="11" t="n">
        <v>46023</v>
      </c>
      <c r="D313" t="inlineStr">
        <is>
          <t>In-App Feedback</t>
        </is>
      </c>
      <c r="E313" t="inlineStr">
        <is>
          <t>Professional</t>
        </is>
      </c>
      <c r="F313" t="inlineStr">
        <is>
          <t>Mid-Market</t>
        </is>
      </c>
      <c r="G313" t="inlineStr">
        <is>
          <t>Workflow Automation</t>
        </is>
      </c>
      <c r="H313" t="inlineStr">
        <is>
          <t>Usability Issue</t>
        </is>
      </c>
      <c r="I313" t="inlineStr">
        <is>
          <t>Quick note from our admin. I can't tell what a branch does in the workflow editor without opening every node. Happy to join a feedback call.</t>
        </is>
      </c>
      <c r="J313" t="inlineStr">
        <is>
          <t>Neutral</t>
        </is>
      </c>
      <c r="K313" t="inlineStr">
        <is>
          <t>Medium</t>
        </is>
      </c>
      <c r="L313" t="inlineStr">
        <is>
          <t>Workflow Slowdown</t>
        </is>
      </c>
      <c r="M313" t="inlineStr">
        <is>
          <t>wf_builder</t>
        </is>
      </c>
      <c r="N313" t="inlineStr">
        <is>
          <t>Confusing workflow builder</t>
        </is>
      </c>
      <c r="O313" t="inlineStr">
        <is>
          <t>2026-01</t>
        </is>
      </c>
    </row>
    <row r="314">
      <c r="A314" t="inlineStr">
        <is>
          <t>FB-00313</t>
        </is>
      </c>
      <c r="B314" t="inlineStr">
        <is>
          <t>CUST-0180</t>
        </is>
      </c>
      <c r="C314" s="11" t="n">
        <v>46023</v>
      </c>
      <c r="D314" t="inlineStr">
        <is>
          <t>Support Ticket</t>
        </is>
      </c>
      <c r="E314" t="inlineStr">
        <is>
          <t>Enterprise</t>
        </is>
      </c>
      <c r="F314" t="inlineStr">
        <is>
          <t>Enterprise</t>
        </is>
      </c>
      <c r="G314" t="inlineStr">
        <is>
          <t>Contact Management</t>
        </is>
      </c>
      <c r="H314" t="inlineStr">
        <is>
          <t>Performance Issue</t>
        </is>
      </c>
      <c r="I314" t="inlineStr">
        <is>
          <t>Frustrated with this one. The contact list filtering times out on our largest accounts. Is there a workaround?</t>
        </is>
      </c>
      <c r="J314" t="inlineStr">
        <is>
          <t>Negative</t>
        </is>
      </c>
      <c r="K314" t="inlineStr">
        <is>
          <t>Medium</t>
        </is>
      </c>
      <c r="L314" t="inlineStr">
        <is>
          <t>Blocks Key Task</t>
        </is>
      </c>
      <c r="M314" t="inlineStr">
        <is>
          <t>contact_search</t>
        </is>
      </c>
      <c r="N314" t="inlineStr">
        <is>
          <t>Slow contact search</t>
        </is>
      </c>
      <c r="O314" t="inlineStr">
        <is>
          <t>2026-01</t>
        </is>
      </c>
    </row>
    <row r="315">
      <c r="A315" t="inlineStr">
        <is>
          <t>FB-00314</t>
        </is>
      </c>
      <c r="B315" t="inlineStr">
        <is>
          <t>CUST-0334</t>
        </is>
      </c>
      <c r="C315" s="11" t="n">
        <v>46023</v>
      </c>
      <c r="D315" t="inlineStr">
        <is>
          <t>Support Ticket</t>
        </is>
      </c>
      <c r="E315" t="inlineStr">
        <is>
          <t>Enterprise</t>
        </is>
      </c>
      <c r="F315" t="inlineStr">
        <is>
          <t>SMB</t>
        </is>
      </c>
      <c r="G315" t="inlineStr">
        <is>
          <t>Integrations</t>
        </is>
      </c>
      <c r="H315" t="inlineStr">
        <is>
          <t>Integration Issue</t>
        </is>
      </c>
      <c r="I315" t="inlineStr">
        <is>
          <t>Raising this again after our last business review. We keep hitting webhook delivery during nightly syncs with our data warehouse. It happens about 14 times a week for our team of 89.</t>
        </is>
      </c>
      <c r="J315" t="inlineStr">
        <is>
          <t>Negative</t>
        </is>
      </c>
      <c r="K315" t="inlineStr">
        <is>
          <t>Medium</t>
        </is>
      </c>
      <c r="L315" t="inlineStr">
        <is>
          <t>Workflow Slowdown</t>
        </is>
      </c>
      <c r="M315" t="inlineStr">
        <is>
          <t>int_api</t>
        </is>
      </c>
      <c r="N315" t="inlineStr">
        <is>
          <t>API limits and webhook failures</t>
        </is>
      </c>
      <c r="O315" t="inlineStr">
        <is>
          <t>2026-01</t>
        </is>
      </c>
    </row>
    <row r="316">
      <c r="A316" t="inlineStr">
        <is>
          <t>FB-00315</t>
        </is>
      </c>
      <c r="B316" t="inlineStr">
        <is>
          <t>CUST-0034</t>
        </is>
      </c>
      <c r="C316" s="11" t="n">
        <v>46023</v>
      </c>
      <c r="D316" t="inlineStr">
        <is>
          <t>Support Ticket</t>
        </is>
      </c>
      <c r="E316" t="inlineStr">
        <is>
          <t>Professional</t>
        </is>
      </c>
      <c r="F316" t="inlineStr">
        <is>
          <t>Mid-Market</t>
        </is>
      </c>
      <c r="G316" t="inlineStr">
        <is>
          <t>Workflow Automation</t>
        </is>
      </c>
      <c r="H316" t="inlineStr">
        <is>
          <t>Feature Request</t>
        </is>
      </c>
      <c r="I316" t="inlineStr">
        <is>
          <t>Competitors ship automation recipes; we are rebuilding the same flows from scratch. Our finance analyst flagged it while onboarding 105 new users.</t>
        </is>
      </c>
      <c r="J316" t="inlineStr">
        <is>
          <t>Neutral</t>
        </is>
      </c>
      <c r="K316" t="inlineStr">
        <is>
          <t>Medium</t>
        </is>
      </c>
      <c r="L316" t="inlineStr">
        <is>
          <t>Workflow Slowdown</t>
        </is>
      </c>
      <c r="M316" t="inlineStr">
        <is>
          <t>wf_templates</t>
        </is>
      </c>
      <c r="N316" t="inlineStr">
        <is>
          <t>Workflow templates</t>
        </is>
      </c>
      <c r="O316" t="inlineStr">
        <is>
          <t>2026-01</t>
        </is>
      </c>
    </row>
    <row r="317">
      <c r="A317" t="inlineStr">
        <is>
          <t>FB-00316</t>
        </is>
      </c>
      <c r="B317" t="inlineStr">
        <is>
          <t>CUST-0188</t>
        </is>
      </c>
      <c r="C317" s="11" t="n">
        <v>46024</v>
      </c>
      <c r="D317" t="inlineStr">
        <is>
          <t>Support Ticket</t>
        </is>
      </c>
      <c r="E317" t="inlineStr">
        <is>
          <t>Enterprise</t>
        </is>
      </c>
      <c r="F317" t="inlineStr">
        <is>
          <t>Mid-Market</t>
        </is>
      </c>
      <c r="G317" t="inlineStr">
        <is>
          <t>Workflow Automation</t>
        </is>
      </c>
      <c r="H317" t="inlineStr">
        <is>
          <t>Feature Request</t>
        </is>
      </c>
      <c r="I317" t="inlineStr">
        <is>
          <t>FYI for the product team. Competitors ship automation recipes; we are rebuilding the same flows from scratch. It happens about 24 times a week for our team of 69.</t>
        </is>
      </c>
      <c r="J317" t="inlineStr">
        <is>
          <t>Neutral</t>
        </is>
      </c>
      <c r="K317" t="inlineStr">
        <is>
          <t>Low</t>
        </is>
      </c>
      <c r="L317" t="inlineStr">
        <is>
          <t>Minor Inconvenience</t>
        </is>
      </c>
      <c r="M317" t="inlineStr">
        <is>
          <t>wf_templates</t>
        </is>
      </c>
      <c r="N317" t="inlineStr">
        <is>
          <t>Workflow templates</t>
        </is>
      </c>
      <c r="O317" t="inlineStr">
        <is>
          <t>2026-01</t>
        </is>
      </c>
    </row>
    <row r="318">
      <c r="A318" t="inlineStr">
        <is>
          <t>FB-00317</t>
        </is>
      </c>
      <c r="B318" t="inlineStr">
        <is>
          <t>CUST-0206</t>
        </is>
      </c>
      <c r="C318" s="11" t="n">
        <v>46024</v>
      </c>
      <c r="D318" t="inlineStr">
        <is>
          <t>Customer Survey</t>
        </is>
      </c>
      <c r="E318" t="inlineStr">
        <is>
          <t>Professional</t>
        </is>
      </c>
      <c r="F318" t="inlineStr">
        <is>
          <t>Mid-Market</t>
        </is>
      </c>
      <c r="G318" t="inlineStr">
        <is>
          <t>User Interface</t>
        </is>
      </c>
      <c r="H318" t="inlineStr">
        <is>
          <t>Feature Request</t>
        </is>
      </c>
      <c r="I318" t="inlineStr">
        <is>
          <t>Our field reps need a mobile app to update deals between visits. We estimate we lose roughly 4 hours a month on this. Is there a workaround?</t>
        </is>
      </c>
      <c r="J318" t="inlineStr">
        <is>
          <t>Negative</t>
        </is>
      </c>
      <c r="K318" t="inlineStr">
        <is>
          <t>Medium</t>
        </is>
      </c>
      <c r="L318" t="inlineStr">
        <is>
          <t>Workflow Slowdown</t>
        </is>
      </c>
      <c r="M318" t="inlineStr">
        <is>
          <t>ui_mobile</t>
        </is>
      </c>
      <c r="N318" t="inlineStr">
        <is>
          <t>Mobile app</t>
        </is>
      </c>
      <c r="O318" t="inlineStr">
        <is>
          <t>2026-01</t>
        </is>
      </c>
    </row>
    <row r="319">
      <c r="A319" t="inlineStr">
        <is>
          <t>FB-00318</t>
        </is>
      </c>
      <c r="B319" t="inlineStr">
        <is>
          <t>CUST-0194</t>
        </is>
      </c>
      <c r="C319" s="11" t="n">
        <v>46025</v>
      </c>
      <c r="D319" t="inlineStr">
        <is>
          <t>Customer Survey</t>
        </is>
      </c>
      <c r="E319" t="inlineStr">
        <is>
          <t>Starter</t>
        </is>
      </c>
      <c r="F319" t="inlineStr">
        <is>
          <t>SMB</t>
        </is>
      </c>
      <c r="G319" t="inlineStr">
        <is>
          <t>Reporting</t>
        </is>
      </c>
      <c r="H319" t="inlineStr">
        <is>
          <t>Feature Request</t>
        </is>
      </c>
      <c r="I319" t="inlineStr">
        <is>
          <t>Frustrated with this one. We need quota tracking by team and region for quarterly planning. Please look into it soon.</t>
        </is>
      </c>
      <c r="J319" t="inlineStr">
        <is>
          <t>Negative</t>
        </is>
      </c>
      <c r="K319" t="inlineStr">
        <is>
          <t>Low</t>
        </is>
      </c>
      <c r="L319" t="inlineStr">
        <is>
          <t>Minor Inconvenience</t>
        </is>
      </c>
      <c r="M319" t="inlineStr">
        <is>
          <t>rep_forecast</t>
        </is>
      </c>
      <c r="N319" t="inlineStr">
        <is>
          <t>Sales forecasting</t>
        </is>
      </c>
      <c r="O319" t="inlineStr">
        <is>
          <t>2026-01</t>
        </is>
      </c>
    </row>
    <row r="320">
      <c r="A320" t="inlineStr">
        <is>
          <t>FB-00319</t>
        </is>
      </c>
      <c r="B320" t="inlineStr">
        <is>
          <t>CUST-0133</t>
        </is>
      </c>
      <c r="C320" s="11" t="n">
        <v>46025</v>
      </c>
      <c r="D320" t="inlineStr">
        <is>
          <t>Customer Survey</t>
        </is>
      </c>
      <c r="E320" t="inlineStr">
        <is>
          <t>Professional</t>
        </is>
      </c>
      <c r="F320" t="inlineStr">
        <is>
          <t>Mid-Market</t>
        </is>
      </c>
      <c r="G320" t="inlineStr">
        <is>
          <t>Integrations</t>
        </is>
      </c>
      <c r="H320" t="inlineStr">
        <is>
          <t>Integration Issue</t>
        </is>
      </c>
      <c r="I320" t="inlineStr">
        <is>
          <t>Escalating on behalf of our ops lead. Reps no longer trust email sync, so they log activity by hand. We estimate we lose roughly 18 hours a month on this. Support suggested logging it here.</t>
        </is>
      </c>
      <c r="J320" t="inlineStr">
        <is>
          <t>Negative</t>
        </is>
      </c>
      <c r="K320" t="inlineStr">
        <is>
          <t>High</t>
        </is>
      </c>
      <c r="L320" t="inlineStr">
        <is>
          <t>Revenue/Operations Risk</t>
        </is>
      </c>
      <c r="M320" t="inlineStr">
        <is>
          <t>int_email</t>
        </is>
      </c>
      <c r="N320" t="inlineStr">
        <is>
          <t>Email and calendar sync drops</t>
        </is>
      </c>
      <c r="O320" t="inlineStr">
        <is>
          <t>2026-01</t>
        </is>
      </c>
    </row>
    <row r="321">
      <c r="A321" t="inlineStr">
        <is>
          <t>FB-00320</t>
        </is>
      </c>
      <c r="B321" t="inlineStr">
        <is>
          <t>CUST-0400</t>
        </is>
      </c>
      <c r="C321" s="11" t="n">
        <v>46026</v>
      </c>
      <c r="D321" t="inlineStr">
        <is>
          <t>Support Ticket</t>
        </is>
      </c>
      <c r="E321" t="inlineStr">
        <is>
          <t>Starter</t>
        </is>
      </c>
      <c r="F321" t="inlineStr">
        <is>
          <t>SMB</t>
        </is>
      </c>
      <c r="G321" t="inlineStr">
        <is>
          <t>Contact Management</t>
        </is>
      </c>
      <c r="H321" t="inlineStr">
        <is>
          <t>Bug</t>
        </is>
      </c>
      <c r="I321" t="inlineStr">
        <is>
          <t>The contact CSV import rejects files with accented characters in names. It affects our lead handoff process every cycle.</t>
        </is>
      </c>
      <c r="J321" t="inlineStr">
        <is>
          <t>Negative</t>
        </is>
      </c>
      <c r="K321" t="inlineStr">
        <is>
          <t>Medium</t>
        </is>
      </c>
      <c r="L321" t="inlineStr">
        <is>
          <t>Workflow Slowdown</t>
        </is>
      </c>
      <c r="M321" t="inlineStr">
        <is>
          <t>contact_import</t>
        </is>
      </c>
      <c r="N321" t="inlineStr">
        <is>
          <t>Unreliable contact imports</t>
        </is>
      </c>
      <c r="O321" t="inlineStr">
        <is>
          <t>2026-01</t>
        </is>
      </c>
    </row>
    <row r="322">
      <c r="A322" t="inlineStr">
        <is>
          <t>FB-00321</t>
        </is>
      </c>
      <c r="B322" t="inlineStr">
        <is>
          <t>CUST-0312</t>
        </is>
      </c>
      <c r="C322" s="11" t="n">
        <v>46026</v>
      </c>
      <c r="D322" t="inlineStr">
        <is>
          <t>Feature Request</t>
        </is>
      </c>
      <c r="E322" t="inlineStr">
        <is>
          <t>Professional</t>
        </is>
      </c>
      <c r="F322" t="inlineStr">
        <is>
          <t>Mid-Market</t>
        </is>
      </c>
      <c r="G322" t="inlineStr">
        <is>
          <t>User Interface</t>
        </is>
      </c>
      <c r="H322" t="inlineStr">
        <is>
          <t>Feature Request</t>
        </is>
      </c>
      <c r="I322" t="inlineStr">
        <is>
          <t>Overall we like the product. Our field reps need a mobile app to update deals between visits. So far 90 people on our side have reported it. Happy to beta test.</t>
        </is>
      </c>
      <c r="J322" t="inlineStr">
        <is>
          <t>Positive</t>
        </is>
      </c>
      <c r="K322" t="inlineStr">
        <is>
          <t>Medium</t>
        </is>
      </c>
      <c r="L322" t="inlineStr">
        <is>
          <t>Workflow Slowdown</t>
        </is>
      </c>
      <c r="M322" t="inlineStr">
        <is>
          <t>ui_mobile</t>
        </is>
      </c>
      <c r="N322" t="inlineStr">
        <is>
          <t>Mobile app</t>
        </is>
      </c>
      <c r="O322" t="inlineStr">
        <is>
          <t>2026-01</t>
        </is>
      </c>
    </row>
    <row r="323">
      <c r="A323" t="inlineStr">
        <is>
          <t>FB-00322</t>
        </is>
      </c>
      <c r="B323" t="inlineStr">
        <is>
          <t>CUST-0361</t>
        </is>
      </c>
      <c r="C323" s="11" t="n">
        <v>46027</v>
      </c>
      <c r="D323" t="inlineStr">
        <is>
          <t>In-App Feedback</t>
        </is>
      </c>
      <c r="E323" t="inlineStr">
        <is>
          <t>Professional</t>
        </is>
      </c>
      <c r="F323" t="inlineStr">
        <is>
          <t>Mid-Market</t>
        </is>
      </c>
      <c r="G323" t="inlineStr">
        <is>
          <t>User Interface</t>
        </is>
      </c>
      <c r="H323" t="inlineStr">
        <is>
          <t>Usability Issue</t>
        </is>
      </c>
      <c r="I323" t="inlineStr">
        <is>
          <t>This has been a recurring problem for us. New hires get lost in the page layout; it takes weeks to learn. We need a fix before renewal.</t>
        </is>
      </c>
      <c r="J323" t="inlineStr">
        <is>
          <t>Negative</t>
        </is>
      </c>
      <c r="K323" t="inlineStr">
        <is>
          <t>Medium</t>
        </is>
      </c>
      <c r="L323" t="inlineStr">
        <is>
          <t>Blocks Key Task</t>
        </is>
      </c>
      <c r="M323" t="inlineStr">
        <is>
          <t>ui_nav</t>
        </is>
      </c>
      <c r="N323" t="inlineStr">
        <is>
          <t>Cluttered navigation</t>
        </is>
      </c>
      <c r="O323" t="inlineStr">
        <is>
          <t>2026-01</t>
        </is>
      </c>
    </row>
    <row r="324">
      <c r="A324" t="inlineStr">
        <is>
          <t>FB-00323</t>
        </is>
      </c>
      <c r="B324" t="inlineStr">
        <is>
          <t>CUST-0128</t>
        </is>
      </c>
      <c r="C324" s="11" t="n">
        <v>46027</v>
      </c>
      <c r="D324" t="inlineStr">
        <is>
          <t>Feature Request</t>
        </is>
      </c>
      <c r="E324" t="inlineStr">
        <is>
          <t>Professional</t>
        </is>
      </c>
      <c r="F324" t="inlineStr">
        <is>
          <t>SMB</t>
        </is>
      </c>
      <c r="G324" t="inlineStr">
        <is>
          <t>Workflow Automation</t>
        </is>
      </c>
      <c r="H324" t="inlineStr">
        <is>
          <t>Feature Request</t>
        </is>
      </c>
      <c r="I324" t="inlineStr">
        <is>
          <t>Competitors ship automation recipes; we are rebuilding the same flows from scratch. It affects our weekly pipeline review process every cycle. Thanks to the team.</t>
        </is>
      </c>
      <c r="J324" t="inlineStr">
        <is>
          <t>Positive</t>
        </is>
      </c>
      <c r="K324" t="inlineStr">
        <is>
          <t>Low</t>
        </is>
      </c>
      <c r="L324" t="inlineStr">
        <is>
          <t>Minor Inconvenience</t>
        </is>
      </c>
      <c r="M324" t="inlineStr">
        <is>
          <t>wf_templates</t>
        </is>
      </c>
      <c r="N324" t="inlineStr">
        <is>
          <t>Workflow templates</t>
        </is>
      </c>
      <c r="O324" t="inlineStr">
        <is>
          <t>2026-01</t>
        </is>
      </c>
    </row>
    <row r="325">
      <c r="A325" t="inlineStr">
        <is>
          <t>FB-00324</t>
        </is>
      </c>
      <c r="B325" t="inlineStr">
        <is>
          <t>CUST-0286</t>
        </is>
      </c>
      <c r="C325" s="11" t="n">
        <v>46027</v>
      </c>
      <c r="D325" t="inlineStr">
        <is>
          <t>Feature Request</t>
        </is>
      </c>
      <c r="E325" t="inlineStr">
        <is>
          <t>Enterprise</t>
        </is>
      </c>
      <c r="F325" t="inlineStr">
        <is>
          <t>Enterprise</t>
        </is>
      </c>
      <c r="G325" t="inlineStr">
        <is>
          <t>Contact Management</t>
        </is>
      </c>
      <c r="H325" t="inlineStr">
        <is>
          <t>Feature Request</t>
        </is>
      </c>
      <c r="I325" t="inlineStr">
        <is>
          <t>Requesting a contact relationship hierarchy so account managers can see who reports to whom.</t>
        </is>
      </c>
      <c r="J325" t="inlineStr">
        <is>
          <t>Negative</t>
        </is>
      </c>
      <c r="K325" t="inlineStr">
        <is>
          <t>Low</t>
        </is>
      </c>
      <c r="L325" t="inlineStr">
        <is>
          <t>Workflow Slowdown</t>
        </is>
      </c>
      <c r="M325" t="inlineStr">
        <is>
          <t>contact_custom</t>
        </is>
      </c>
      <c r="N325" t="inlineStr">
        <is>
          <t>Custom fields and hierarchy</t>
        </is>
      </c>
      <c r="O325" t="inlineStr">
        <is>
          <t>2026-01</t>
        </is>
      </c>
    </row>
    <row r="326">
      <c r="A326" t="inlineStr">
        <is>
          <t>FB-00325</t>
        </is>
      </c>
      <c r="B326" t="inlineStr">
        <is>
          <t>CUST-0339</t>
        </is>
      </c>
      <c r="C326" s="11" t="n">
        <v>46027</v>
      </c>
      <c r="D326" t="inlineStr">
        <is>
          <t>Customer Survey</t>
        </is>
      </c>
      <c r="E326" t="inlineStr">
        <is>
          <t>Professional</t>
        </is>
      </c>
      <c r="F326" t="inlineStr">
        <is>
          <t>Mid-Market</t>
        </is>
      </c>
      <c r="G326" t="inlineStr">
        <is>
          <t>Workflow Automation</t>
        </is>
      </c>
      <c r="H326" t="inlineStr">
        <is>
          <t>Feature Request</t>
        </is>
      </c>
      <c r="I326" t="inlineStr">
        <is>
          <t>Feedback from our monthly review. Competitors ship automation recipes; we are rebuilding the same flows from scratch. So far 6 people on our side have reported it.</t>
        </is>
      </c>
      <c r="J326" t="inlineStr">
        <is>
          <t>Neutral</t>
        </is>
      </c>
      <c r="K326" t="inlineStr">
        <is>
          <t>Low</t>
        </is>
      </c>
      <c r="L326" t="inlineStr">
        <is>
          <t>Blocks Key Task</t>
        </is>
      </c>
      <c r="M326" t="inlineStr">
        <is>
          <t>wf_templates</t>
        </is>
      </c>
      <c r="N326" t="inlineStr">
        <is>
          <t>Workflow templates</t>
        </is>
      </c>
      <c r="O326" t="inlineStr">
        <is>
          <t>2026-01</t>
        </is>
      </c>
    </row>
    <row r="327">
      <c r="A327" t="inlineStr">
        <is>
          <t>FB-00326</t>
        </is>
      </c>
      <c r="B327" t="inlineStr">
        <is>
          <t>CUST-0187</t>
        </is>
      </c>
      <c r="C327" s="11" t="n">
        <v>46028</v>
      </c>
      <c r="D327" t="inlineStr">
        <is>
          <t>Support Ticket</t>
        </is>
      </c>
      <c r="E327" t="inlineStr">
        <is>
          <t>Enterprise</t>
        </is>
      </c>
      <c r="F327" t="inlineStr">
        <is>
          <t>Mid-Market</t>
        </is>
      </c>
      <c r="G327" t="inlineStr">
        <is>
          <t>Integrations</t>
        </is>
      </c>
      <c r="H327" t="inlineStr">
        <is>
          <t>Integration Issue</t>
        </is>
      </c>
      <c r="I327" t="inlineStr">
        <is>
          <t>Frustrated with this one. Our integration partner flagged webhook delivery as a risk for the project. Our sales manager flagged it while onboarding 99 new users.</t>
        </is>
      </c>
      <c r="J327" t="inlineStr">
        <is>
          <t>Negative</t>
        </is>
      </c>
      <c r="K327" t="inlineStr">
        <is>
          <t>Medium</t>
        </is>
      </c>
      <c r="L327" t="inlineStr">
        <is>
          <t>Workflow Slowdown</t>
        </is>
      </c>
      <c r="M327" t="inlineStr">
        <is>
          <t>int_api</t>
        </is>
      </c>
      <c r="N327" t="inlineStr">
        <is>
          <t>API limits and webhook failures</t>
        </is>
      </c>
      <c r="O327" t="inlineStr">
        <is>
          <t>2026-01</t>
        </is>
      </c>
    </row>
    <row r="328">
      <c r="A328" t="inlineStr">
        <is>
          <t>FB-00327</t>
        </is>
      </c>
      <c r="B328" t="inlineStr">
        <is>
          <t>CUST-0044</t>
        </is>
      </c>
      <c r="C328" s="11" t="n">
        <v>46028</v>
      </c>
      <c r="D328" t="inlineStr">
        <is>
          <t>Feature Request</t>
        </is>
      </c>
      <c r="E328" t="inlineStr">
        <is>
          <t>Enterprise</t>
        </is>
      </c>
      <c r="F328" t="inlineStr">
        <is>
          <t>Enterprise</t>
        </is>
      </c>
      <c r="G328" t="inlineStr">
        <is>
          <t>Reporting</t>
        </is>
      </c>
      <c r="H328" t="inlineStr">
        <is>
          <t>Feature Request</t>
        </is>
      </c>
      <c r="I328" t="inlineStr">
        <is>
          <t>Overall we like the product. Without a custom report builder we export raw data and rebuild everything elsewhere. So far 99 people on our side have reported it.</t>
        </is>
      </c>
      <c r="J328" t="inlineStr">
        <is>
          <t>Positive</t>
        </is>
      </c>
      <c r="K328" t="inlineStr">
        <is>
          <t>Low</t>
        </is>
      </c>
      <c r="L328" t="inlineStr">
        <is>
          <t>Minor Inconvenience</t>
        </is>
      </c>
      <c r="M328" t="inlineStr">
        <is>
          <t>rep_custom</t>
        </is>
      </c>
      <c r="N328" t="inlineStr">
        <is>
          <t>Custom and scheduled reports</t>
        </is>
      </c>
      <c r="O328" t="inlineStr">
        <is>
          <t>2026-01</t>
        </is>
      </c>
    </row>
    <row r="329">
      <c r="A329" t="inlineStr">
        <is>
          <t>FB-00328</t>
        </is>
      </c>
      <c r="B329" t="inlineStr">
        <is>
          <t>CUST-0107</t>
        </is>
      </c>
      <c r="C329" s="11" t="n">
        <v>46028</v>
      </c>
      <c r="D329" t="inlineStr">
        <is>
          <t>Support Ticket</t>
        </is>
      </c>
      <c r="E329" t="inlineStr">
        <is>
          <t>Starter</t>
        </is>
      </c>
      <c r="F329" t="inlineStr">
        <is>
          <t>SMB</t>
        </is>
      </c>
      <c r="G329" t="inlineStr">
        <is>
          <t>Lead Management</t>
        </is>
      </c>
      <c r="H329" t="inlineStr">
        <is>
          <t>Bug</t>
        </is>
      </c>
      <c r="I329" t="inlineStr">
        <is>
          <t>There are duplicated leads across our pipeline views and nobody knows which record is the source of truth. So far 39 people on our side have reported it. Is there a workaround?</t>
        </is>
      </c>
      <c r="J329" t="inlineStr">
        <is>
          <t>Negative</t>
        </is>
      </c>
      <c r="K329" t="inlineStr">
        <is>
          <t>Medium</t>
        </is>
      </c>
      <c r="L329" t="inlineStr">
        <is>
          <t>Workflow Slowdown</t>
        </is>
      </c>
      <c r="M329" t="inlineStr">
        <is>
          <t>lead_dup</t>
        </is>
      </c>
      <c r="N329" t="inlineStr">
        <is>
          <t>Duplicate leads created</t>
        </is>
      </c>
      <c r="O329" t="inlineStr">
        <is>
          <t>2026-01</t>
        </is>
      </c>
    </row>
    <row r="330">
      <c r="A330" t="inlineStr">
        <is>
          <t>FB-00329</t>
        </is>
      </c>
      <c r="B330" t="inlineStr">
        <is>
          <t>CUST-0326</t>
        </is>
      </c>
      <c r="C330" s="11" t="n">
        <v>46028</v>
      </c>
      <c r="D330" t="inlineStr">
        <is>
          <t>Support Ticket</t>
        </is>
      </c>
      <c r="E330" t="inlineStr">
        <is>
          <t>Starter</t>
        </is>
      </c>
      <c r="F330" t="inlineStr">
        <is>
          <t>SMB</t>
        </is>
      </c>
      <c r="G330" t="inlineStr">
        <is>
          <t>Lead Management</t>
        </is>
      </c>
      <c r="H330" t="inlineStr">
        <is>
          <t>Bug</t>
        </is>
      </c>
      <c r="I330" t="inlineStr">
        <is>
          <t>After every list import we find lead de-duplication failures that have to be cleaned up by hand. We need a fix before renewal.</t>
        </is>
      </c>
      <c r="J330" t="inlineStr">
        <is>
          <t>Negative</t>
        </is>
      </c>
      <c r="K330" t="inlineStr">
        <is>
          <t>Medium</t>
        </is>
      </c>
      <c r="L330" t="inlineStr">
        <is>
          <t>Blocks Key Task</t>
        </is>
      </c>
      <c r="M330" t="inlineStr">
        <is>
          <t>lead_dup</t>
        </is>
      </c>
      <c r="N330" t="inlineStr">
        <is>
          <t>Duplicate leads created</t>
        </is>
      </c>
      <c r="O330" t="inlineStr">
        <is>
          <t>2026-01</t>
        </is>
      </c>
    </row>
    <row r="331">
      <c r="A331" t="inlineStr">
        <is>
          <t>FB-00330</t>
        </is>
      </c>
      <c r="B331" t="inlineStr">
        <is>
          <t>CUST-0420</t>
        </is>
      </c>
      <c r="C331" s="11" t="n">
        <v>46029</v>
      </c>
      <c r="D331" t="inlineStr">
        <is>
          <t>Support Ticket</t>
        </is>
      </c>
      <c r="E331" t="inlineStr">
        <is>
          <t>Enterprise</t>
        </is>
      </c>
      <c r="F331" t="inlineStr">
        <is>
          <t>Enterprise</t>
        </is>
      </c>
      <c r="G331" t="inlineStr">
        <is>
          <t>Workflow Automation</t>
        </is>
      </c>
      <c r="H331" t="inlineStr">
        <is>
          <t>Feature Request</t>
        </is>
      </c>
      <c r="I331" t="inlineStr">
        <is>
          <t>Sharing this from our team. Competitors ship automation recipes; we are rebuilding the same flows from scratch. So far 63 people on our side have reported it. Let us know if you need examples.</t>
        </is>
      </c>
      <c r="J331" t="inlineStr">
        <is>
          <t>Neutral</t>
        </is>
      </c>
      <c r="K331" t="inlineStr">
        <is>
          <t>Low</t>
        </is>
      </c>
      <c r="L331" t="inlineStr">
        <is>
          <t>Minor Inconvenience</t>
        </is>
      </c>
      <c r="M331" t="inlineStr">
        <is>
          <t>wf_templates</t>
        </is>
      </c>
      <c r="N331" t="inlineStr">
        <is>
          <t>Workflow templates</t>
        </is>
      </c>
      <c r="O331" t="inlineStr">
        <is>
          <t>2026-01</t>
        </is>
      </c>
    </row>
    <row r="332">
      <c r="A332" t="inlineStr">
        <is>
          <t>FB-00331</t>
        </is>
      </c>
      <c r="B332" t="inlineStr">
        <is>
          <t>CUST-0146</t>
        </is>
      </c>
      <c r="C332" s="11" t="n">
        <v>46029</v>
      </c>
      <c r="D332" t="inlineStr">
        <is>
          <t>Feature Request</t>
        </is>
      </c>
      <c r="E332" t="inlineStr">
        <is>
          <t>Starter</t>
        </is>
      </c>
      <c r="F332" t="inlineStr">
        <is>
          <t>SMB</t>
        </is>
      </c>
      <c r="G332" t="inlineStr">
        <is>
          <t>Reporting</t>
        </is>
      </c>
      <c r="H332" t="inlineStr">
        <is>
          <t>Performance Issue</t>
        </is>
      </c>
      <c r="I332" t="inlineStr">
        <is>
          <t>This has been a recurring problem for us. Execs gave up on the report load time and ask for screenshots instead. We estimate we lose roughly 46 hours a month on this. We need a fix before renewal.</t>
        </is>
      </c>
      <c r="J332" t="inlineStr">
        <is>
          <t>Negative</t>
        </is>
      </c>
      <c r="K332" t="inlineStr">
        <is>
          <t>Medium</t>
        </is>
      </c>
      <c r="L332" t="inlineStr">
        <is>
          <t>Minor Inconvenience</t>
        </is>
      </c>
      <c r="M332" t="inlineStr">
        <is>
          <t>rep_slow</t>
        </is>
      </c>
      <c r="N332" t="inlineStr">
        <is>
          <t>Slow dashboards</t>
        </is>
      </c>
      <c r="O332" t="inlineStr">
        <is>
          <t>2026-01</t>
        </is>
      </c>
    </row>
    <row r="333">
      <c r="A333" t="inlineStr">
        <is>
          <t>FB-00332</t>
        </is>
      </c>
      <c r="B333" t="inlineStr">
        <is>
          <t>CUST-0409</t>
        </is>
      </c>
      <c r="C333" s="11" t="n">
        <v>46030</v>
      </c>
      <c r="D333" t="inlineStr">
        <is>
          <t>In-App Feedback</t>
        </is>
      </c>
      <c r="E333" t="inlineStr">
        <is>
          <t>Starter</t>
        </is>
      </c>
      <c r="F333" t="inlineStr">
        <is>
          <t>SMB</t>
        </is>
      </c>
      <c r="G333" t="inlineStr">
        <is>
          <t>Contact Management</t>
        </is>
      </c>
      <c r="H333" t="inlineStr">
        <is>
          <t>Bug</t>
        </is>
      </c>
      <c r="I333" t="inlineStr">
        <is>
          <t>Raising this again after our last business review. Our import field mapping scrambles phone and email columns even after we map them correctly. Our finance analyst flagged it while onboarding 60 new users. Please look into it soon.</t>
        </is>
      </c>
      <c r="J333" t="inlineStr">
        <is>
          <t>Negative</t>
        </is>
      </c>
      <c r="K333" t="inlineStr">
        <is>
          <t>High</t>
        </is>
      </c>
      <c r="L333" t="inlineStr">
        <is>
          <t>Blocks Key Task</t>
        </is>
      </c>
      <c r="M333" t="inlineStr">
        <is>
          <t>contact_import</t>
        </is>
      </c>
      <c r="N333" t="inlineStr">
        <is>
          <t>Unreliable contact imports</t>
        </is>
      </c>
      <c r="O333" t="inlineStr">
        <is>
          <t>2026-01</t>
        </is>
      </c>
    </row>
    <row r="334">
      <c r="A334" t="inlineStr">
        <is>
          <t>FB-00333</t>
        </is>
      </c>
      <c r="B334" t="inlineStr">
        <is>
          <t>CUST-0229</t>
        </is>
      </c>
      <c r="C334" s="11" t="n">
        <v>46030</v>
      </c>
      <c r="D334" t="inlineStr">
        <is>
          <t>Feature Request</t>
        </is>
      </c>
      <c r="E334" t="inlineStr">
        <is>
          <t>Starter</t>
        </is>
      </c>
      <c r="F334" t="inlineStr">
        <is>
          <t>Mid-Market</t>
        </is>
      </c>
      <c r="G334" t="inlineStr">
        <is>
          <t>Workflow Automation</t>
        </is>
      </c>
      <c r="H334" t="inlineStr">
        <is>
          <t>Feature Request</t>
        </is>
      </c>
      <c r="I334" t="inlineStr">
        <is>
          <t>Recent updates have been a nice improvement. We'd adopt automation faster with automation recipes we could customize. Our RevOps lead flagged it while onboarding 91 new users.</t>
        </is>
      </c>
      <c r="J334" t="inlineStr">
        <is>
          <t>Positive</t>
        </is>
      </c>
      <c r="K334" t="inlineStr">
        <is>
          <t>Low</t>
        </is>
      </c>
      <c r="L334" t="inlineStr">
        <is>
          <t>Minor Inconvenience</t>
        </is>
      </c>
      <c r="M334" t="inlineStr">
        <is>
          <t>wf_templates</t>
        </is>
      </c>
      <c r="N334" t="inlineStr">
        <is>
          <t>Workflow templates</t>
        </is>
      </c>
      <c r="O334" t="inlineStr">
        <is>
          <t>2026-01</t>
        </is>
      </c>
    </row>
    <row r="335">
      <c r="A335" t="inlineStr">
        <is>
          <t>FB-00334</t>
        </is>
      </c>
      <c r="B335" t="inlineStr">
        <is>
          <t>CUST-0181</t>
        </is>
      </c>
      <c r="C335" s="11" t="n">
        <v>46030</v>
      </c>
      <c r="D335" t="inlineStr">
        <is>
          <t>Customer Survey</t>
        </is>
      </c>
      <c r="E335" t="inlineStr">
        <is>
          <t>Starter</t>
        </is>
      </c>
      <c r="F335" t="inlineStr">
        <is>
          <t>SMB</t>
        </is>
      </c>
      <c r="G335" t="inlineStr">
        <is>
          <t>Integrations</t>
        </is>
      </c>
      <c r="H335" t="inlineStr">
        <is>
          <t>Feature Request</t>
        </is>
      </c>
      <c r="I335" t="inlineStr">
        <is>
          <t>Our team keeps running into this. We would pay for a native Slack integration instead of maintaining Zapier chains. It happens about 12 times a week for our team of 95. We need a fix before renewal.</t>
        </is>
      </c>
      <c r="J335" t="inlineStr">
        <is>
          <t>Negative</t>
        </is>
      </c>
      <c r="K335" t="inlineStr">
        <is>
          <t>Low</t>
        </is>
      </c>
      <c r="L335" t="inlineStr">
        <is>
          <t>Minor Inconvenience</t>
        </is>
      </c>
      <c r="M335" t="inlineStr">
        <is>
          <t>int_native</t>
        </is>
      </c>
      <c r="N335" t="inlineStr">
        <is>
          <t>Native integrations</t>
        </is>
      </c>
      <c r="O335" t="inlineStr">
        <is>
          <t>2026-01</t>
        </is>
      </c>
    </row>
    <row r="336">
      <c r="A336" t="inlineStr">
        <is>
          <t>FB-00335</t>
        </is>
      </c>
      <c r="B336" t="inlineStr">
        <is>
          <t>CUST-0175</t>
        </is>
      </c>
      <c r="C336" s="11" t="n">
        <v>46031</v>
      </c>
      <c r="D336" t="inlineStr">
        <is>
          <t>In-App Feedback</t>
        </is>
      </c>
      <c r="E336" t="inlineStr">
        <is>
          <t>Professional</t>
        </is>
      </c>
      <c r="F336" t="inlineStr">
        <is>
          <t>Mid-Market</t>
        </is>
      </c>
      <c r="G336" t="inlineStr">
        <is>
          <t>User Interface</t>
        </is>
      </c>
      <c r="H336" t="inlineStr">
        <is>
          <t>Performance Issue</t>
        </is>
      </c>
      <c r="I336" t="inlineStr">
        <is>
          <t>Our team keeps running into this. Since the redesign there is more UI freezing on older laptops. Please look into it soon.</t>
        </is>
      </c>
      <c r="J336" t="inlineStr">
        <is>
          <t>Negative</t>
        </is>
      </c>
      <c r="K336" t="inlineStr">
        <is>
          <t>Medium</t>
        </is>
      </c>
      <c r="L336" t="inlineStr">
        <is>
          <t>Blocks Key Task</t>
        </is>
      </c>
      <c r="M336" t="inlineStr">
        <is>
          <t>ui_perf</t>
        </is>
      </c>
      <c r="N336" t="inlineStr">
        <is>
          <t>Laggy pages</t>
        </is>
      </c>
      <c r="O336" t="inlineStr">
        <is>
          <t>2026-01</t>
        </is>
      </c>
    </row>
    <row r="337">
      <c r="A337" t="inlineStr">
        <is>
          <t>FB-00336</t>
        </is>
      </c>
      <c r="B337" t="inlineStr">
        <is>
          <t>CUST-0353</t>
        </is>
      </c>
      <c r="C337" s="11" t="n">
        <v>46031</v>
      </c>
      <c r="D337" t="inlineStr">
        <is>
          <t>In-App Feedback</t>
        </is>
      </c>
      <c r="E337" t="inlineStr">
        <is>
          <t>Starter</t>
        </is>
      </c>
      <c r="F337" t="inlineStr">
        <is>
          <t>SMB</t>
        </is>
      </c>
      <c r="G337" t="inlineStr">
        <is>
          <t>User Interface</t>
        </is>
      </c>
      <c r="H337" t="inlineStr">
        <is>
          <t>Performance Issue</t>
        </is>
      </c>
      <c r="I337" t="inlineStr">
        <is>
          <t>Since the redesign there is more slow page transitions on older laptops. It happens about 8 times a week for our team of 35. We need a fix before renewal.</t>
        </is>
      </c>
      <c r="J337" t="inlineStr">
        <is>
          <t>Negative</t>
        </is>
      </c>
      <c r="K337" t="inlineStr">
        <is>
          <t>Low</t>
        </is>
      </c>
      <c r="L337" t="inlineStr">
        <is>
          <t>Minor Inconvenience</t>
        </is>
      </c>
      <c r="M337" t="inlineStr">
        <is>
          <t>ui_perf</t>
        </is>
      </c>
      <c r="N337" t="inlineStr">
        <is>
          <t>Laggy pages</t>
        </is>
      </c>
      <c r="O337" t="inlineStr">
        <is>
          <t>2026-01</t>
        </is>
      </c>
    </row>
    <row r="338">
      <c r="A338" t="inlineStr">
        <is>
          <t>FB-00337</t>
        </is>
      </c>
      <c r="B338" t="inlineStr">
        <is>
          <t>CUST-0398</t>
        </is>
      </c>
      <c r="C338" s="11" t="n">
        <v>46031</v>
      </c>
      <c r="D338" t="inlineStr">
        <is>
          <t>In-App Feedback</t>
        </is>
      </c>
      <c r="E338" t="inlineStr">
        <is>
          <t>Enterprise</t>
        </is>
      </c>
      <c r="F338" t="inlineStr">
        <is>
          <t>Enterprise</t>
        </is>
      </c>
      <c r="G338" t="inlineStr">
        <is>
          <t>Workflow Automation</t>
        </is>
      </c>
      <c r="H338" t="inlineStr">
        <is>
          <t>Usability Issue</t>
        </is>
      </c>
      <c r="I338" t="inlineStr">
        <is>
          <t>The workflow editor is hard to follow once a flow has more than a handful of steps. It affects our lead handoff process every cycle.</t>
        </is>
      </c>
      <c r="J338" t="inlineStr">
        <is>
          <t>Negative</t>
        </is>
      </c>
      <c r="K338" t="inlineStr">
        <is>
          <t>Medium</t>
        </is>
      </c>
      <c r="L338" t="inlineStr">
        <is>
          <t>Minor Inconvenience</t>
        </is>
      </c>
      <c r="M338" t="inlineStr">
        <is>
          <t>wf_builder</t>
        </is>
      </c>
      <c r="N338" t="inlineStr">
        <is>
          <t>Confusing workflow builder</t>
        </is>
      </c>
      <c r="O338" t="inlineStr">
        <is>
          <t>2026-01</t>
        </is>
      </c>
    </row>
    <row r="339">
      <c r="A339" t="inlineStr">
        <is>
          <t>FB-00338</t>
        </is>
      </c>
      <c r="B339" t="inlineStr">
        <is>
          <t>CUST-0032</t>
        </is>
      </c>
      <c r="C339" s="11" t="n">
        <v>46031</v>
      </c>
      <c r="D339" t="inlineStr">
        <is>
          <t>In-App Feedback</t>
        </is>
      </c>
      <c r="E339" t="inlineStr">
        <is>
          <t>Starter</t>
        </is>
      </c>
      <c r="F339" t="inlineStr">
        <is>
          <t>SMB</t>
        </is>
      </c>
      <c r="G339" t="inlineStr">
        <is>
          <t>Contact Management</t>
        </is>
      </c>
      <c r="H339" t="inlineStr">
        <is>
          <t>Bug</t>
        </is>
      </c>
      <c r="I339" t="inlineStr">
        <is>
          <t>Raising this again after our last business review. The import field mapping silently skipped rows and we only noticed days later. Please look into it soon.</t>
        </is>
      </c>
      <c r="J339" t="inlineStr">
        <is>
          <t>Negative</t>
        </is>
      </c>
      <c r="K339" t="inlineStr">
        <is>
          <t>Medium</t>
        </is>
      </c>
      <c r="L339" t="inlineStr">
        <is>
          <t>Blocks Key Task</t>
        </is>
      </c>
      <c r="M339" t="inlineStr">
        <is>
          <t>contact_import</t>
        </is>
      </c>
      <c r="N339" t="inlineStr">
        <is>
          <t>Unreliable contact imports</t>
        </is>
      </c>
      <c r="O339" t="inlineStr">
        <is>
          <t>2026-01</t>
        </is>
      </c>
    </row>
    <row r="340">
      <c r="A340" t="inlineStr">
        <is>
          <t>FB-00339</t>
        </is>
      </c>
      <c r="B340" t="inlineStr">
        <is>
          <t>CUST-0080</t>
        </is>
      </c>
      <c r="C340" s="11" t="n">
        <v>46031</v>
      </c>
      <c r="D340" t="inlineStr">
        <is>
          <t>Support Ticket</t>
        </is>
      </c>
      <c r="E340" t="inlineStr">
        <is>
          <t>Professional</t>
        </is>
      </c>
      <c r="F340" t="inlineStr">
        <is>
          <t>Mid-Market</t>
        </is>
      </c>
      <c r="G340" t="inlineStr">
        <is>
          <t>Reporting</t>
        </is>
      </c>
      <c r="H340" t="inlineStr">
        <is>
          <t>Bug</t>
        </is>
      </c>
      <c r="I340" t="inlineStr">
        <is>
          <t>Our Excel export drops formatting and shows dates as numbers. Our marketing ops owner flagged it while onboarding 60 new users. Please look into it soon.</t>
        </is>
      </c>
      <c r="J340" t="inlineStr">
        <is>
          <t>Negative</t>
        </is>
      </c>
      <c r="K340" t="inlineStr">
        <is>
          <t>Medium</t>
        </is>
      </c>
      <c r="L340" t="inlineStr">
        <is>
          <t>Workflow Slowdown</t>
        </is>
      </c>
      <c r="M340" t="inlineStr">
        <is>
          <t>rep_export</t>
        </is>
      </c>
      <c r="N340" t="inlineStr">
        <is>
          <t>Broken report exports</t>
        </is>
      </c>
      <c r="O340" t="inlineStr">
        <is>
          <t>2026-01</t>
        </is>
      </c>
    </row>
    <row r="341">
      <c r="A341" t="inlineStr">
        <is>
          <t>FB-00340</t>
        </is>
      </c>
      <c r="B341" t="inlineStr">
        <is>
          <t>CUST-0384</t>
        </is>
      </c>
      <c r="C341" s="11" t="n">
        <v>46031</v>
      </c>
      <c r="D341" t="inlineStr">
        <is>
          <t>Customer Survey</t>
        </is>
      </c>
      <c r="E341" t="inlineStr">
        <is>
          <t>Enterprise</t>
        </is>
      </c>
      <c r="F341" t="inlineStr">
        <is>
          <t>Mid-Market</t>
        </is>
      </c>
      <c r="G341" t="inlineStr">
        <is>
          <t>Workflow Automation</t>
        </is>
      </c>
      <c r="H341" t="inlineStr">
        <is>
          <t>Feature Request</t>
        </is>
      </c>
      <c r="I341" t="inlineStr">
        <is>
          <t>We'd adopt automation faster with prebuilt automations we could customize. So far 46 people on our side have reported it.</t>
        </is>
      </c>
      <c r="J341" t="inlineStr">
        <is>
          <t>Neutral</t>
        </is>
      </c>
      <c r="K341" t="inlineStr">
        <is>
          <t>High</t>
        </is>
      </c>
      <c r="L341" t="inlineStr">
        <is>
          <t>Blocks Key Task</t>
        </is>
      </c>
      <c r="M341" t="inlineStr">
        <is>
          <t>wf_templates</t>
        </is>
      </c>
      <c r="N341" t="inlineStr">
        <is>
          <t>Workflow templates</t>
        </is>
      </c>
      <c r="O341" t="inlineStr">
        <is>
          <t>2026-01</t>
        </is>
      </c>
    </row>
    <row r="342">
      <c r="A342" t="inlineStr">
        <is>
          <t>FB-00341</t>
        </is>
      </c>
      <c r="B342" t="inlineStr">
        <is>
          <t>CUST-0092</t>
        </is>
      </c>
      <c r="C342" s="11" t="n">
        <v>46032</v>
      </c>
      <c r="D342" t="inlineStr">
        <is>
          <t>In-App Feedback</t>
        </is>
      </c>
      <c r="E342" t="inlineStr">
        <is>
          <t>Professional</t>
        </is>
      </c>
      <c r="F342" t="inlineStr">
        <is>
          <t>Mid-Market</t>
        </is>
      </c>
      <c r="G342" t="inlineStr">
        <is>
          <t>Contact Management</t>
        </is>
      </c>
      <c r="H342" t="inlineStr">
        <is>
          <t>Bug</t>
        </is>
      </c>
      <c r="I342" t="inlineStr">
        <is>
          <t>Noting this during onboarding. The contact CSV import fails halfway through with a generic error and no row-level detail. Our customer success lead flagged it while onboarding 112 new users. Happy to join a feedback call.</t>
        </is>
      </c>
      <c r="J342" t="inlineStr">
        <is>
          <t>Neutral</t>
        </is>
      </c>
      <c r="K342" t="inlineStr">
        <is>
          <t>High</t>
        </is>
      </c>
      <c r="L342" t="inlineStr">
        <is>
          <t>Workflow Slowdown</t>
        </is>
      </c>
      <c r="M342" t="inlineStr">
        <is>
          <t>contact_import</t>
        </is>
      </c>
      <c r="N342" t="inlineStr">
        <is>
          <t>Unreliable contact imports</t>
        </is>
      </c>
      <c r="O342" t="inlineStr">
        <is>
          <t>2026-01</t>
        </is>
      </c>
    </row>
    <row r="343">
      <c r="A343" t="inlineStr">
        <is>
          <t>FB-00342</t>
        </is>
      </c>
      <c r="B343" t="inlineStr">
        <is>
          <t>CUST-0032</t>
        </is>
      </c>
      <c r="C343" s="11" t="n">
        <v>46032</v>
      </c>
      <c r="D343" t="inlineStr">
        <is>
          <t>Support Ticket</t>
        </is>
      </c>
      <c r="E343" t="inlineStr">
        <is>
          <t>Starter</t>
        </is>
      </c>
      <c r="F343" t="inlineStr">
        <is>
          <t>SMB</t>
        </is>
      </c>
      <c r="G343" t="inlineStr">
        <is>
          <t>Lead Management</t>
        </is>
      </c>
      <c r="H343" t="inlineStr">
        <is>
          <t>Usability Issue</t>
        </is>
      </c>
      <c r="I343" t="inlineStr">
        <is>
          <t>Our team keeps running into this. It is hard to understand how lead assignment settings decide who owns a lead. Our customer success lead flagged it while onboarding 22 new users. Please look into it soon.</t>
        </is>
      </c>
      <c r="J343" t="inlineStr">
        <is>
          <t>Negative</t>
        </is>
      </c>
      <c r="K343" t="inlineStr">
        <is>
          <t>Low</t>
        </is>
      </c>
      <c r="L343" t="inlineStr">
        <is>
          <t>Minor Inconvenience</t>
        </is>
      </c>
      <c r="M343" t="inlineStr">
        <is>
          <t>lead_assign</t>
        </is>
      </c>
      <c r="N343" t="inlineStr">
        <is>
          <t>Lead routing is inflexible</t>
        </is>
      </c>
      <c r="O343" t="inlineStr">
        <is>
          <t>2026-01</t>
        </is>
      </c>
    </row>
    <row r="344">
      <c r="A344" t="inlineStr">
        <is>
          <t>FB-00343</t>
        </is>
      </c>
      <c r="B344" t="inlineStr">
        <is>
          <t>CUST-0107</t>
        </is>
      </c>
      <c r="C344" s="11" t="n">
        <v>46032</v>
      </c>
      <c r="D344" t="inlineStr">
        <is>
          <t>Support Ticket</t>
        </is>
      </c>
      <c r="E344" t="inlineStr">
        <is>
          <t>Starter</t>
        </is>
      </c>
      <c r="F344" t="inlineStr">
        <is>
          <t>SMB</t>
        </is>
      </c>
      <c r="G344" t="inlineStr">
        <is>
          <t>Contact Management</t>
        </is>
      </c>
      <c r="H344" t="inlineStr">
        <is>
          <t>Performance Issue</t>
        </is>
      </c>
      <c r="I344" t="inlineStr">
        <is>
          <t>Feedback from our monthly review. Our saved contact filters is slow and often returns stale results right after an update.</t>
        </is>
      </c>
      <c r="J344" t="inlineStr">
        <is>
          <t>Neutral</t>
        </is>
      </c>
      <c r="K344" t="inlineStr">
        <is>
          <t>Low</t>
        </is>
      </c>
      <c r="L344" t="inlineStr">
        <is>
          <t>Minor Inconvenience</t>
        </is>
      </c>
      <c r="M344" t="inlineStr">
        <is>
          <t>contact_search</t>
        </is>
      </c>
      <c r="N344" t="inlineStr">
        <is>
          <t>Slow contact search</t>
        </is>
      </c>
      <c r="O344" t="inlineStr">
        <is>
          <t>2026-01</t>
        </is>
      </c>
    </row>
    <row r="345">
      <c r="A345" t="inlineStr">
        <is>
          <t>FB-00344</t>
        </is>
      </c>
      <c r="B345" t="inlineStr">
        <is>
          <t>CUST-0298</t>
        </is>
      </c>
      <c r="C345" s="11" t="n">
        <v>46032</v>
      </c>
      <c r="D345" t="inlineStr">
        <is>
          <t>Support Ticket</t>
        </is>
      </c>
      <c r="E345" t="inlineStr">
        <is>
          <t>Professional</t>
        </is>
      </c>
      <c r="F345" t="inlineStr">
        <is>
          <t>SMB</t>
        </is>
      </c>
      <c r="G345" t="inlineStr">
        <is>
          <t>Lead Management</t>
        </is>
      </c>
      <c r="H345" t="inlineStr">
        <is>
          <t>Bug</t>
        </is>
      </c>
      <c r="I345" t="inlineStr">
        <is>
          <t>Web form submissions keep creating lead de-duplication failures, and reps end up calling the same prospect twice. So far 71 people on our side have reported it. We need a fix before renewal.</t>
        </is>
      </c>
      <c r="J345" t="inlineStr">
        <is>
          <t>Negative</t>
        </is>
      </c>
      <c r="K345" t="inlineStr">
        <is>
          <t>Medium</t>
        </is>
      </c>
      <c r="L345" t="inlineStr">
        <is>
          <t>Minor Inconvenience</t>
        </is>
      </c>
      <c r="M345" t="inlineStr">
        <is>
          <t>lead_dup</t>
        </is>
      </c>
      <c r="N345" t="inlineStr">
        <is>
          <t>Duplicate leads created</t>
        </is>
      </c>
      <c r="O345" t="inlineStr">
        <is>
          <t>2026-01</t>
        </is>
      </c>
    </row>
    <row r="346">
      <c r="A346" t="inlineStr">
        <is>
          <t>FB-00345</t>
        </is>
      </c>
      <c r="B346" t="inlineStr">
        <is>
          <t>CUST-0178</t>
        </is>
      </c>
      <c r="C346" s="11" t="n">
        <v>46032</v>
      </c>
      <c r="D346" t="inlineStr">
        <is>
          <t>Support Ticket</t>
        </is>
      </c>
      <c r="E346" t="inlineStr">
        <is>
          <t>Starter</t>
        </is>
      </c>
      <c r="F346" t="inlineStr">
        <is>
          <t>SMB</t>
        </is>
      </c>
      <c r="G346" t="inlineStr">
        <is>
          <t>Lead Management</t>
        </is>
      </c>
      <c r="H346" t="inlineStr">
        <is>
          <t>Bug</t>
        </is>
      </c>
      <c r="I346" t="inlineStr">
        <is>
          <t>Not what we expected for the price. Web form submissions keep creating lead de-duplication failures, and reps end up calling the same prospect twice. We estimate we lose roughly 58 hours a month on this. Support suggested logging it here.</t>
        </is>
      </c>
      <c r="J346" t="inlineStr">
        <is>
          <t>Negative</t>
        </is>
      </c>
      <c r="K346" t="inlineStr">
        <is>
          <t>Medium</t>
        </is>
      </c>
      <c r="L346" t="inlineStr">
        <is>
          <t>Minor Inconvenience</t>
        </is>
      </c>
      <c r="M346" t="inlineStr">
        <is>
          <t>lead_dup</t>
        </is>
      </c>
      <c r="N346" t="inlineStr">
        <is>
          <t>Duplicate leads created</t>
        </is>
      </c>
      <c r="O346" t="inlineStr">
        <is>
          <t>2026-01</t>
        </is>
      </c>
    </row>
    <row r="347">
      <c r="A347" t="inlineStr">
        <is>
          <t>FB-00346</t>
        </is>
      </c>
      <c r="B347" t="inlineStr">
        <is>
          <t>CUST-0096</t>
        </is>
      </c>
      <c r="C347" s="11" t="n">
        <v>46032</v>
      </c>
      <c r="D347" t="inlineStr">
        <is>
          <t>Support Ticket</t>
        </is>
      </c>
      <c r="E347" t="inlineStr">
        <is>
          <t>Enterprise</t>
        </is>
      </c>
      <c r="F347" t="inlineStr">
        <is>
          <t>Enterprise</t>
        </is>
      </c>
      <c r="G347" t="inlineStr">
        <is>
          <t>Integrations</t>
        </is>
      </c>
      <c r="H347" t="inlineStr">
        <is>
          <t>Feature Request</t>
        </is>
      </c>
      <c r="I347" t="inlineStr">
        <is>
          <t>FYI for the product team. Our security team requires SSO support before we can expand seats. So far 51 people on our side have reported it. Let us know if you need examples.</t>
        </is>
      </c>
      <c r="J347" t="inlineStr">
        <is>
          <t>Neutral</t>
        </is>
      </c>
      <c r="K347" t="inlineStr">
        <is>
          <t>Low</t>
        </is>
      </c>
      <c r="L347" t="inlineStr">
        <is>
          <t>Workflow Slowdown</t>
        </is>
      </c>
      <c r="M347" t="inlineStr">
        <is>
          <t>int_sso</t>
        </is>
      </c>
      <c r="N347" t="inlineStr">
        <is>
          <t>SSO and provisioning</t>
        </is>
      </c>
      <c r="O347" t="inlineStr">
        <is>
          <t>2026-01</t>
        </is>
      </c>
    </row>
    <row r="348">
      <c r="A348" t="inlineStr">
        <is>
          <t>FB-00347</t>
        </is>
      </c>
      <c r="B348" t="inlineStr">
        <is>
          <t>CUST-0220</t>
        </is>
      </c>
      <c r="C348" s="11" t="n">
        <v>46032</v>
      </c>
      <c r="D348" t="inlineStr">
        <is>
          <t>In-App Feedback</t>
        </is>
      </c>
      <c r="E348" t="inlineStr">
        <is>
          <t>Professional</t>
        </is>
      </c>
      <c r="F348" t="inlineStr">
        <is>
          <t>Mid-Market</t>
        </is>
      </c>
      <c r="G348" t="inlineStr">
        <is>
          <t>Contact Management</t>
        </is>
      </c>
      <c r="H348" t="inlineStr">
        <is>
          <t>Bug</t>
        </is>
      </c>
      <c r="I348" t="inlineStr">
        <is>
          <t>The contact CSV import rejects files with accented characters in names. Support suggested logging it here.</t>
        </is>
      </c>
      <c r="J348" t="inlineStr">
        <is>
          <t>Negative</t>
        </is>
      </c>
      <c r="K348" t="inlineStr">
        <is>
          <t>Low</t>
        </is>
      </c>
      <c r="L348" t="inlineStr">
        <is>
          <t>Minor Inconvenience</t>
        </is>
      </c>
      <c r="M348" t="inlineStr">
        <is>
          <t>contact_import</t>
        </is>
      </c>
      <c r="N348" t="inlineStr">
        <is>
          <t>Unreliable contact imports</t>
        </is>
      </c>
      <c r="O348" t="inlineStr">
        <is>
          <t>2026-01</t>
        </is>
      </c>
    </row>
    <row r="349">
      <c r="A349" t="inlineStr">
        <is>
          <t>FB-00348</t>
        </is>
      </c>
      <c r="B349" t="inlineStr">
        <is>
          <t>CUST-0262</t>
        </is>
      </c>
      <c r="C349" s="11" t="n">
        <v>46033</v>
      </c>
      <c r="D349" t="inlineStr">
        <is>
          <t>Feature Request</t>
        </is>
      </c>
      <c r="E349" t="inlineStr">
        <is>
          <t>Professional</t>
        </is>
      </c>
      <c r="F349" t="inlineStr">
        <is>
          <t>Mid-Market</t>
        </is>
      </c>
      <c r="G349" t="inlineStr">
        <is>
          <t>Reporting</t>
        </is>
      </c>
      <c r="H349" t="inlineStr">
        <is>
          <t>Feature Request</t>
        </is>
      </c>
      <c r="I349" t="inlineStr">
        <is>
          <t>Without report scheduling we export raw data and rebuild everything elsewhere. We estimate we lose roughly 37 hours a month on this. Happy to join a feedback call.</t>
        </is>
      </c>
      <c r="J349" t="inlineStr">
        <is>
          <t>Neutral</t>
        </is>
      </c>
      <c r="K349" t="inlineStr">
        <is>
          <t>High</t>
        </is>
      </c>
      <c r="L349" t="inlineStr">
        <is>
          <t>Blocks Key Task</t>
        </is>
      </c>
      <c r="M349" t="inlineStr">
        <is>
          <t>rep_custom</t>
        </is>
      </c>
      <c r="N349" t="inlineStr">
        <is>
          <t>Custom and scheduled reports</t>
        </is>
      </c>
      <c r="O349" t="inlineStr">
        <is>
          <t>2026-01</t>
        </is>
      </c>
    </row>
    <row r="350">
      <c r="A350" t="inlineStr">
        <is>
          <t>FB-00349</t>
        </is>
      </c>
      <c r="B350" t="inlineStr">
        <is>
          <t>CUST-0202</t>
        </is>
      </c>
      <c r="C350" s="11" t="n">
        <v>46034</v>
      </c>
      <c r="D350" t="inlineStr">
        <is>
          <t>In-App Feedback</t>
        </is>
      </c>
      <c r="E350" t="inlineStr">
        <is>
          <t>Enterprise</t>
        </is>
      </c>
      <c r="F350" t="inlineStr">
        <is>
          <t>Enterprise</t>
        </is>
      </c>
      <c r="G350" t="inlineStr">
        <is>
          <t>Reporting</t>
        </is>
      </c>
      <c r="H350" t="inlineStr">
        <is>
          <t>Feature Request</t>
        </is>
      </c>
      <c r="I350" t="inlineStr">
        <is>
          <t>Requesting report scheduling so leadership gets numbers without logging in. Please look into it soon.</t>
        </is>
      </c>
      <c r="J350" t="inlineStr">
        <is>
          <t>Negative</t>
        </is>
      </c>
      <c r="K350" t="inlineStr">
        <is>
          <t>High</t>
        </is>
      </c>
      <c r="L350" t="inlineStr">
        <is>
          <t>Blocks Key Task</t>
        </is>
      </c>
      <c r="M350" t="inlineStr">
        <is>
          <t>rep_custom</t>
        </is>
      </c>
      <c r="N350" t="inlineStr">
        <is>
          <t>Custom and scheduled reports</t>
        </is>
      </c>
      <c r="O350" t="inlineStr">
        <is>
          <t>2026-01</t>
        </is>
      </c>
    </row>
    <row r="351">
      <c r="A351" t="inlineStr">
        <is>
          <t>FB-00350</t>
        </is>
      </c>
      <c r="B351" t="inlineStr">
        <is>
          <t>CUST-0139</t>
        </is>
      </c>
      <c r="C351" s="11" t="n">
        <v>46034</v>
      </c>
      <c r="D351" t="inlineStr">
        <is>
          <t>Support Ticket</t>
        </is>
      </c>
      <c r="E351" t="inlineStr">
        <is>
          <t>Professional</t>
        </is>
      </c>
      <c r="F351" t="inlineStr">
        <is>
          <t>Mid-Market</t>
        </is>
      </c>
      <c r="G351" t="inlineStr">
        <is>
          <t>Integrations</t>
        </is>
      </c>
      <c r="H351" t="inlineStr">
        <is>
          <t>Integration Issue</t>
        </is>
      </c>
      <c r="I351" t="inlineStr">
        <is>
          <t>After the token expires, Gmail sync stops with no warning. It happens about 10 times a week for our team of 48. We need a fix before renewal.</t>
        </is>
      </c>
      <c r="J351" t="inlineStr">
        <is>
          <t>Negative</t>
        </is>
      </c>
      <c r="K351" t="inlineStr">
        <is>
          <t>Low</t>
        </is>
      </c>
      <c r="L351" t="inlineStr">
        <is>
          <t>Minor Inconvenience</t>
        </is>
      </c>
      <c r="M351" t="inlineStr">
        <is>
          <t>int_email</t>
        </is>
      </c>
      <c r="N351" t="inlineStr">
        <is>
          <t>Email and calendar sync drops</t>
        </is>
      </c>
      <c r="O351" t="inlineStr">
        <is>
          <t>2026-01</t>
        </is>
      </c>
    </row>
    <row r="352">
      <c r="A352" t="inlineStr">
        <is>
          <t>FB-00351</t>
        </is>
      </c>
      <c r="B352" t="inlineStr">
        <is>
          <t>CUST-0193</t>
        </is>
      </c>
      <c r="C352" s="11" t="n">
        <v>46034</v>
      </c>
      <c r="D352" t="inlineStr">
        <is>
          <t>In-App Feedback</t>
        </is>
      </c>
      <c r="E352" t="inlineStr">
        <is>
          <t>Starter</t>
        </is>
      </c>
      <c r="F352" t="inlineStr">
        <is>
          <t>SMB</t>
        </is>
      </c>
      <c r="G352" t="inlineStr">
        <is>
          <t>Contact Management</t>
        </is>
      </c>
      <c r="H352" t="inlineStr">
        <is>
          <t>Performance Issue</t>
        </is>
      </c>
      <c r="I352" t="inlineStr">
        <is>
          <t>Raising this again after our last business review. The saved contact filters times out on our largest accounts. We estimate we lose roughly 44 hours a month on this. Is there a workaround?</t>
        </is>
      </c>
      <c r="J352" t="inlineStr">
        <is>
          <t>Negative</t>
        </is>
      </c>
      <c r="K352" t="inlineStr">
        <is>
          <t>Medium</t>
        </is>
      </c>
      <c r="L352" t="inlineStr">
        <is>
          <t>Workflow Slowdown</t>
        </is>
      </c>
      <c r="M352" t="inlineStr">
        <is>
          <t>contact_search</t>
        </is>
      </c>
      <c r="N352" t="inlineStr">
        <is>
          <t>Slow contact search</t>
        </is>
      </c>
      <c r="O352" t="inlineStr">
        <is>
          <t>2026-01</t>
        </is>
      </c>
    </row>
    <row r="353">
      <c r="A353" t="inlineStr">
        <is>
          <t>FB-00352</t>
        </is>
      </c>
      <c r="B353" t="inlineStr">
        <is>
          <t>CUST-0164</t>
        </is>
      </c>
      <c r="C353" s="11" t="n">
        <v>46034</v>
      </c>
      <c r="D353" t="inlineStr">
        <is>
          <t>In-App Feedback</t>
        </is>
      </c>
      <c r="E353" t="inlineStr">
        <is>
          <t>Starter</t>
        </is>
      </c>
      <c r="F353" t="inlineStr">
        <is>
          <t>SMB</t>
        </is>
      </c>
      <c r="G353" t="inlineStr">
        <is>
          <t>Workflow Automation</t>
        </is>
      </c>
      <c r="H353" t="inlineStr">
        <is>
          <t>Usability Issue</t>
        </is>
      </c>
      <c r="I353" t="inlineStr">
        <is>
          <t>FYI for the product team. Our new admins struggle with the workflow builder; there is no guidance or validation. We estimate we lose roughly 30 hours a month on this.</t>
        </is>
      </c>
      <c r="J353" t="inlineStr">
        <is>
          <t>Neutral</t>
        </is>
      </c>
      <c r="K353" t="inlineStr">
        <is>
          <t>Medium</t>
        </is>
      </c>
      <c r="L353" t="inlineStr">
        <is>
          <t>Revenue/Operations Risk</t>
        </is>
      </c>
      <c r="M353" t="inlineStr">
        <is>
          <t>wf_builder</t>
        </is>
      </c>
      <c r="N353" t="inlineStr">
        <is>
          <t>Confusing workflow builder</t>
        </is>
      </c>
      <c r="O353" t="inlineStr">
        <is>
          <t>2026-01</t>
        </is>
      </c>
    </row>
    <row r="354">
      <c r="A354" t="inlineStr">
        <is>
          <t>FB-00353</t>
        </is>
      </c>
      <c r="B354" t="inlineStr">
        <is>
          <t>CUST-0303</t>
        </is>
      </c>
      <c r="C354" s="11" t="n">
        <v>46035</v>
      </c>
      <c r="D354" t="inlineStr">
        <is>
          <t>Feature Request</t>
        </is>
      </c>
      <c r="E354" t="inlineStr">
        <is>
          <t>Professional</t>
        </is>
      </c>
      <c r="F354" t="inlineStr">
        <is>
          <t>Enterprise</t>
        </is>
      </c>
      <c r="G354" t="inlineStr">
        <is>
          <t>User Interface</t>
        </is>
      </c>
      <c r="H354" t="inlineStr">
        <is>
          <t>Feature Request</t>
        </is>
      </c>
      <c r="I354" t="inlineStr">
        <is>
          <t>Feedback from our monthly review. We need multi-select actions to update owners and stages for many records at once.</t>
        </is>
      </c>
      <c r="J354" t="inlineStr">
        <is>
          <t>Neutral</t>
        </is>
      </c>
      <c r="K354" t="inlineStr">
        <is>
          <t>Low</t>
        </is>
      </c>
      <c r="L354" t="inlineStr">
        <is>
          <t>Unknown</t>
        </is>
      </c>
      <c r="M354" t="inlineStr">
        <is>
          <t>ui_bulk</t>
        </is>
      </c>
      <c r="N354" t="inlineStr">
        <is>
          <t>Bulk actions</t>
        </is>
      </c>
      <c r="O354" t="inlineStr">
        <is>
          <t>2026-01</t>
        </is>
      </c>
    </row>
    <row r="355">
      <c r="A355" t="inlineStr">
        <is>
          <t>FB-00354</t>
        </is>
      </c>
      <c r="B355" t="inlineStr">
        <is>
          <t>CUST-0080</t>
        </is>
      </c>
      <c r="C355" s="11" t="n">
        <v>46035</v>
      </c>
      <c r="D355" t="inlineStr">
        <is>
          <t>In-App Feedback</t>
        </is>
      </c>
      <c r="E355" t="inlineStr">
        <is>
          <t>Professional</t>
        </is>
      </c>
      <c r="F355" t="inlineStr">
        <is>
          <t>Mid-Market</t>
        </is>
      </c>
      <c r="G355" t="inlineStr">
        <is>
          <t>Workflow Automation</t>
        </is>
      </c>
      <c r="H355" t="inlineStr">
        <is>
          <t>Feature Request</t>
        </is>
      </c>
      <c r="I355" t="inlineStr">
        <is>
          <t>Competitors ship workflow templates; we are rebuilding the same flows from scratch.</t>
        </is>
      </c>
      <c r="J355" t="inlineStr">
        <is>
          <t>Neutral</t>
        </is>
      </c>
      <c r="K355" t="inlineStr">
        <is>
          <t>Low</t>
        </is>
      </c>
      <c r="L355" t="inlineStr">
        <is>
          <t>Workflow Slowdown</t>
        </is>
      </c>
      <c r="M355" t="inlineStr">
        <is>
          <t>wf_templates</t>
        </is>
      </c>
      <c r="N355" t="inlineStr">
        <is>
          <t>Workflow templates</t>
        </is>
      </c>
      <c r="O355" t="inlineStr">
        <is>
          <t>2026-01</t>
        </is>
      </c>
    </row>
    <row r="356">
      <c r="A356" t="inlineStr">
        <is>
          <t>FB-00355</t>
        </is>
      </c>
      <c r="B356" t="inlineStr">
        <is>
          <t>CUST-0099</t>
        </is>
      </c>
      <c r="C356" s="11" t="n">
        <v>46036</v>
      </c>
      <c r="D356" t="inlineStr">
        <is>
          <t>Feature Request</t>
        </is>
      </c>
      <c r="E356" t="inlineStr">
        <is>
          <t>Starter</t>
        </is>
      </c>
      <c r="F356" t="inlineStr">
        <is>
          <t>Mid-Market</t>
        </is>
      </c>
      <c r="G356" t="inlineStr">
        <is>
          <t>User Interface</t>
        </is>
      </c>
      <c r="H356" t="inlineStr">
        <is>
          <t>Feature Request</t>
        </is>
      </c>
      <c r="I356" t="inlineStr">
        <is>
          <t>Noting this during onboarding. Requesting a mobile app so reps can log activity right after a meeting. Our RevOps lead flagged it while onboarding 70 new users.</t>
        </is>
      </c>
      <c r="J356" t="inlineStr">
        <is>
          <t>Neutral</t>
        </is>
      </c>
      <c r="K356" t="inlineStr">
        <is>
          <t>Low</t>
        </is>
      </c>
      <c r="L356" t="inlineStr">
        <is>
          <t>Minor Inconvenience</t>
        </is>
      </c>
      <c r="M356" t="inlineStr">
        <is>
          <t>ui_mobile</t>
        </is>
      </c>
      <c r="N356" t="inlineStr">
        <is>
          <t>Mobile app</t>
        </is>
      </c>
      <c r="O356" t="inlineStr">
        <is>
          <t>2026-01</t>
        </is>
      </c>
    </row>
    <row r="357">
      <c r="A357" t="inlineStr">
        <is>
          <t>FB-00356</t>
        </is>
      </c>
      <c r="B357" t="inlineStr">
        <is>
          <t>CUST-0314</t>
        </is>
      </c>
      <c r="C357" s="11" t="n">
        <v>46036</v>
      </c>
      <c r="D357" t="inlineStr">
        <is>
          <t>Customer Survey</t>
        </is>
      </c>
      <c r="E357" t="inlineStr">
        <is>
          <t>Enterprise</t>
        </is>
      </c>
      <c r="F357" t="inlineStr">
        <is>
          <t>Mid-Market</t>
        </is>
      </c>
      <c r="G357" t="inlineStr">
        <is>
          <t>Contact Management</t>
        </is>
      </c>
      <c r="H357" t="inlineStr">
        <is>
          <t>Feature Request</t>
        </is>
      </c>
      <c r="I357" t="inlineStr">
        <is>
          <t>Sharing this from our team. Lacking custom contact fields forces us to keep a parallel spreadsheet. It affects our weekly pipeline review process every cycle. Let us know if you need examples.</t>
        </is>
      </c>
      <c r="J357" t="inlineStr">
        <is>
          <t>Neutral</t>
        </is>
      </c>
      <c r="K357" t="inlineStr">
        <is>
          <t>Low</t>
        </is>
      </c>
      <c r="L357" t="inlineStr">
        <is>
          <t>Minor Inconvenience</t>
        </is>
      </c>
      <c r="M357" t="inlineStr">
        <is>
          <t>contact_custom</t>
        </is>
      </c>
      <c r="N357" t="inlineStr">
        <is>
          <t>Custom fields and hierarchy</t>
        </is>
      </c>
      <c r="O357" t="inlineStr">
        <is>
          <t>2026-01</t>
        </is>
      </c>
    </row>
    <row r="358">
      <c r="A358" t="inlineStr">
        <is>
          <t>FB-00357</t>
        </is>
      </c>
      <c r="B358" t="inlineStr">
        <is>
          <t>CUST-0128</t>
        </is>
      </c>
      <c r="C358" s="11" t="n">
        <v>46036</v>
      </c>
      <c r="D358" t="inlineStr">
        <is>
          <t>In-App Feedback</t>
        </is>
      </c>
      <c r="E358" t="inlineStr">
        <is>
          <t>Professional</t>
        </is>
      </c>
      <c r="F358" t="inlineStr">
        <is>
          <t>SMB</t>
        </is>
      </c>
      <c r="G358" t="inlineStr">
        <is>
          <t>Reporting</t>
        </is>
      </c>
      <c r="H358" t="inlineStr">
        <is>
          <t>Feature Request</t>
        </is>
      </c>
      <c r="I358" t="inlineStr">
        <is>
          <t>Raising this again after our last business review. Please add forecast rollups; managers keep a separate spreadsheet. Our marketing ops owner flagged it while onboarding 90 new users.</t>
        </is>
      </c>
      <c r="J358" t="inlineStr">
        <is>
          <t>Negative</t>
        </is>
      </c>
      <c r="K358" t="inlineStr">
        <is>
          <t>High</t>
        </is>
      </c>
      <c r="L358" t="inlineStr">
        <is>
          <t>Blocks Key Task</t>
        </is>
      </c>
      <c r="M358" t="inlineStr">
        <is>
          <t>rep_forecast</t>
        </is>
      </c>
      <c r="N358" t="inlineStr">
        <is>
          <t>Sales forecasting</t>
        </is>
      </c>
      <c r="O358" t="inlineStr">
        <is>
          <t>2026-01</t>
        </is>
      </c>
    </row>
    <row r="359">
      <c r="A359" t="inlineStr">
        <is>
          <t>FB-00358</t>
        </is>
      </c>
      <c r="B359" t="inlineStr">
        <is>
          <t>CUST-0201</t>
        </is>
      </c>
      <c r="C359" s="11" t="n">
        <v>46037</v>
      </c>
      <c r="D359" t="inlineStr">
        <is>
          <t>Support Ticket</t>
        </is>
      </c>
      <c r="E359" t="inlineStr">
        <is>
          <t>Starter</t>
        </is>
      </c>
      <c r="F359" t="inlineStr">
        <is>
          <t>SMB</t>
        </is>
      </c>
      <c r="G359" t="inlineStr">
        <is>
          <t>User Interface</t>
        </is>
      </c>
      <c r="H359" t="inlineStr">
        <is>
          <t>Feature Request</t>
        </is>
      </c>
      <c r="I359" t="inlineStr">
        <is>
          <t>Frustrated with this one. Please prioritize offline mobile access; the mobile web view is hard to use. So far 113 people on our side have reported it. We need a fix before renewal.</t>
        </is>
      </c>
      <c r="J359" t="inlineStr">
        <is>
          <t>Negative</t>
        </is>
      </c>
      <c r="K359" t="inlineStr">
        <is>
          <t>Medium</t>
        </is>
      </c>
      <c r="L359" t="inlineStr">
        <is>
          <t>Blocks Key Task</t>
        </is>
      </c>
      <c r="M359" t="inlineStr">
        <is>
          <t>ui_mobile</t>
        </is>
      </c>
      <c r="N359" t="inlineStr">
        <is>
          <t>Mobile app</t>
        </is>
      </c>
      <c r="O359" t="inlineStr">
        <is>
          <t>2026-01</t>
        </is>
      </c>
    </row>
    <row r="360">
      <c r="A360" t="inlineStr">
        <is>
          <t>FB-00359</t>
        </is>
      </c>
      <c r="B360" t="inlineStr">
        <is>
          <t>CUST-0063</t>
        </is>
      </c>
      <c r="C360" s="11" t="n">
        <v>46037</v>
      </c>
      <c r="D360" t="inlineStr">
        <is>
          <t>In-App Feedback</t>
        </is>
      </c>
      <c r="E360" t="inlineStr">
        <is>
          <t>Starter</t>
        </is>
      </c>
      <c r="F360" t="inlineStr">
        <is>
          <t>SMB</t>
        </is>
      </c>
      <c r="G360" t="inlineStr">
        <is>
          <t>Workflow Automation</t>
        </is>
      </c>
      <c r="H360" t="inlineStr">
        <is>
          <t>Usability Issue</t>
        </is>
      </c>
      <c r="I360" t="inlineStr">
        <is>
          <t>Recent updates have been a nice improvement. The workflow builder is hard to follow once a flow has more than a handful of steps. Happy to beta test.</t>
        </is>
      </c>
      <c r="J360" t="inlineStr">
        <is>
          <t>Positive</t>
        </is>
      </c>
      <c r="K360" t="inlineStr">
        <is>
          <t>Low</t>
        </is>
      </c>
      <c r="L360" t="inlineStr">
        <is>
          <t>Minor Inconvenience</t>
        </is>
      </c>
      <c r="M360" t="inlineStr">
        <is>
          <t>wf_builder</t>
        </is>
      </c>
      <c r="N360" t="inlineStr">
        <is>
          <t>Confusing workflow builder</t>
        </is>
      </c>
      <c r="O360" t="inlineStr">
        <is>
          <t>2026-01</t>
        </is>
      </c>
    </row>
    <row r="361">
      <c r="A361" t="inlineStr">
        <is>
          <t>FB-00360</t>
        </is>
      </c>
      <c r="B361" t="inlineStr">
        <is>
          <t>CUST-0075</t>
        </is>
      </c>
      <c r="C361" s="11" t="n">
        <v>46037</v>
      </c>
      <c r="D361" t="inlineStr">
        <is>
          <t>Customer Survey</t>
        </is>
      </c>
      <c r="E361" t="inlineStr">
        <is>
          <t>Professional</t>
        </is>
      </c>
      <c r="F361" t="inlineStr">
        <is>
          <t>Enterprise</t>
        </is>
      </c>
      <c r="G361" t="inlineStr">
        <is>
          <t>Workflow Automation</t>
        </is>
      </c>
      <c r="H361" t="inlineStr">
        <is>
          <t>Feature Request</t>
        </is>
      </c>
      <c r="I361" t="inlineStr">
        <is>
          <t>A library of workflow templates would cut our setup time.</t>
        </is>
      </c>
      <c r="J361" t="inlineStr">
        <is>
          <t>Neutral</t>
        </is>
      </c>
      <c r="K361" t="inlineStr">
        <is>
          <t>Low</t>
        </is>
      </c>
      <c r="L361" t="inlineStr">
        <is>
          <t>Minor Inconvenience</t>
        </is>
      </c>
      <c r="M361" t="inlineStr">
        <is>
          <t>wf_templates</t>
        </is>
      </c>
      <c r="N361" t="inlineStr">
        <is>
          <t>Workflow templates</t>
        </is>
      </c>
      <c r="O361" t="inlineStr">
        <is>
          <t>2026-01</t>
        </is>
      </c>
    </row>
    <row r="362">
      <c r="A362" t="inlineStr">
        <is>
          <t>FB-00361</t>
        </is>
      </c>
      <c r="B362" t="inlineStr">
        <is>
          <t>CUST-0239</t>
        </is>
      </c>
      <c r="C362" s="11" t="n">
        <v>46038</v>
      </c>
      <c r="D362" t="inlineStr">
        <is>
          <t>Support Ticket</t>
        </is>
      </c>
      <c r="E362" t="inlineStr">
        <is>
          <t>Professional</t>
        </is>
      </c>
      <c r="F362" t="inlineStr">
        <is>
          <t>Mid-Market</t>
        </is>
      </c>
      <c r="G362" t="inlineStr">
        <is>
          <t>Contact Management</t>
        </is>
      </c>
      <c r="H362" t="inlineStr">
        <is>
          <t>Performance Issue</t>
        </is>
      </c>
      <c r="I362" t="inlineStr">
        <is>
          <t>This has been a recurring problem for us. We avoid contact list filtering during calls because it takes too long. Please look into it soon.</t>
        </is>
      </c>
      <c r="J362" t="inlineStr">
        <is>
          <t>Negative</t>
        </is>
      </c>
      <c r="K362" t="inlineStr">
        <is>
          <t>Low</t>
        </is>
      </c>
      <c r="L362" t="inlineStr">
        <is>
          <t>Blocks Key Task</t>
        </is>
      </c>
      <c r="M362" t="inlineStr">
        <is>
          <t>contact_search</t>
        </is>
      </c>
      <c r="N362" t="inlineStr">
        <is>
          <t>Slow contact search</t>
        </is>
      </c>
      <c r="O362" t="inlineStr">
        <is>
          <t>2026-01</t>
        </is>
      </c>
    </row>
    <row r="363">
      <c r="A363" t="inlineStr">
        <is>
          <t>FB-00362</t>
        </is>
      </c>
      <c r="B363" t="inlineStr">
        <is>
          <t>CUST-0129</t>
        </is>
      </c>
      <c r="C363" s="11" t="n">
        <v>46038</v>
      </c>
      <c r="D363" t="inlineStr">
        <is>
          <t>Customer Survey</t>
        </is>
      </c>
      <c r="E363" t="inlineStr">
        <is>
          <t>Professional</t>
        </is>
      </c>
      <c r="F363" t="inlineStr">
        <is>
          <t>Enterprise</t>
        </is>
      </c>
      <c r="G363" t="inlineStr">
        <is>
          <t>Reporting</t>
        </is>
      </c>
      <c r="H363" t="inlineStr">
        <is>
          <t>Performance Issue</t>
        </is>
      </c>
      <c r="I363" t="inlineStr">
        <is>
          <t>Feedback from our monthly review. Execs gave up on the report load time and ask for screenshots instead. It happens about 20 times a week for our team of 48.</t>
        </is>
      </c>
      <c r="J363" t="inlineStr">
        <is>
          <t>Neutral</t>
        </is>
      </c>
      <c r="K363" t="inlineStr">
        <is>
          <t>Medium</t>
        </is>
      </c>
      <c r="L363" t="inlineStr">
        <is>
          <t>Workflow Slowdown</t>
        </is>
      </c>
      <c r="M363" t="inlineStr">
        <is>
          <t>rep_slow</t>
        </is>
      </c>
      <c r="N363" t="inlineStr">
        <is>
          <t>Slow dashboards</t>
        </is>
      </c>
      <c r="O363" t="inlineStr">
        <is>
          <t>2026-01</t>
        </is>
      </c>
    </row>
    <row r="364">
      <c r="A364" t="inlineStr">
        <is>
          <t>FB-00363</t>
        </is>
      </c>
      <c r="B364" t="inlineStr">
        <is>
          <t>CUST-0311</t>
        </is>
      </c>
      <c r="C364" s="11" t="n">
        <v>46038</v>
      </c>
      <c r="D364" t="inlineStr">
        <is>
          <t>In-App Feedback</t>
        </is>
      </c>
      <c r="E364" t="inlineStr">
        <is>
          <t>Starter</t>
        </is>
      </c>
      <c r="F364" t="inlineStr">
        <is>
          <t>SMB</t>
        </is>
      </c>
      <c r="G364" t="inlineStr">
        <is>
          <t>Workflow Automation</t>
        </is>
      </c>
      <c r="H364" t="inlineStr">
        <is>
          <t>Usability Issue</t>
        </is>
      </c>
      <c r="I364" t="inlineStr">
        <is>
          <t>Raising this again after our last business review. The automation canvas doesn't let us copy steps between flows. So far 93 people on our side have reported it.</t>
        </is>
      </c>
      <c r="J364" t="inlineStr">
        <is>
          <t>Negative</t>
        </is>
      </c>
      <c r="K364" t="inlineStr">
        <is>
          <t>Medium</t>
        </is>
      </c>
      <c r="L364" t="inlineStr">
        <is>
          <t>Minor Inconvenience</t>
        </is>
      </c>
      <c r="M364" t="inlineStr">
        <is>
          <t>wf_builder</t>
        </is>
      </c>
      <c r="N364" t="inlineStr">
        <is>
          <t>Confusing workflow builder</t>
        </is>
      </c>
      <c r="O364" t="inlineStr">
        <is>
          <t>2026-01</t>
        </is>
      </c>
    </row>
    <row r="365">
      <c r="A365" t="inlineStr">
        <is>
          <t>FB-00364</t>
        </is>
      </c>
      <c r="B365" t="inlineStr">
        <is>
          <t>CUST-0249</t>
        </is>
      </c>
      <c r="C365" s="11" t="n">
        <v>46039</v>
      </c>
      <c r="D365" t="inlineStr">
        <is>
          <t>Support Ticket</t>
        </is>
      </c>
      <c r="E365" t="inlineStr">
        <is>
          <t>Starter</t>
        </is>
      </c>
      <c r="F365" t="inlineStr">
        <is>
          <t>SMB</t>
        </is>
      </c>
      <c r="G365" t="inlineStr">
        <is>
          <t>Contact Management</t>
        </is>
      </c>
      <c r="H365" t="inlineStr">
        <is>
          <t>Performance Issue</t>
        </is>
      </c>
      <c r="I365" t="inlineStr">
        <is>
          <t>Noting this during onboarding. Our contact search is slow and often returns stale results right after an update. We estimate we lose roughly 24 hours a month on this. Let us know if you need examples.</t>
        </is>
      </c>
      <c r="J365" t="inlineStr">
        <is>
          <t>Neutral</t>
        </is>
      </c>
      <c r="K365" t="inlineStr">
        <is>
          <t>Medium</t>
        </is>
      </c>
      <c r="L365" t="inlineStr">
        <is>
          <t>Workflow Slowdown</t>
        </is>
      </c>
      <c r="M365" t="inlineStr">
        <is>
          <t>contact_search</t>
        </is>
      </c>
      <c r="N365" t="inlineStr">
        <is>
          <t>Slow contact search</t>
        </is>
      </c>
      <c r="O365" t="inlineStr">
        <is>
          <t>2026-01</t>
        </is>
      </c>
    </row>
    <row r="366">
      <c r="A366" t="inlineStr">
        <is>
          <t>FB-00365</t>
        </is>
      </c>
      <c r="B366" t="inlineStr">
        <is>
          <t>CUST-0157</t>
        </is>
      </c>
      <c r="C366" s="11" t="n">
        <v>46039</v>
      </c>
      <c r="D366" t="inlineStr">
        <is>
          <t>In-App Feedback</t>
        </is>
      </c>
      <c r="E366" t="inlineStr">
        <is>
          <t>Starter</t>
        </is>
      </c>
      <c r="F366" t="inlineStr">
        <is>
          <t>SMB</t>
        </is>
      </c>
      <c r="G366" t="inlineStr">
        <is>
          <t>User Interface</t>
        </is>
      </c>
      <c r="H366" t="inlineStr">
        <is>
          <t>Usability Issue</t>
        </is>
      </c>
      <c r="I366" t="inlineStr">
        <is>
          <t>FYI for the product team. The settings navigation changed and nobody told us where things moved. Our admin flagged it while onboarding 62 new users.</t>
        </is>
      </c>
      <c r="J366" t="inlineStr">
        <is>
          <t>Neutral</t>
        </is>
      </c>
      <c r="K366" t="inlineStr">
        <is>
          <t>Low</t>
        </is>
      </c>
      <c r="L366" t="inlineStr">
        <is>
          <t>Minor Inconvenience</t>
        </is>
      </c>
      <c r="M366" t="inlineStr">
        <is>
          <t>ui_nav</t>
        </is>
      </c>
      <c r="N366" t="inlineStr">
        <is>
          <t>Cluttered navigation</t>
        </is>
      </c>
      <c r="O366" t="inlineStr">
        <is>
          <t>2026-01</t>
        </is>
      </c>
    </row>
    <row r="367">
      <c r="A367" t="inlineStr">
        <is>
          <t>FB-00366</t>
        </is>
      </c>
      <c r="B367" t="inlineStr">
        <is>
          <t>CUST-0168</t>
        </is>
      </c>
      <c r="C367" s="11" t="n">
        <v>46039</v>
      </c>
      <c r="D367" t="inlineStr">
        <is>
          <t>Customer Survey</t>
        </is>
      </c>
      <c r="E367" t="inlineStr">
        <is>
          <t>Professional</t>
        </is>
      </c>
      <c r="F367" t="inlineStr">
        <is>
          <t>Mid-Market</t>
        </is>
      </c>
      <c r="G367" t="inlineStr">
        <is>
          <t>User Interface</t>
        </is>
      </c>
      <c r="H367" t="inlineStr">
        <is>
          <t>Feature Request</t>
        </is>
      </c>
      <c r="I367" t="inlineStr">
        <is>
          <t>Feedback from our monthly review. We lose notes whenever reps are away from a desk without a mobile app. It affects our weekly pipeline review process every cycle. Let us know if you need examples.</t>
        </is>
      </c>
      <c r="J367" t="inlineStr">
        <is>
          <t>Neutral</t>
        </is>
      </c>
      <c r="K367" t="inlineStr">
        <is>
          <t>Low</t>
        </is>
      </c>
      <c r="L367" t="inlineStr">
        <is>
          <t>Minor Inconvenience</t>
        </is>
      </c>
      <c r="M367" t="inlineStr">
        <is>
          <t>ui_mobile</t>
        </is>
      </c>
      <c r="N367" t="inlineStr">
        <is>
          <t>Mobile app</t>
        </is>
      </c>
      <c r="O367" t="inlineStr">
        <is>
          <t>2026-01</t>
        </is>
      </c>
    </row>
    <row r="368">
      <c r="A368" t="inlineStr">
        <is>
          <t>FB-00367</t>
        </is>
      </c>
      <c r="B368" t="inlineStr">
        <is>
          <t>CUST-0281</t>
        </is>
      </c>
      <c r="C368" s="11" t="n">
        <v>46039</v>
      </c>
      <c r="D368" t="inlineStr">
        <is>
          <t>Support Ticket</t>
        </is>
      </c>
      <c r="E368" t="inlineStr">
        <is>
          <t>Professional</t>
        </is>
      </c>
      <c r="F368" t="inlineStr">
        <is>
          <t>Mid-Market</t>
        </is>
      </c>
      <c r="G368" t="inlineStr">
        <is>
          <t>Workflow Automation</t>
        </is>
      </c>
      <c r="H368" t="inlineStr">
        <is>
          <t>Bug</t>
        </is>
      </c>
      <c r="I368" t="inlineStr">
        <is>
          <t>Frustrated with this one. We are hitting workflow failures: emails don't send and nobody gets notified. Please look into it soon.</t>
        </is>
      </c>
      <c r="J368" t="inlineStr">
        <is>
          <t>Negative</t>
        </is>
      </c>
      <c r="K368" t="inlineStr">
        <is>
          <t>Medium</t>
        </is>
      </c>
      <c r="L368" t="inlineStr">
        <is>
          <t>Blocks Key Task</t>
        </is>
      </c>
      <c r="M368" t="inlineStr">
        <is>
          <t>wf_fail</t>
        </is>
      </c>
      <c r="N368" t="inlineStr">
        <is>
          <t>Workflows failing silently</t>
        </is>
      </c>
      <c r="O368" t="inlineStr">
        <is>
          <t>2026-01</t>
        </is>
      </c>
    </row>
    <row r="369">
      <c r="A369" t="inlineStr">
        <is>
          <t>FB-00368</t>
        </is>
      </c>
      <c r="B369" t="inlineStr">
        <is>
          <t>CUST-0420</t>
        </is>
      </c>
      <c r="C369" s="11" t="n">
        <v>46039</v>
      </c>
      <c r="D369" t="inlineStr">
        <is>
          <t>Support Ticket</t>
        </is>
      </c>
      <c r="E369" t="inlineStr">
        <is>
          <t>Enterprise</t>
        </is>
      </c>
      <c r="F369" t="inlineStr">
        <is>
          <t>Enterprise</t>
        </is>
      </c>
      <c r="G369" t="inlineStr">
        <is>
          <t>Reporting</t>
        </is>
      </c>
      <c r="H369" t="inlineStr">
        <is>
          <t>Bug</t>
        </is>
      </c>
      <c r="I369" t="inlineStr">
        <is>
          <t>Our team keeps running into this. The Excel export times out for date ranges longer than a quarter. Our RevOps lead flagged it while onboarding 10 new users. Support suggested logging it here.</t>
        </is>
      </c>
      <c r="J369" t="inlineStr">
        <is>
          <t>Negative</t>
        </is>
      </c>
      <c r="K369" t="inlineStr">
        <is>
          <t>Medium</t>
        </is>
      </c>
      <c r="L369" t="inlineStr">
        <is>
          <t>Workflow Slowdown</t>
        </is>
      </c>
      <c r="M369" t="inlineStr">
        <is>
          <t>rep_export</t>
        </is>
      </c>
      <c r="N369" t="inlineStr">
        <is>
          <t>Broken report exports</t>
        </is>
      </c>
      <c r="O369" t="inlineStr">
        <is>
          <t>2026-01</t>
        </is>
      </c>
    </row>
    <row r="370">
      <c r="A370" t="inlineStr">
        <is>
          <t>FB-00369</t>
        </is>
      </c>
      <c r="B370" t="inlineStr">
        <is>
          <t>CUST-0115</t>
        </is>
      </c>
      <c r="C370" s="11" t="n">
        <v>46040</v>
      </c>
      <c r="D370" t="inlineStr">
        <is>
          <t>Feature Request</t>
        </is>
      </c>
      <c r="E370" t="inlineStr">
        <is>
          <t>Starter</t>
        </is>
      </c>
      <c r="F370" t="inlineStr">
        <is>
          <t>SMB</t>
        </is>
      </c>
      <c r="G370" t="inlineStr">
        <is>
          <t>Reporting</t>
        </is>
      </c>
      <c r="H370" t="inlineStr">
        <is>
          <t>Feature Request</t>
        </is>
      </c>
      <c r="I370" t="inlineStr">
        <is>
          <t>FYI for the product team. Without scheduled report emails we export raw data and rebuild everything elsewhere. So far 114 people on our side have reported it.</t>
        </is>
      </c>
      <c r="J370" t="inlineStr">
        <is>
          <t>Neutral</t>
        </is>
      </c>
      <c r="K370" t="inlineStr">
        <is>
          <t>Low</t>
        </is>
      </c>
      <c r="L370" t="inlineStr">
        <is>
          <t>Minor Inconvenience</t>
        </is>
      </c>
      <c r="M370" t="inlineStr">
        <is>
          <t>rep_custom</t>
        </is>
      </c>
      <c r="N370" t="inlineStr">
        <is>
          <t>Custom and scheduled reports</t>
        </is>
      </c>
      <c r="O370" t="inlineStr">
        <is>
          <t>2026-01</t>
        </is>
      </c>
    </row>
    <row r="371">
      <c r="A371" t="inlineStr">
        <is>
          <t>FB-00370</t>
        </is>
      </c>
      <c r="B371" t="inlineStr">
        <is>
          <t>CUST-0338</t>
        </is>
      </c>
      <c r="C371" s="11" t="n">
        <v>46040</v>
      </c>
      <c r="D371" t="inlineStr">
        <is>
          <t>In-App Feedback</t>
        </is>
      </c>
      <c r="E371" t="inlineStr">
        <is>
          <t>Professional</t>
        </is>
      </c>
      <c r="F371" t="inlineStr">
        <is>
          <t>Mid-Market</t>
        </is>
      </c>
      <c r="G371" t="inlineStr">
        <is>
          <t>Workflow Automation</t>
        </is>
      </c>
      <c r="H371" t="inlineStr">
        <is>
          <t>Usability Issue</t>
        </is>
      </c>
      <c r="I371" t="inlineStr">
        <is>
          <t>Frustrated with this one. I can't tell what a branch does in the workflow editor without opening every node. We estimate we lose roughly 48 hours a month on this. Please look into it soon.</t>
        </is>
      </c>
      <c r="J371" t="inlineStr">
        <is>
          <t>Negative</t>
        </is>
      </c>
      <c r="K371" t="inlineStr">
        <is>
          <t>High</t>
        </is>
      </c>
      <c r="L371" t="inlineStr">
        <is>
          <t>Workflow Slowdown</t>
        </is>
      </c>
      <c r="M371" t="inlineStr">
        <is>
          <t>wf_builder</t>
        </is>
      </c>
      <c r="N371" t="inlineStr">
        <is>
          <t>Confusing workflow builder</t>
        </is>
      </c>
      <c r="O371" t="inlineStr">
        <is>
          <t>2026-01</t>
        </is>
      </c>
    </row>
    <row r="372">
      <c r="A372" t="inlineStr">
        <is>
          <t>FB-00371</t>
        </is>
      </c>
      <c r="B372" t="inlineStr">
        <is>
          <t>CUST-0246</t>
        </is>
      </c>
      <c r="C372" s="11" t="n">
        <v>46040</v>
      </c>
      <c r="D372" t="inlineStr">
        <is>
          <t>Support Ticket</t>
        </is>
      </c>
      <c r="E372" t="inlineStr">
        <is>
          <t>Professional</t>
        </is>
      </c>
      <c r="F372" t="inlineStr">
        <is>
          <t>Mid-Market</t>
        </is>
      </c>
      <c r="G372" t="inlineStr">
        <is>
          <t>Workflow Automation</t>
        </is>
      </c>
      <c r="H372" t="inlineStr">
        <is>
          <t>Usability Issue</t>
        </is>
      </c>
      <c r="I372" t="inlineStr">
        <is>
          <t>The workflow editor doesn't let us copy steps between flows.</t>
        </is>
      </c>
      <c r="J372" t="inlineStr">
        <is>
          <t>Negative</t>
        </is>
      </c>
      <c r="K372" t="inlineStr">
        <is>
          <t>High</t>
        </is>
      </c>
      <c r="L372" t="inlineStr">
        <is>
          <t>Revenue/Operations Risk</t>
        </is>
      </c>
      <c r="M372" t="inlineStr">
        <is>
          <t>wf_builder</t>
        </is>
      </c>
      <c r="N372" t="inlineStr">
        <is>
          <t>Confusing workflow builder</t>
        </is>
      </c>
      <c r="O372" t="inlineStr">
        <is>
          <t>2026-01</t>
        </is>
      </c>
    </row>
    <row r="373">
      <c r="A373" t="inlineStr">
        <is>
          <t>FB-00372</t>
        </is>
      </c>
      <c r="B373" t="inlineStr">
        <is>
          <t>CUST-0146</t>
        </is>
      </c>
      <c r="C373" s="11" t="n">
        <v>46041</v>
      </c>
      <c r="D373" t="inlineStr">
        <is>
          <t>In-App Feedback</t>
        </is>
      </c>
      <c r="E373" t="inlineStr">
        <is>
          <t>Starter</t>
        </is>
      </c>
      <c r="F373" t="inlineStr">
        <is>
          <t>SMB</t>
        </is>
      </c>
      <c r="G373" t="inlineStr">
        <is>
          <t>Lead Management</t>
        </is>
      </c>
      <c r="H373" t="inlineStr">
        <is>
          <t>Bug</t>
        </is>
      </c>
      <c r="I373" t="inlineStr">
        <is>
          <t>After every list import we find lead de-duplication failures that have to be cleaned up by hand. It affects our onboarding process every cycle. Let us know if you need examples.</t>
        </is>
      </c>
      <c r="J373" t="inlineStr">
        <is>
          <t>Neutral</t>
        </is>
      </c>
      <c r="K373" t="inlineStr">
        <is>
          <t>Medium</t>
        </is>
      </c>
      <c r="L373" t="inlineStr">
        <is>
          <t>Workflow Slowdown</t>
        </is>
      </c>
      <c r="M373" t="inlineStr">
        <is>
          <t>lead_dup</t>
        </is>
      </c>
      <c r="N373" t="inlineStr">
        <is>
          <t>Duplicate leads created</t>
        </is>
      </c>
      <c r="O373" t="inlineStr">
        <is>
          <t>2026-01</t>
        </is>
      </c>
    </row>
    <row r="374">
      <c r="A374" t="inlineStr">
        <is>
          <t>FB-00373</t>
        </is>
      </c>
      <c r="B374" t="inlineStr">
        <is>
          <t>CUST-0003</t>
        </is>
      </c>
      <c r="C374" s="11" t="n">
        <v>46041</v>
      </c>
      <c r="D374" t="inlineStr">
        <is>
          <t>Feature Request</t>
        </is>
      </c>
      <c r="E374" t="inlineStr">
        <is>
          <t>Starter</t>
        </is>
      </c>
      <c r="F374" t="inlineStr">
        <is>
          <t>Mid-Market</t>
        </is>
      </c>
      <c r="G374" t="inlineStr">
        <is>
          <t>Workflow Automation</t>
        </is>
      </c>
      <c r="H374" t="inlineStr">
        <is>
          <t>Feature Request</t>
        </is>
      </c>
      <c r="I374" t="inlineStr">
        <is>
          <t>We need approval steps in workflows so managers can sign off on discounts. So far 68 people on our side have reported it. Happy to join a feedback call.</t>
        </is>
      </c>
      <c r="J374" t="inlineStr">
        <is>
          <t>Neutral</t>
        </is>
      </c>
      <c r="K374" t="inlineStr">
        <is>
          <t>Low</t>
        </is>
      </c>
      <c r="L374" t="inlineStr">
        <is>
          <t>Minor Inconvenience</t>
        </is>
      </c>
      <c r="M374" t="inlineStr">
        <is>
          <t>wf_approval</t>
        </is>
      </c>
      <c r="N374" t="inlineStr">
        <is>
          <t>Approval steps in workflows</t>
        </is>
      </c>
      <c r="O374" t="inlineStr">
        <is>
          <t>2026-01</t>
        </is>
      </c>
    </row>
    <row r="375">
      <c r="A375" t="inlineStr">
        <is>
          <t>FB-00374</t>
        </is>
      </c>
      <c r="B375" t="inlineStr">
        <is>
          <t>CUST-0216</t>
        </is>
      </c>
      <c r="C375" s="11" t="n">
        <v>46041</v>
      </c>
      <c r="D375" t="inlineStr">
        <is>
          <t>Customer Survey</t>
        </is>
      </c>
      <c r="E375" t="inlineStr">
        <is>
          <t>Starter</t>
        </is>
      </c>
      <c r="F375" t="inlineStr">
        <is>
          <t>Mid-Market</t>
        </is>
      </c>
      <c r="G375" t="inlineStr">
        <is>
          <t>Workflow Automation</t>
        </is>
      </c>
      <c r="H375" t="inlineStr">
        <is>
          <t>Usability Issue</t>
        </is>
      </c>
      <c r="I375" t="inlineStr">
        <is>
          <t>The automation canvas doesn't let us copy steps between flows. Our finance analyst flagged it while onboarding 35 new users. Thanks to the team.</t>
        </is>
      </c>
      <c r="J375" t="inlineStr">
        <is>
          <t>Positive</t>
        </is>
      </c>
      <c r="K375" t="inlineStr">
        <is>
          <t>Medium</t>
        </is>
      </c>
      <c r="L375" t="inlineStr">
        <is>
          <t>Workflow Slowdown</t>
        </is>
      </c>
      <c r="M375" t="inlineStr">
        <is>
          <t>wf_builder</t>
        </is>
      </c>
      <c r="N375" t="inlineStr">
        <is>
          <t>Confusing workflow builder</t>
        </is>
      </c>
      <c r="O375" t="inlineStr">
        <is>
          <t>2026-01</t>
        </is>
      </c>
    </row>
    <row r="376">
      <c r="A376" t="inlineStr">
        <is>
          <t>FB-00375</t>
        </is>
      </c>
      <c r="B376" t="inlineStr">
        <is>
          <t>CUST-0293</t>
        </is>
      </c>
      <c r="C376" s="11" t="n">
        <v>46042</v>
      </c>
      <c r="D376" t="inlineStr">
        <is>
          <t>In-App Feedback</t>
        </is>
      </c>
      <c r="E376" t="inlineStr">
        <is>
          <t>Enterprise</t>
        </is>
      </c>
      <c r="F376" t="inlineStr">
        <is>
          <t>Enterprise</t>
        </is>
      </c>
      <c r="G376" t="inlineStr">
        <is>
          <t>Workflow Automation</t>
        </is>
      </c>
      <c r="H376" t="inlineStr">
        <is>
          <t>Feature Request</t>
        </is>
      </c>
      <c r="I376" t="inlineStr">
        <is>
          <t>Happy with most of the product. Adding a discount approval flow is a blocker for our finance team. It happens about 36 times a week for our team of 4.</t>
        </is>
      </c>
      <c r="J376" t="inlineStr">
        <is>
          <t>Positive</t>
        </is>
      </c>
      <c r="K376" t="inlineStr">
        <is>
          <t>Medium</t>
        </is>
      </c>
      <c r="L376" t="inlineStr">
        <is>
          <t>Blocks Key Task</t>
        </is>
      </c>
      <c r="M376" t="inlineStr">
        <is>
          <t>wf_approval</t>
        </is>
      </c>
      <c r="N376" t="inlineStr">
        <is>
          <t>Approval steps in workflows</t>
        </is>
      </c>
      <c r="O376" t="inlineStr">
        <is>
          <t>2026-01</t>
        </is>
      </c>
    </row>
    <row r="377">
      <c r="A377" t="inlineStr">
        <is>
          <t>FB-00376</t>
        </is>
      </c>
      <c r="B377" t="inlineStr">
        <is>
          <t>CUST-0315</t>
        </is>
      </c>
      <c r="C377" s="11" t="n">
        <v>46042</v>
      </c>
      <c r="D377" t="inlineStr">
        <is>
          <t>Support Ticket</t>
        </is>
      </c>
      <c r="E377" t="inlineStr">
        <is>
          <t>Professional</t>
        </is>
      </c>
      <c r="F377" t="inlineStr">
        <is>
          <t>SMB</t>
        </is>
      </c>
      <c r="G377" t="inlineStr">
        <is>
          <t>Lead Management</t>
        </is>
      </c>
      <c r="H377" t="inlineStr">
        <is>
          <t>Bug</t>
        </is>
      </c>
      <c r="I377" t="inlineStr">
        <is>
          <t>There are lead de-duplication failures across our pipeline views and nobody knows which record is the source of truth. It affects our renewal process every cycle. Support suggested logging it here.</t>
        </is>
      </c>
      <c r="J377" t="inlineStr">
        <is>
          <t>Negative</t>
        </is>
      </c>
      <c r="K377" t="inlineStr">
        <is>
          <t>High</t>
        </is>
      </c>
      <c r="L377" t="inlineStr">
        <is>
          <t>Blocks Key Task</t>
        </is>
      </c>
      <c r="M377" t="inlineStr">
        <is>
          <t>lead_dup</t>
        </is>
      </c>
      <c r="N377" t="inlineStr">
        <is>
          <t>Duplicate leads created</t>
        </is>
      </c>
      <c r="O377" t="inlineStr">
        <is>
          <t>2026-01</t>
        </is>
      </c>
    </row>
    <row r="378">
      <c r="A378" t="inlineStr">
        <is>
          <t>FB-00377</t>
        </is>
      </c>
      <c r="B378" t="inlineStr">
        <is>
          <t>CUST-0165</t>
        </is>
      </c>
      <c r="C378" s="11" t="n">
        <v>46042</v>
      </c>
      <c r="D378" t="inlineStr">
        <is>
          <t>Feature Request</t>
        </is>
      </c>
      <c r="E378" t="inlineStr">
        <is>
          <t>Enterprise</t>
        </is>
      </c>
      <c r="F378" t="inlineStr">
        <is>
          <t>Mid-Market</t>
        </is>
      </c>
      <c r="G378" t="inlineStr">
        <is>
          <t>Contact Management</t>
        </is>
      </c>
      <c r="H378" t="inlineStr">
        <is>
          <t>Feature Request</t>
        </is>
      </c>
      <c r="I378" t="inlineStr">
        <is>
          <t>Recent updates have been a nice improvement. A tool to merge duplicate contacts that keeps activity history would save our ops team hours. It happens about 39 times a week for our team of 90. Keep up the good work.</t>
        </is>
      </c>
      <c r="J378" t="inlineStr">
        <is>
          <t>Positive</t>
        </is>
      </c>
      <c r="K378" t="inlineStr">
        <is>
          <t>Medium</t>
        </is>
      </c>
      <c r="L378" t="inlineStr">
        <is>
          <t>Minor Inconvenience</t>
        </is>
      </c>
      <c r="M378" t="inlineStr">
        <is>
          <t>contact_dedupe</t>
        </is>
      </c>
      <c r="N378" t="inlineStr">
        <is>
          <t>Bulk contact merge</t>
        </is>
      </c>
      <c r="O378" t="inlineStr">
        <is>
          <t>2026-01</t>
        </is>
      </c>
    </row>
    <row r="379">
      <c r="A379" t="inlineStr">
        <is>
          <t>FB-00378</t>
        </is>
      </c>
      <c r="B379" t="inlineStr">
        <is>
          <t>CUST-0242</t>
        </is>
      </c>
      <c r="C379" s="11" t="n">
        <v>46042</v>
      </c>
      <c r="D379" t="inlineStr">
        <is>
          <t>Customer Survey</t>
        </is>
      </c>
      <c r="E379" t="inlineStr">
        <is>
          <t>Starter</t>
        </is>
      </c>
      <c r="F379" t="inlineStr">
        <is>
          <t>SMB</t>
        </is>
      </c>
      <c r="G379" t="inlineStr">
        <is>
          <t>Lead Management</t>
        </is>
      </c>
      <c r="H379" t="inlineStr">
        <is>
          <t>Usability Issue</t>
        </is>
      </c>
      <c r="I379" t="inlineStr">
        <is>
          <t>Raising this again after our last business review. The round-robin lead assignment are confusing and new leads sometimes sit unassigned over weekends. It happens about 38 times a week for our team of 111.</t>
        </is>
      </c>
      <c r="J379" t="inlineStr">
        <is>
          <t>Negative</t>
        </is>
      </c>
      <c r="K379" t="inlineStr">
        <is>
          <t>Low</t>
        </is>
      </c>
      <c r="L379" t="inlineStr">
        <is>
          <t>Minor Inconvenience</t>
        </is>
      </c>
      <c r="M379" t="inlineStr">
        <is>
          <t>lead_assign</t>
        </is>
      </c>
      <c r="N379" t="inlineStr">
        <is>
          <t>Lead routing is inflexible</t>
        </is>
      </c>
      <c r="O379" t="inlineStr">
        <is>
          <t>2026-01</t>
        </is>
      </c>
    </row>
    <row r="380">
      <c r="A380" t="inlineStr">
        <is>
          <t>FB-00379</t>
        </is>
      </c>
      <c r="B380" t="inlineStr">
        <is>
          <t>CUST-0217</t>
        </is>
      </c>
      <c r="C380" s="11" t="n">
        <v>46043</v>
      </c>
      <c r="D380" t="inlineStr">
        <is>
          <t>Support Ticket</t>
        </is>
      </c>
      <c r="E380" t="inlineStr">
        <is>
          <t>Starter</t>
        </is>
      </c>
      <c r="F380" t="inlineStr">
        <is>
          <t>Mid-Market</t>
        </is>
      </c>
      <c r="G380" t="inlineStr">
        <is>
          <t>Lead Management</t>
        </is>
      </c>
      <c r="H380" t="inlineStr">
        <is>
          <t>Bug</t>
        </is>
      </c>
      <c r="I380" t="inlineStr">
        <is>
          <t>Web form submissions keep creating duplicated leads, and reps end up calling the same prospect twice. Support suggested logging it here.</t>
        </is>
      </c>
      <c r="J380" t="inlineStr">
        <is>
          <t>Negative</t>
        </is>
      </c>
      <c r="K380" t="inlineStr">
        <is>
          <t>Low</t>
        </is>
      </c>
      <c r="L380" t="inlineStr">
        <is>
          <t>Minor Inconvenience</t>
        </is>
      </c>
      <c r="M380" t="inlineStr">
        <is>
          <t>lead_dup</t>
        </is>
      </c>
      <c r="N380" t="inlineStr">
        <is>
          <t>Duplicate leads created</t>
        </is>
      </c>
      <c r="O380" t="inlineStr">
        <is>
          <t>2026-01</t>
        </is>
      </c>
    </row>
    <row r="381">
      <c r="A381" t="inlineStr">
        <is>
          <t>FB-00380</t>
        </is>
      </c>
      <c r="B381" t="inlineStr">
        <is>
          <t>CUST-0096</t>
        </is>
      </c>
      <c r="C381" s="11" t="n">
        <v>46043</v>
      </c>
      <c r="D381" t="inlineStr">
        <is>
          <t>Feature Request</t>
        </is>
      </c>
      <c r="E381" t="inlineStr">
        <is>
          <t>Enterprise</t>
        </is>
      </c>
      <c r="F381" t="inlineStr">
        <is>
          <t>Enterprise</t>
        </is>
      </c>
      <c r="G381" t="inlineStr">
        <is>
          <t>Contact Management</t>
        </is>
      </c>
      <c r="H381" t="inlineStr">
        <is>
          <t>Feature Request</t>
        </is>
      </c>
      <c r="I381" t="inlineStr">
        <is>
          <t>Sharing this from our team. Please build contact de-duplication tooling with a preview of what will be combined. It affects our onboarding process every cycle. Let us know if you need examples.</t>
        </is>
      </c>
      <c r="J381" t="inlineStr">
        <is>
          <t>Neutral</t>
        </is>
      </c>
      <c r="K381" t="inlineStr">
        <is>
          <t>Low</t>
        </is>
      </c>
      <c r="L381" t="inlineStr">
        <is>
          <t>Workflow Slowdown</t>
        </is>
      </c>
      <c r="M381" t="inlineStr">
        <is>
          <t>contact_dedupe</t>
        </is>
      </c>
      <c r="N381" t="inlineStr">
        <is>
          <t>Bulk contact merge</t>
        </is>
      </c>
      <c r="O381" t="inlineStr">
        <is>
          <t>2026-01</t>
        </is>
      </c>
    </row>
    <row r="382">
      <c r="A382" t="inlineStr">
        <is>
          <t>FB-00381</t>
        </is>
      </c>
      <c r="B382" t="inlineStr">
        <is>
          <t>CUST-0116</t>
        </is>
      </c>
      <c r="C382" s="11" t="n">
        <v>46043</v>
      </c>
      <c r="D382" t="inlineStr">
        <is>
          <t>Customer Survey</t>
        </is>
      </c>
      <c r="E382" t="inlineStr">
        <is>
          <t>Professional</t>
        </is>
      </c>
      <c r="F382" t="inlineStr">
        <is>
          <t>SMB</t>
        </is>
      </c>
      <c r="G382" t="inlineStr">
        <is>
          <t>User Interface</t>
        </is>
      </c>
      <c r="H382" t="inlineStr">
        <is>
          <t>Usability Issue</t>
        </is>
      </c>
      <c r="I382" t="inlineStr">
        <is>
          <t>FYI for the product team. New hires get lost in the settings navigation; it takes weeks to learn.</t>
        </is>
      </c>
      <c r="J382" t="inlineStr">
        <is>
          <t>Neutral</t>
        </is>
      </c>
      <c r="K382" t="inlineStr">
        <is>
          <t>Low</t>
        </is>
      </c>
      <c r="L382" t="inlineStr">
        <is>
          <t>Minor Inconvenience</t>
        </is>
      </c>
      <c r="M382" t="inlineStr">
        <is>
          <t>ui_nav</t>
        </is>
      </c>
      <c r="N382" t="inlineStr">
        <is>
          <t>Cluttered navigation</t>
        </is>
      </c>
      <c r="O382" t="inlineStr">
        <is>
          <t>2026-01</t>
        </is>
      </c>
    </row>
    <row r="383">
      <c r="A383" t="inlineStr">
        <is>
          <t>FB-00382</t>
        </is>
      </c>
      <c r="B383" t="inlineStr">
        <is>
          <t>CUST-0275</t>
        </is>
      </c>
      <c r="C383" s="11" t="n">
        <v>46043</v>
      </c>
      <c r="D383" t="inlineStr">
        <is>
          <t>Customer Survey</t>
        </is>
      </c>
      <c r="E383" t="inlineStr">
        <is>
          <t>Professional</t>
        </is>
      </c>
      <c r="F383" t="inlineStr">
        <is>
          <t>Mid-Market</t>
        </is>
      </c>
      <c r="G383" t="inlineStr">
        <is>
          <t>Contact Management</t>
        </is>
      </c>
      <c r="H383" t="inlineStr">
        <is>
          <t>Bug</t>
        </is>
      </c>
      <c r="I383" t="inlineStr">
        <is>
          <t>The contact CSV import silently skipped rows and we only noticed days later. So far 70 people on our side have reported it. We need a fix before renewal.</t>
        </is>
      </c>
      <c r="J383" t="inlineStr">
        <is>
          <t>Negative</t>
        </is>
      </c>
      <c r="K383" t="inlineStr">
        <is>
          <t>Medium</t>
        </is>
      </c>
      <c r="L383" t="inlineStr">
        <is>
          <t>Workflow Slowdown</t>
        </is>
      </c>
      <c r="M383" t="inlineStr">
        <is>
          <t>contact_import</t>
        </is>
      </c>
      <c r="N383" t="inlineStr">
        <is>
          <t>Unreliable contact imports</t>
        </is>
      </c>
      <c r="O383" t="inlineStr">
        <is>
          <t>2026-01</t>
        </is>
      </c>
    </row>
    <row r="384">
      <c r="A384" t="inlineStr">
        <is>
          <t>FB-00383</t>
        </is>
      </c>
      <c r="B384" t="inlineStr">
        <is>
          <t>CUST-0060</t>
        </is>
      </c>
      <c r="C384" s="11" t="n">
        <v>46044</v>
      </c>
      <c r="D384" t="inlineStr">
        <is>
          <t>In-App Feedback</t>
        </is>
      </c>
      <c r="E384" t="inlineStr">
        <is>
          <t>Starter</t>
        </is>
      </c>
      <c r="F384" t="inlineStr">
        <is>
          <t>SMB</t>
        </is>
      </c>
      <c r="G384" t="inlineStr">
        <is>
          <t>Workflow Automation</t>
        </is>
      </c>
      <c r="H384" t="inlineStr">
        <is>
          <t>Bug</t>
        </is>
      </c>
      <c r="I384" t="inlineStr">
        <is>
          <t>Feedback from our monthly review. Several workflow failures left deals stuck in the wrong stage. It affects our weekly pipeline review process every cycle.</t>
        </is>
      </c>
      <c r="J384" t="inlineStr">
        <is>
          <t>Neutral</t>
        </is>
      </c>
      <c r="K384" t="inlineStr">
        <is>
          <t>Low</t>
        </is>
      </c>
      <c r="L384" t="inlineStr">
        <is>
          <t>Workflow Slowdown</t>
        </is>
      </c>
      <c r="M384" t="inlineStr">
        <is>
          <t>wf_fail</t>
        </is>
      </c>
      <c r="N384" t="inlineStr">
        <is>
          <t>Workflows failing silently</t>
        </is>
      </c>
      <c r="O384" t="inlineStr">
        <is>
          <t>2026-01</t>
        </is>
      </c>
    </row>
    <row r="385">
      <c r="A385" t="inlineStr">
        <is>
          <t>FB-00384</t>
        </is>
      </c>
      <c r="B385" t="inlineStr">
        <is>
          <t>CUST-0079</t>
        </is>
      </c>
      <c r="C385" s="11" t="n">
        <v>46045</v>
      </c>
      <c r="D385" t="inlineStr">
        <is>
          <t>Customer Survey</t>
        </is>
      </c>
      <c r="E385" t="inlineStr">
        <is>
          <t>Starter</t>
        </is>
      </c>
      <c r="F385" t="inlineStr">
        <is>
          <t>SMB</t>
        </is>
      </c>
      <c r="G385" t="inlineStr">
        <is>
          <t>Contact Management</t>
        </is>
      </c>
      <c r="H385" t="inlineStr">
        <is>
          <t>Bug</t>
        </is>
      </c>
      <c r="I385" t="inlineStr">
        <is>
          <t>The spreadsheet import rejects files with accented characters in names. It affects our month-end reporting process every cycle. We need a fix before renewal.</t>
        </is>
      </c>
      <c r="J385" t="inlineStr">
        <is>
          <t>Negative</t>
        </is>
      </c>
      <c r="K385" t="inlineStr">
        <is>
          <t>High</t>
        </is>
      </c>
      <c r="L385" t="inlineStr">
        <is>
          <t>Blocks Key Task</t>
        </is>
      </c>
      <c r="M385" t="inlineStr">
        <is>
          <t>contact_import</t>
        </is>
      </c>
      <c r="N385" t="inlineStr">
        <is>
          <t>Unreliable contact imports</t>
        </is>
      </c>
      <c r="O385" t="inlineStr">
        <is>
          <t>2026-01</t>
        </is>
      </c>
    </row>
    <row r="386">
      <c r="A386" t="inlineStr">
        <is>
          <t>FB-00385</t>
        </is>
      </c>
      <c r="B386" t="inlineStr">
        <is>
          <t>CUST-0076</t>
        </is>
      </c>
      <c r="C386" s="11" t="n">
        <v>46045</v>
      </c>
      <c r="D386" t="inlineStr">
        <is>
          <t>In-App Feedback</t>
        </is>
      </c>
      <c r="E386" t="inlineStr">
        <is>
          <t>Starter</t>
        </is>
      </c>
      <c r="F386" t="inlineStr">
        <is>
          <t>SMB</t>
        </is>
      </c>
      <c r="G386" t="inlineStr">
        <is>
          <t>User Interface</t>
        </is>
      </c>
      <c r="H386" t="inlineStr">
        <is>
          <t>Feature Request</t>
        </is>
      </c>
      <c r="I386" t="inlineStr">
        <is>
          <t>We lose notes whenever reps are away from a desk without a mobile app. Our sales manager flagged it while onboarding 69 new users.</t>
        </is>
      </c>
      <c r="J386" t="inlineStr">
        <is>
          <t>Negative</t>
        </is>
      </c>
      <c r="K386" t="inlineStr">
        <is>
          <t>Low</t>
        </is>
      </c>
      <c r="L386" t="inlineStr">
        <is>
          <t>Minor Inconvenience</t>
        </is>
      </c>
      <c r="M386" t="inlineStr">
        <is>
          <t>ui_mobile</t>
        </is>
      </c>
      <c r="N386" t="inlineStr">
        <is>
          <t>Mobile app</t>
        </is>
      </c>
      <c r="O386" t="inlineStr">
        <is>
          <t>2026-01</t>
        </is>
      </c>
    </row>
    <row r="387">
      <c r="A387" t="inlineStr">
        <is>
          <t>FB-00386</t>
        </is>
      </c>
      <c r="B387" t="inlineStr">
        <is>
          <t>CUST-0061</t>
        </is>
      </c>
      <c r="C387" s="11" t="n">
        <v>46045</v>
      </c>
      <c r="D387" t="inlineStr">
        <is>
          <t>Support Ticket</t>
        </is>
      </c>
      <c r="E387" t="inlineStr">
        <is>
          <t>Professional</t>
        </is>
      </c>
      <c r="F387" t="inlineStr">
        <is>
          <t>Mid-Market</t>
        </is>
      </c>
      <c r="G387" t="inlineStr">
        <is>
          <t>Workflow Automation</t>
        </is>
      </c>
      <c r="H387" t="inlineStr">
        <is>
          <t>Bug</t>
        </is>
      </c>
      <c r="I387" t="inlineStr">
        <is>
          <t>We are hitting workflow runs failing silently: emails don't send and nobody gets notified. So far 96 people on our side have reported it. Support suggested logging it here.</t>
        </is>
      </c>
      <c r="J387" t="inlineStr">
        <is>
          <t>Negative</t>
        </is>
      </c>
      <c r="K387" t="inlineStr">
        <is>
          <t>Medium</t>
        </is>
      </c>
      <c r="L387" t="inlineStr">
        <is>
          <t>Blocks Key Task</t>
        </is>
      </c>
      <c r="M387" t="inlineStr">
        <is>
          <t>wf_fail</t>
        </is>
      </c>
      <c r="N387" t="inlineStr">
        <is>
          <t>Workflows failing silently</t>
        </is>
      </c>
      <c r="O387" t="inlineStr">
        <is>
          <t>2026-01</t>
        </is>
      </c>
    </row>
    <row r="388">
      <c r="A388" t="inlineStr">
        <is>
          <t>FB-00387</t>
        </is>
      </c>
      <c r="B388" t="inlineStr">
        <is>
          <t>CUST-0325</t>
        </is>
      </c>
      <c r="C388" s="11" t="n">
        <v>46045</v>
      </c>
      <c r="D388" t="inlineStr">
        <is>
          <t>Feature Request</t>
        </is>
      </c>
      <c r="E388" t="inlineStr">
        <is>
          <t>Starter</t>
        </is>
      </c>
      <c r="F388" t="inlineStr">
        <is>
          <t>SMB</t>
        </is>
      </c>
      <c r="G388" t="inlineStr">
        <is>
          <t>User Interface</t>
        </is>
      </c>
      <c r="H388" t="inlineStr">
        <is>
          <t>Feature Request</t>
        </is>
      </c>
      <c r="I388" t="inlineStr">
        <is>
          <t>Sharing this from our team. Please prioritize offline mobile access; the mobile web view is hard to use. So far 7 people on our side have reported it. Happy to join a feedback call.</t>
        </is>
      </c>
      <c r="J388" t="inlineStr">
        <is>
          <t>Neutral</t>
        </is>
      </c>
      <c r="K388" t="inlineStr">
        <is>
          <t>Low</t>
        </is>
      </c>
      <c r="L388" t="inlineStr">
        <is>
          <t>Blocks Key Task</t>
        </is>
      </c>
      <c r="M388" t="inlineStr">
        <is>
          <t>ui_mobile</t>
        </is>
      </c>
      <c r="N388" t="inlineStr">
        <is>
          <t>Mobile app</t>
        </is>
      </c>
      <c r="O388" t="inlineStr">
        <is>
          <t>2026-01</t>
        </is>
      </c>
    </row>
    <row r="389">
      <c r="A389" t="inlineStr">
        <is>
          <t>FB-00388</t>
        </is>
      </c>
      <c r="B389" t="inlineStr">
        <is>
          <t>CUST-0410</t>
        </is>
      </c>
      <c r="C389" s="11" t="n">
        <v>46045</v>
      </c>
      <c r="D389" t="inlineStr">
        <is>
          <t>Support Ticket</t>
        </is>
      </c>
      <c r="E389" t="inlineStr">
        <is>
          <t>Professional</t>
        </is>
      </c>
      <c r="F389" t="inlineStr">
        <is>
          <t>Enterprise</t>
        </is>
      </c>
      <c r="G389" t="inlineStr">
        <is>
          <t>Workflow Automation</t>
        </is>
      </c>
      <c r="H389" t="inlineStr">
        <is>
          <t>Bug</t>
        </is>
      </c>
      <c r="I389" t="inlineStr">
        <is>
          <t>Frustrated with this one. Since the last release we've had workflow failures and tasks are being created twice. Our admin flagged it while onboarding 78 new users. Support suggested logging it here.</t>
        </is>
      </c>
      <c r="J389" t="inlineStr">
        <is>
          <t>Negative</t>
        </is>
      </c>
      <c r="K389" t="inlineStr">
        <is>
          <t>Medium</t>
        </is>
      </c>
      <c r="L389" t="inlineStr">
        <is>
          <t>Workflow Slowdown</t>
        </is>
      </c>
      <c r="M389" t="inlineStr">
        <is>
          <t>wf_fail</t>
        </is>
      </c>
      <c r="N389" t="inlineStr">
        <is>
          <t>Workflows failing silently</t>
        </is>
      </c>
      <c r="O389" t="inlineStr">
        <is>
          <t>2026-01</t>
        </is>
      </c>
    </row>
    <row r="390">
      <c r="A390" t="inlineStr">
        <is>
          <t>FB-00389</t>
        </is>
      </c>
      <c r="B390" t="inlineStr">
        <is>
          <t>CUST-0198</t>
        </is>
      </c>
      <c r="C390" s="11" t="n">
        <v>46046</v>
      </c>
      <c r="D390" t="inlineStr">
        <is>
          <t>In-App Feedback</t>
        </is>
      </c>
      <c r="E390" t="inlineStr">
        <is>
          <t>Starter</t>
        </is>
      </c>
      <c r="F390" t="inlineStr">
        <is>
          <t>SMB</t>
        </is>
      </c>
      <c r="G390" t="inlineStr">
        <is>
          <t>Lead Management</t>
        </is>
      </c>
      <c r="H390" t="inlineStr">
        <is>
          <t>Usability Issue</t>
        </is>
      </c>
      <c r="I390" t="inlineStr">
        <is>
          <t>Setting up lead routing rules takes too many steps and the options don't cover territories. Our finance analyst flagged it while onboarding 96 new users. Support suggested logging it here.</t>
        </is>
      </c>
      <c r="J390" t="inlineStr">
        <is>
          <t>Negative</t>
        </is>
      </c>
      <c r="K390" t="inlineStr">
        <is>
          <t>Medium</t>
        </is>
      </c>
      <c r="L390" t="inlineStr">
        <is>
          <t>Minor Inconvenience</t>
        </is>
      </c>
      <c r="M390" t="inlineStr">
        <is>
          <t>lead_assign</t>
        </is>
      </c>
      <c r="N390" t="inlineStr">
        <is>
          <t>Lead routing is inflexible</t>
        </is>
      </c>
      <c r="O390" t="inlineStr">
        <is>
          <t>2026-01</t>
        </is>
      </c>
    </row>
    <row r="391">
      <c r="A391" t="inlineStr">
        <is>
          <t>FB-00390</t>
        </is>
      </c>
      <c r="B391" t="inlineStr">
        <is>
          <t>CUST-0363</t>
        </is>
      </c>
      <c r="C391" s="11" t="n">
        <v>46046</v>
      </c>
      <c r="D391" t="inlineStr">
        <is>
          <t>Feature Request</t>
        </is>
      </c>
      <c r="E391" t="inlineStr">
        <is>
          <t>Professional</t>
        </is>
      </c>
      <c r="F391" t="inlineStr">
        <is>
          <t>Mid-Market</t>
        </is>
      </c>
      <c r="G391" t="inlineStr">
        <is>
          <t>Reporting</t>
        </is>
      </c>
      <c r="H391" t="inlineStr">
        <is>
          <t>Feature Request</t>
        </is>
      </c>
      <c r="I391" t="inlineStr">
        <is>
          <t>Noting this during onboarding. Please add sales forecasting; managers keep a separate spreadsheet.</t>
        </is>
      </c>
      <c r="J391" t="inlineStr">
        <is>
          <t>Neutral</t>
        </is>
      </c>
      <c r="K391" t="inlineStr">
        <is>
          <t>Low</t>
        </is>
      </c>
      <c r="L391" t="inlineStr">
        <is>
          <t>Minor Inconvenience</t>
        </is>
      </c>
      <c r="M391" t="inlineStr">
        <is>
          <t>rep_forecast</t>
        </is>
      </c>
      <c r="N391" t="inlineStr">
        <is>
          <t>Sales forecasting</t>
        </is>
      </c>
      <c r="O391" t="inlineStr">
        <is>
          <t>2026-01</t>
        </is>
      </c>
    </row>
    <row r="392">
      <c r="A392" t="inlineStr">
        <is>
          <t>FB-00391</t>
        </is>
      </c>
      <c r="B392" t="inlineStr">
        <is>
          <t>CUST-0035</t>
        </is>
      </c>
      <c r="C392" s="11" t="n">
        <v>46046</v>
      </c>
      <c r="D392" t="inlineStr">
        <is>
          <t>Customer Survey</t>
        </is>
      </c>
      <c r="E392" t="inlineStr">
        <is>
          <t>Professional</t>
        </is>
      </c>
      <c r="F392" t="inlineStr">
        <is>
          <t>Enterprise</t>
        </is>
      </c>
      <c r="G392" t="inlineStr">
        <is>
          <t>Lead Management</t>
        </is>
      </c>
      <c r="H392" t="inlineStr">
        <is>
          <t>Usability Issue</t>
        </is>
      </c>
      <c r="I392" t="inlineStr">
        <is>
          <t>Feedback from our monthly review. We can't combine region and deal size in the lead assignment settings. It affects our renewal process every cycle.</t>
        </is>
      </c>
      <c r="J392" t="inlineStr">
        <is>
          <t>Neutral</t>
        </is>
      </c>
      <c r="K392" t="inlineStr">
        <is>
          <t>Low</t>
        </is>
      </c>
      <c r="L392" t="inlineStr">
        <is>
          <t>Minor Inconvenience</t>
        </is>
      </c>
      <c r="M392" t="inlineStr">
        <is>
          <t>lead_assign</t>
        </is>
      </c>
      <c r="N392" t="inlineStr">
        <is>
          <t>Lead routing is inflexible</t>
        </is>
      </c>
      <c r="O392" t="inlineStr">
        <is>
          <t>2026-01</t>
        </is>
      </c>
    </row>
    <row r="393">
      <c r="A393" t="inlineStr">
        <is>
          <t>FB-00392</t>
        </is>
      </c>
      <c r="B393" t="inlineStr">
        <is>
          <t>CUST-0093</t>
        </is>
      </c>
      <c r="C393" s="11" t="n">
        <v>46046</v>
      </c>
      <c r="D393" t="inlineStr">
        <is>
          <t>Feature Request</t>
        </is>
      </c>
      <c r="E393" t="inlineStr">
        <is>
          <t>Professional</t>
        </is>
      </c>
      <c r="F393" t="inlineStr">
        <is>
          <t>SMB</t>
        </is>
      </c>
      <c r="G393" t="inlineStr">
        <is>
          <t>Lead Management</t>
        </is>
      </c>
      <c r="H393" t="inlineStr">
        <is>
          <t>Feature Request</t>
        </is>
      </c>
      <c r="I393" t="inlineStr">
        <is>
          <t>Raising this again after our last business review. Would love to see lead scoring rules that marketing and sales can both tune. It happens about 31 times a week for our team of 118. Please look into it soon.</t>
        </is>
      </c>
      <c r="J393" t="inlineStr">
        <is>
          <t>Negative</t>
        </is>
      </c>
      <c r="K393" t="inlineStr">
        <is>
          <t>Low</t>
        </is>
      </c>
      <c r="L393" t="inlineStr">
        <is>
          <t>Minor Inconvenience</t>
        </is>
      </c>
      <c r="M393" t="inlineStr">
        <is>
          <t>lead_score</t>
        </is>
      </c>
      <c r="N393" t="inlineStr">
        <is>
          <t>Automated lead scoring</t>
        </is>
      </c>
      <c r="O393" t="inlineStr">
        <is>
          <t>2026-01</t>
        </is>
      </c>
    </row>
    <row r="394">
      <c r="A394" t="inlineStr">
        <is>
          <t>FB-00393</t>
        </is>
      </c>
      <c r="B394" t="inlineStr">
        <is>
          <t>CUST-0284</t>
        </is>
      </c>
      <c r="C394" s="11" t="n">
        <v>46046</v>
      </c>
      <c r="D394" t="inlineStr">
        <is>
          <t>Feature Request</t>
        </is>
      </c>
      <c r="E394" t="inlineStr">
        <is>
          <t>Enterprise</t>
        </is>
      </c>
      <c r="F394" t="inlineStr">
        <is>
          <t>Enterprise</t>
        </is>
      </c>
      <c r="G394" t="inlineStr">
        <is>
          <t>Workflow Automation</t>
        </is>
      </c>
      <c r="H394" t="inlineStr">
        <is>
          <t>Feature Request</t>
        </is>
      </c>
      <c r="I394" t="inlineStr">
        <is>
          <t>Quick note from our admin. A library of prebuilt automations would cut our setup time. So far 118 people on our side have reported it.</t>
        </is>
      </c>
      <c r="J394" t="inlineStr">
        <is>
          <t>Neutral</t>
        </is>
      </c>
      <c r="K394" t="inlineStr">
        <is>
          <t>High</t>
        </is>
      </c>
      <c r="L394" t="inlineStr">
        <is>
          <t>Blocks Key Task</t>
        </is>
      </c>
      <c r="M394" t="inlineStr">
        <is>
          <t>wf_templates</t>
        </is>
      </c>
      <c r="N394" t="inlineStr">
        <is>
          <t>Workflow templates</t>
        </is>
      </c>
      <c r="O394" t="inlineStr">
        <is>
          <t>2026-01</t>
        </is>
      </c>
    </row>
    <row r="395">
      <c r="A395" t="inlineStr">
        <is>
          <t>FB-00394</t>
        </is>
      </c>
      <c r="B395" t="inlineStr">
        <is>
          <t>CUST-0139</t>
        </is>
      </c>
      <c r="C395" s="11" t="n">
        <v>46046</v>
      </c>
      <c r="D395" t="inlineStr">
        <is>
          <t>Customer Survey</t>
        </is>
      </c>
      <c r="E395" t="inlineStr">
        <is>
          <t>Professional</t>
        </is>
      </c>
      <c r="F395" t="inlineStr">
        <is>
          <t>Mid-Market</t>
        </is>
      </c>
      <c r="G395" t="inlineStr">
        <is>
          <t>Integrations</t>
        </is>
      </c>
      <c r="H395" t="inlineStr">
        <is>
          <t>Feature Request</t>
        </is>
      </c>
      <c r="I395" t="inlineStr">
        <is>
          <t>Lack of a native accounting integration is a gap versus other CRMs we evaluated. We estimate we lose roughly 49 hours a month on this. Let us know if you need examples.</t>
        </is>
      </c>
      <c r="J395" t="inlineStr">
        <is>
          <t>Neutral</t>
        </is>
      </c>
      <c r="K395" t="inlineStr">
        <is>
          <t>Medium</t>
        </is>
      </c>
      <c r="L395" t="inlineStr">
        <is>
          <t>Workflow Slowdown</t>
        </is>
      </c>
      <c r="M395" t="inlineStr">
        <is>
          <t>int_native</t>
        </is>
      </c>
      <c r="N395" t="inlineStr">
        <is>
          <t>Native integrations</t>
        </is>
      </c>
      <c r="O395" t="inlineStr">
        <is>
          <t>2026-01</t>
        </is>
      </c>
    </row>
    <row r="396">
      <c r="A396" t="inlineStr">
        <is>
          <t>FB-00395</t>
        </is>
      </c>
      <c r="B396" t="inlineStr">
        <is>
          <t>CUST-0286</t>
        </is>
      </c>
      <c r="C396" s="11" t="n">
        <v>46047</v>
      </c>
      <c r="D396" t="inlineStr">
        <is>
          <t>In-App Feedback</t>
        </is>
      </c>
      <c r="E396" t="inlineStr">
        <is>
          <t>Enterprise</t>
        </is>
      </c>
      <c r="F396" t="inlineStr">
        <is>
          <t>Enterprise</t>
        </is>
      </c>
      <c r="G396" t="inlineStr">
        <is>
          <t>Reporting</t>
        </is>
      </c>
      <c r="H396" t="inlineStr">
        <is>
          <t>Performance Issue</t>
        </is>
      </c>
      <c r="I396" t="inlineStr">
        <is>
          <t>Noting this during onboarding. Execs gave up on the dashboard refresh and ask for screenshots instead. So far 66 people on our side have reported it.</t>
        </is>
      </c>
      <c r="J396" t="inlineStr">
        <is>
          <t>Neutral</t>
        </is>
      </c>
      <c r="K396" t="inlineStr">
        <is>
          <t>High</t>
        </is>
      </c>
      <c r="L396" t="inlineStr">
        <is>
          <t>Blocks Key Task</t>
        </is>
      </c>
      <c r="M396" t="inlineStr">
        <is>
          <t>rep_slow</t>
        </is>
      </c>
      <c r="N396" t="inlineStr">
        <is>
          <t>Slow dashboards</t>
        </is>
      </c>
      <c r="O396" t="inlineStr">
        <is>
          <t>2026-01</t>
        </is>
      </c>
    </row>
    <row r="397">
      <c r="A397" t="inlineStr">
        <is>
          <t>FB-00396</t>
        </is>
      </c>
      <c r="B397" t="inlineStr">
        <is>
          <t>CUST-0251</t>
        </is>
      </c>
      <c r="C397" s="11" t="n">
        <v>46047</v>
      </c>
      <c r="D397" t="inlineStr">
        <is>
          <t>In-App Feedback</t>
        </is>
      </c>
      <c r="E397" t="inlineStr">
        <is>
          <t>Professional</t>
        </is>
      </c>
      <c r="F397" t="inlineStr">
        <is>
          <t>Mid-Market</t>
        </is>
      </c>
      <c r="G397" t="inlineStr">
        <is>
          <t>Integrations</t>
        </is>
      </c>
      <c r="H397" t="inlineStr">
        <is>
          <t>Integration Issue</t>
        </is>
      </c>
      <c r="I397" t="inlineStr">
        <is>
          <t>This has been a recurring problem for us. Webhook delivery is unreliable and there is no retry or log we can inspect. It affects our lead handoff process every cycle. Support suggested logging it here.</t>
        </is>
      </c>
      <c r="J397" t="inlineStr">
        <is>
          <t>Negative</t>
        </is>
      </c>
      <c r="K397" t="inlineStr">
        <is>
          <t>Medium</t>
        </is>
      </c>
      <c r="L397" t="inlineStr">
        <is>
          <t>Workflow Slowdown</t>
        </is>
      </c>
      <c r="M397" t="inlineStr">
        <is>
          <t>int_api</t>
        </is>
      </c>
      <c r="N397" t="inlineStr">
        <is>
          <t>API limits and webhook failures</t>
        </is>
      </c>
      <c r="O397" t="inlineStr">
        <is>
          <t>2026-01</t>
        </is>
      </c>
    </row>
    <row r="398">
      <c r="A398" t="inlineStr">
        <is>
          <t>FB-00397</t>
        </is>
      </c>
      <c r="B398" t="inlineStr">
        <is>
          <t>CUST-0215</t>
        </is>
      </c>
      <c r="C398" s="11" t="n">
        <v>46047</v>
      </c>
      <c r="D398" t="inlineStr">
        <is>
          <t>Support Ticket</t>
        </is>
      </c>
      <c r="E398" t="inlineStr">
        <is>
          <t>Starter</t>
        </is>
      </c>
      <c r="F398" t="inlineStr">
        <is>
          <t>SMB</t>
        </is>
      </c>
      <c r="G398" t="inlineStr">
        <is>
          <t>Workflow Automation</t>
        </is>
      </c>
      <c r="H398" t="inlineStr">
        <is>
          <t>Bug</t>
        </is>
      </c>
      <c r="I398" t="inlineStr">
        <is>
          <t>Not what we expected for the price. Since the last release we've had workflow runs failing silently and tasks are being created twice. Our customer success lead flagged it while onboarding 118 new users. Please look into it soon.</t>
        </is>
      </c>
      <c r="J398" t="inlineStr">
        <is>
          <t>Negative</t>
        </is>
      </c>
      <c r="K398" t="inlineStr">
        <is>
          <t>Low</t>
        </is>
      </c>
      <c r="L398" t="inlineStr">
        <is>
          <t>Blocks Key Task</t>
        </is>
      </c>
      <c r="M398" t="inlineStr">
        <is>
          <t>wf_fail</t>
        </is>
      </c>
      <c r="N398" t="inlineStr">
        <is>
          <t>Workflows failing silently</t>
        </is>
      </c>
      <c r="O398" t="inlineStr">
        <is>
          <t>2026-01</t>
        </is>
      </c>
    </row>
    <row r="399">
      <c r="A399" t="inlineStr">
        <is>
          <t>FB-00398</t>
        </is>
      </c>
      <c r="B399" t="inlineStr">
        <is>
          <t>CUST-0179</t>
        </is>
      </c>
      <c r="C399" s="11" t="n">
        <v>46048</v>
      </c>
      <c r="D399" t="inlineStr">
        <is>
          <t>Support Ticket</t>
        </is>
      </c>
      <c r="E399" t="inlineStr">
        <is>
          <t>Enterprise</t>
        </is>
      </c>
      <c r="F399" t="inlineStr">
        <is>
          <t>Enterprise</t>
        </is>
      </c>
      <c r="G399" t="inlineStr">
        <is>
          <t>Workflow Automation</t>
        </is>
      </c>
      <c r="H399" t="inlineStr">
        <is>
          <t>Bug</t>
        </is>
      </c>
      <c r="I399" t="inlineStr">
        <is>
          <t>This has been a recurring problem for us. Several workflow failures left deals stuck in the wrong stage. So far 23 people on our side have reported it.</t>
        </is>
      </c>
      <c r="J399" t="inlineStr">
        <is>
          <t>Negative</t>
        </is>
      </c>
      <c r="K399" t="inlineStr">
        <is>
          <t>High</t>
        </is>
      </c>
      <c r="L399" t="inlineStr">
        <is>
          <t>Blocks Key Task</t>
        </is>
      </c>
      <c r="M399" t="inlineStr">
        <is>
          <t>wf_fail</t>
        </is>
      </c>
      <c r="N399" t="inlineStr">
        <is>
          <t>Workflows failing silently</t>
        </is>
      </c>
      <c r="O399" t="inlineStr">
        <is>
          <t>2026-01</t>
        </is>
      </c>
    </row>
    <row r="400">
      <c r="A400" t="inlineStr">
        <is>
          <t>FB-00399</t>
        </is>
      </c>
      <c r="B400" t="inlineStr">
        <is>
          <t>CUST-0251</t>
        </is>
      </c>
      <c r="C400" s="11" t="n">
        <v>46048</v>
      </c>
      <c r="D400" t="inlineStr">
        <is>
          <t>Customer Survey</t>
        </is>
      </c>
      <c r="E400" t="inlineStr">
        <is>
          <t>Professional</t>
        </is>
      </c>
      <c r="F400" t="inlineStr">
        <is>
          <t>Mid-Market</t>
        </is>
      </c>
      <c r="G400" t="inlineStr">
        <is>
          <t>Lead Management</t>
        </is>
      </c>
      <c r="H400" t="inlineStr">
        <is>
          <t>Feature Request</t>
        </is>
      </c>
      <c r="I400" t="inlineStr">
        <is>
          <t>Would love to see lead scoring rules that marketing and sales can both tune. We estimate we lose roughly 39 hours a month on this. Happy to join a feedback call.</t>
        </is>
      </c>
      <c r="J400" t="inlineStr">
        <is>
          <t>Neutral</t>
        </is>
      </c>
      <c r="K400" t="inlineStr">
        <is>
          <t>Medium</t>
        </is>
      </c>
      <c r="L400" t="inlineStr">
        <is>
          <t>Minor Inconvenience</t>
        </is>
      </c>
      <c r="M400" t="inlineStr">
        <is>
          <t>lead_score</t>
        </is>
      </c>
      <c r="N400" t="inlineStr">
        <is>
          <t>Automated lead scoring</t>
        </is>
      </c>
      <c r="O400" t="inlineStr">
        <is>
          <t>2026-01</t>
        </is>
      </c>
    </row>
    <row r="401">
      <c r="A401" t="inlineStr">
        <is>
          <t>FB-00400</t>
        </is>
      </c>
      <c r="B401" t="inlineStr">
        <is>
          <t>CUST-0070</t>
        </is>
      </c>
      <c r="C401" s="11" t="n">
        <v>46048</v>
      </c>
      <c r="D401" t="inlineStr">
        <is>
          <t>Feature Request</t>
        </is>
      </c>
      <c r="E401" t="inlineStr">
        <is>
          <t>Professional</t>
        </is>
      </c>
      <c r="F401" t="inlineStr">
        <is>
          <t>SMB</t>
        </is>
      </c>
      <c r="G401" t="inlineStr">
        <is>
          <t>Integrations</t>
        </is>
      </c>
      <c r="H401" t="inlineStr">
        <is>
          <t>Feature Request</t>
        </is>
      </c>
      <c r="I401" t="inlineStr">
        <is>
          <t>We would pay for a native Slack integration instead of maintaining Zapier chains. So far 55 people on our side have reported it.</t>
        </is>
      </c>
      <c r="J401" t="inlineStr">
        <is>
          <t>Negative</t>
        </is>
      </c>
      <c r="K401" t="inlineStr">
        <is>
          <t>Low</t>
        </is>
      </c>
      <c r="L401" t="inlineStr">
        <is>
          <t>Workflow Slowdown</t>
        </is>
      </c>
      <c r="M401" t="inlineStr">
        <is>
          <t>int_native</t>
        </is>
      </c>
      <c r="N401" t="inlineStr">
        <is>
          <t>Native integrations</t>
        </is>
      </c>
      <c r="O401" t="inlineStr">
        <is>
          <t>2026-01</t>
        </is>
      </c>
    </row>
    <row r="402">
      <c r="A402" t="inlineStr">
        <is>
          <t>FB-00401</t>
        </is>
      </c>
      <c r="B402" t="inlineStr">
        <is>
          <t>CUST-0354</t>
        </is>
      </c>
      <c r="C402" s="11" t="n">
        <v>46048</v>
      </c>
      <c r="D402" t="inlineStr">
        <is>
          <t>In-App Feedback</t>
        </is>
      </c>
      <c r="E402" t="inlineStr">
        <is>
          <t>Enterprise</t>
        </is>
      </c>
      <c r="F402" t="inlineStr">
        <is>
          <t>Mid-Market</t>
        </is>
      </c>
      <c r="G402" t="inlineStr">
        <is>
          <t>Contact Management</t>
        </is>
      </c>
      <c r="H402" t="inlineStr">
        <is>
          <t>Feature Request</t>
        </is>
      </c>
      <c r="I402" t="inlineStr">
        <is>
          <t>Overall we like the product. A tool to merge duplicate contacts that keeps activity history would save our ops team hours. We estimate we lose roughly 19 hours a month on this. Thanks to the team.</t>
        </is>
      </c>
      <c r="J402" t="inlineStr">
        <is>
          <t>Positive</t>
        </is>
      </c>
      <c r="K402" t="inlineStr">
        <is>
          <t>Low</t>
        </is>
      </c>
      <c r="L402" t="inlineStr">
        <is>
          <t>Minor Inconvenience</t>
        </is>
      </c>
      <c r="M402" t="inlineStr">
        <is>
          <t>contact_dedupe</t>
        </is>
      </c>
      <c r="N402" t="inlineStr">
        <is>
          <t>Bulk contact merge</t>
        </is>
      </c>
      <c r="O402" t="inlineStr">
        <is>
          <t>2026-01</t>
        </is>
      </c>
    </row>
    <row r="403">
      <c r="A403" t="inlineStr">
        <is>
          <t>FB-00402</t>
        </is>
      </c>
      <c r="B403" t="inlineStr">
        <is>
          <t>CUST-0202</t>
        </is>
      </c>
      <c r="C403" s="11" t="n">
        <v>46049</v>
      </c>
      <c r="D403" t="inlineStr">
        <is>
          <t>Customer Survey</t>
        </is>
      </c>
      <c r="E403" t="inlineStr">
        <is>
          <t>Enterprise</t>
        </is>
      </c>
      <c r="F403" t="inlineStr">
        <is>
          <t>Enterprise</t>
        </is>
      </c>
      <c r="G403" t="inlineStr">
        <is>
          <t>Lead Management</t>
        </is>
      </c>
      <c r="H403" t="inlineStr">
        <is>
          <t>Bug</t>
        </is>
      </c>
      <c r="I403" t="inlineStr">
        <is>
          <t>Noting this during onboarding. There are duplicate lead records across our pipeline views and nobody knows which record is the source of truth. It happens about 23 times a week for our team of 5. Happy to join a feedback call.</t>
        </is>
      </c>
      <c r="J403" t="inlineStr">
        <is>
          <t>Neutral</t>
        </is>
      </c>
      <c r="K403" t="inlineStr">
        <is>
          <t>Low</t>
        </is>
      </c>
      <c r="L403" t="inlineStr">
        <is>
          <t>Minor Inconvenience</t>
        </is>
      </c>
      <c r="M403" t="inlineStr">
        <is>
          <t>lead_dup</t>
        </is>
      </c>
      <c r="N403" t="inlineStr">
        <is>
          <t>Duplicate leads created</t>
        </is>
      </c>
      <c r="O403" t="inlineStr">
        <is>
          <t>2026-01</t>
        </is>
      </c>
    </row>
    <row r="404">
      <c r="A404" t="inlineStr">
        <is>
          <t>FB-00403</t>
        </is>
      </c>
      <c r="B404" t="inlineStr">
        <is>
          <t>CUST-0103</t>
        </is>
      </c>
      <c r="C404" s="11" t="n">
        <v>46049</v>
      </c>
      <c r="D404" t="inlineStr">
        <is>
          <t>Customer Survey</t>
        </is>
      </c>
      <c r="E404" t="inlineStr">
        <is>
          <t>Professional</t>
        </is>
      </c>
      <c r="F404" t="inlineStr">
        <is>
          <t>Mid-Market</t>
        </is>
      </c>
      <c r="G404" t="inlineStr">
        <is>
          <t>Workflow Automation</t>
        </is>
      </c>
      <c r="H404" t="inlineStr">
        <is>
          <t>Feature Request</t>
        </is>
      </c>
      <c r="I404" t="inlineStr">
        <is>
          <t>Requesting a discount approval flow; today approvals happen over chat. So far 10 people on our side have reported it.</t>
        </is>
      </c>
      <c r="J404" t="inlineStr">
        <is>
          <t>Positive</t>
        </is>
      </c>
      <c r="K404" t="inlineStr">
        <is>
          <t>Low</t>
        </is>
      </c>
      <c r="L404" t="inlineStr">
        <is>
          <t>Minor Inconvenience</t>
        </is>
      </c>
      <c r="M404" t="inlineStr">
        <is>
          <t>wf_approval</t>
        </is>
      </c>
      <c r="N404" t="inlineStr">
        <is>
          <t>Approval steps in workflows</t>
        </is>
      </c>
      <c r="O404" t="inlineStr">
        <is>
          <t>2026-01</t>
        </is>
      </c>
    </row>
    <row r="405">
      <c r="A405" t="inlineStr">
        <is>
          <t>FB-00404</t>
        </is>
      </c>
      <c r="B405" t="inlineStr">
        <is>
          <t>CUST-0054</t>
        </is>
      </c>
      <c r="C405" s="11" t="n">
        <v>46050</v>
      </c>
      <c r="D405" t="inlineStr">
        <is>
          <t>Feature Request</t>
        </is>
      </c>
      <c r="E405" t="inlineStr">
        <is>
          <t>Enterprise</t>
        </is>
      </c>
      <c r="F405" t="inlineStr">
        <is>
          <t>Enterprise</t>
        </is>
      </c>
      <c r="G405" t="inlineStr">
        <is>
          <t>User Interface</t>
        </is>
      </c>
      <c r="H405" t="inlineStr">
        <is>
          <t>Feature Request</t>
        </is>
      </c>
      <c r="I405" t="inlineStr">
        <is>
          <t>Please add bulk actions on lists; changing records one at a time wastes hours. Our RevOps lead flagged it while onboarding 8 new users. Keep up the good work.</t>
        </is>
      </c>
      <c r="J405" t="inlineStr">
        <is>
          <t>Positive</t>
        </is>
      </c>
      <c r="K405" t="inlineStr">
        <is>
          <t>Low</t>
        </is>
      </c>
      <c r="L405" t="inlineStr">
        <is>
          <t>Minor Inconvenience</t>
        </is>
      </c>
      <c r="M405" t="inlineStr">
        <is>
          <t>ui_bulk</t>
        </is>
      </c>
      <c r="N405" t="inlineStr">
        <is>
          <t>Bulk actions</t>
        </is>
      </c>
      <c r="O405" t="inlineStr">
        <is>
          <t>2026-01</t>
        </is>
      </c>
    </row>
    <row r="406">
      <c r="A406" t="inlineStr">
        <is>
          <t>FB-00405</t>
        </is>
      </c>
      <c r="B406" t="inlineStr">
        <is>
          <t>CUST-0015</t>
        </is>
      </c>
      <c r="C406" s="11" t="n">
        <v>46050</v>
      </c>
      <c r="D406" t="inlineStr">
        <is>
          <t>Support Ticket</t>
        </is>
      </c>
      <c r="E406" t="inlineStr">
        <is>
          <t>Professional</t>
        </is>
      </c>
      <c r="F406" t="inlineStr">
        <is>
          <t>Mid-Market</t>
        </is>
      </c>
      <c r="G406" t="inlineStr">
        <is>
          <t>Lead Management</t>
        </is>
      </c>
      <c r="H406" t="inlineStr">
        <is>
          <t>Bug</t>
        </is>
      </c>
      <c r="I406" t="inlineStr">
        <is>
          <t>Escalating on behalf of our ops lead. After every list import we find lead de-duplication failures that have to be cleaned up by hand. Is there a workaround?</t>
        </is>
      </c>
      <c r="J406" t="inlineStr">
        <is>
          <t>Negative</t>
        </is>
      </c>
      <c r="K406" t="inlineStr">
        <is>
          <t>High</t>
        </is>
      </c>
      <c r="L406" t="inlineStr">
        <is>
          <t>Revenue/Operations Risk</t>
        </is>
      </c>
      <c r="M406" t="inlineStr">
        <is>
          <t>lead_dup</t>
        </is>
      </c>
      <c r="N406" t="inlineStr">
        <is>
          <t>Duplicate leads created</t>
        </is>
      </c>
      <c r="O406" t="inlineStr">
        <is>
          <t>2026-01</t>
        </is>
      </c>
    </row>
    <row r="407">
      <c r="A407" t="inlineStr">
        <is>
          <t>FB-00406</t>
        </is>
      </c>
      <c r="B407" t="inlineStr">
        <is>
          <t>CUST-0216</t>
        </is>
      </c>
      <c r="C407" s="11" t="n">
        <v>46051</v>
      </c>
      <c r="D407" t="inlineStr">
        <is>
          <t>Customer Survey</t>
        </is>
      </c>
      <c r="E407" t="inlineStr">
        <is>
          <t>Starter</t>
        </is>
      </c>
      <c r="F407" t="inlineStr">
        <is>
          <t>Mid-Market</t>
        </is>
      </c>
      <c r="G407" t="inlineStr">
        <is>
          <t>Contact Management</t>
        </is>
      </c>
      <c r="H407" t="inlineStr">
        <is>
          <t>Feature Request</t>
        </is>
      </c>
      <c r="I407" t="inlineStr">
        <is>
          <t>Requesting a contact relationship hierarchy so account managers can see who reports to whom. It affects our renewal process every cycle.</t>
        </is>
      </c>
      <c r="J407" t="inlineStr">
        <is>
          <t>Positive</t>
        </is>
      </c>
      <c r="K407" t="inlineStr">
        <is>
          <t>Low</t>
        </is>
      </c>
      <c r="L407" t="inlineStr">
        <is>
          <t>Minor Inconvenience</t>
        </is>
      </c>
      <c r="M407" t="inlineStr">
        <is>
          <t>contact_custom</t>
        </is>
      </c>
      <c r="N407" t="inlineStr">
        <is>
          <t>Custom fields and hierarchy</t>
        </is>
      </c>
      <c r="O407" t="inlineStr">
        <is>
          <t>2026-01</t>
        </is>
      </c>
    </row>
    <row r="408">
      <c r="A408" t="inlineStr">
        <is>
          <t>FB-00407</t>
        </is>
      </c>
      <c r="B408" t="inlineStr">
        <is>
          <t>CUST-0390</t>
        </is>
      </c>
      <c r="C408" s="11" t="n">
        <v>46051</v>
      </c>
      <c r="D408" t="inlineStr">
        <is>
          <t>In-App Feedback</t>
        </is>
      </c>
      <c r="E408" t="inlineStr">
        <is>
          <t>Professional</t>
        </is>
      </c>
      <c r="F408" t="inlineStr">
        <is>
          <t>Mid-Market</t>
        </is>
      </c>
      <c r="G408" t="inlineStr">
        <is>
          <t>Integrations</t>
        </is>
      </c>
      <c r="H408" t="inlineStr">
        <is>
          <t>Feature Request</t>
        </is>
      </c>
      <c r="I408" t="inlineStr">
        <is>
          <t>Feedback from our monthly review. Please build a marketing automation connector; our team copies data across systems daily. So far 88 people on our side have reported it. Let us know if you need examples.</t>
        </is>
      </c>
      <c r="J408" t="inlineStr">
        <is>
          <t>Neutral</t>
        </is>
      </c>
      <c r="K408" t="inlineStr">
        <is>
          <t>Low</t>
        </is>
      </c>
      <c r="L408" t="inlineStr">
        <is>
          <t>Minor Inconvenience</t>
        </is>
      </c>
      <c r="M408" t="inlineStr">
        <is>
          <t>int_native</t>
        </is>
      </c>
      <c r="N408" t="inlineStr">
        <is>
          <t>Native integrations</t>
        </is>
      </c>
      <c r="O408" t="inlineStr">
        <is>
          <t>2026-01</t>
        </is>
      </c>
    </row>
    <row r="409">
      <c r="A409" t="inlineStr">
        <is>
          <t>FB-00408</t>
        </is>
      </c>
      <c r="B409" t="inlineStr">
        <is>
          <t>CUST-0218</t>
        </is>
      </c>
      <c r="C409" s="11" t="n">
        <v>46051</v>
      </c>
      <c r="D409" t="inlineStr">
        <is>
          <t>Support Ticket</t>
        </is>
      </c>
      <c r="E409" t="inlineStr">
        <is>
          <t>Professional</t>
        </is>
      </c>
      <c r="F409" t="inlineStr">
        <is>
          <t>SMB</t>
        </is>
      </c>
      <c r="G409" t="inlineStr">
        <is>
          <t>Contact Management</t>
        </is>
      </c>
      <c r="H409" t="inlineStr">
        <is>
          <t>Bug</t>
        </is>
      </c>
      <c r="I409" t="inlineStr">
        <is>
          <t>The import field mapping rejects files with accented characters in names. We estimate we lose roughly 55 hours a month on this.</t>
        </is>
      </c>
      <c r="J409" t="inlineStr">
        <is>
          <t>Negative</t>
        </is>
      </c>
      <c r="K409" t="inlineStr">
        <is>
          <t>Low</t>
        </is>
      </c>
      <c r="L409" t="inlineStr">
        <is>
          <t>Minor Inconvenience</t>
        </is>
      </c>
      <c r="M409" t="inlineStr">
        <is>
          <t>contact_import</t>
        </is>
      </c>
      <c r="N409" t="inlineStr">
        <is>
          <t>Unreliable contact imports</t>
        </is>
      </c>
      <c r="O409" t="inlineStr">
        <is>
          <t>2026-01</t>
        </is>
      </c>
    </row>
    <row r="410">
      <c r="A410" t="inlineStr">
        <is>
          <t>FB-00409</t>
        </is>
      </c>
      <c r="B410" t="inlineStr">
        <is>
          <t>CUST-0196</t>
        </is>
      </c>
      <c r="C410" s="11" t="n">
        <v>46051</v>
      </c>
      <c r="D410" t="inlineStr">
        <is>
          <t>Support Ticket</t>
        </is>
      </c>
      <c r="E410" t="inlineStr">
        <is>
          <t>Enterprise</t>
        </is>
      </c>
      <c r="F410" t="inlineStr">
        <is>
          <t>Enterprise</t>
        </is>
      </c>
      <c r="G410" t="inlineStr">
        <is>
          <t>Workflow Automation</t>
        </is>
      </c>
      <c r="H410" t="inlineStr">
        <is>
          <t>Usability Issue</t>
        </is>
      </c>
      <c r="I410" t="inlineStr">
        <is>
          <t>Overall we like the product. I can't tell what a branch does in the automation canvas without opening every node. Happy to beta test.</t>
        </is>
      </c>
      <c r="J410" t="inlineStr">
        <is>
          <t>Positive</t>
        </is>
      </c>
      <c r="K410" t="inlineStr">
        <is>
          <t>Medium</t>
        </is>
      </c>
      <c r="L410" t="inlineStr">
        <is>
          <t>Workflow Slowdown</t>
        </is>
      </c>
      <c r="M410" t="inlineStr">
        <is>
          <t>wf_builder</t>
        </is>
      </c>
      <c r="N410" t="inlineStr">
        <is>
          <t>Confusing workflow builder</t>
        </is>
      </c>
      <c r="O410" t="inlineStr">
        <is>
          <t>2026-01</t>
        </is>
      </c>
    </row>
    <row r="411">
      <c r="A411" t="inlineStr">
        <is>
          <t>FB-00410</t>
        </is>
      </c>
      <c r="B411" t="inlineStr">
        <is>
          <t>CUST-0096</t>
        </is>
      </c>
      <c r="C411" s="11" t="n">
        <v>46051</v>
      </c>
      <c r="D411" t="inlineStr">
        <is>
          <t>Support Ticket</t>
        </is>
      </c>
      <c r="E411" t="inlineStr">
        <is>
          <t>Enterprise</t>
        </is>
      </c>
      <c r="F411" t="inlineStr">
        <is>
          <t>Enterprise</t>
        </is>
      </c>
      <c r="G411" t="inlineStr">
        <is>
          <t>Workflow Automation</t>
        </is>
      </c>
      <c r="H411" t="inlineStr">
        <is>
          <t>Feature Request</t>
        </is>
      </c>
      <c r="I411" t="inlineStr">
        <is>
          <t>Great support experience recently. Adding approval steps is a blocker for our finance team. Happy to beta test.</t>
        </is>
      </c>
      <c r="J411" t="inlineStr">
        <is>
          <t>Positive</t>
        </is>
      </c>
      <c r="K411" t="inlineStr">
        <is>
          <t>Low</t>
        </is>
      </c>
      <c r="L411" t="inlineStr">
        <is>
          <t>Blocks Key Task</t>
        </is>
      </c>
      <c r="M411" t="inlineStr">
        <is>
          <t>wf_approval</t>
        </is>
      </c>
      <c r="N411" t="inlineStr">
        <is>
          <t>Approval steps in workflows</t>
        </is>
      </c>
      <c r="O411" t="inlineStr">
        <is>
          <t>2026-01</t>
        </is>
      </c>
    </row>
    <row r="412">
      <c r="A412" t="inlineStr">
        <is>
          <t>FB-00411</t>
        </is>
      </c>
      <c r="B412" t="inlineStr">
        <is>
          <t>CUST-0292</t>
        </is>
      </c>
      <c r="C412" s="11" t="n">
        <v>46051</v>
      </c>
      <c r="D412" t="inlineStr">
        <is>
          <t>In-App Feedback</t>
        </is>
      </c>
      <c r="E412" t="inlineStr">
        <is>
          <t>Professional</t>
        </is>
      </c>
      <c r="F412" t="inlineStr">
        <is>
          <t>Mid-Market</t>
        </is>
      </c>
      <c r="G412" t="inlineStr">
        <is>
          <t>Workflow Automation</t>
        </is>
      </c>
      <c r="H412" t="inlineStr">
        <is>
          <t>Bug</t>
        </is>
      </c>
      <c r="I412" t="inlineStr">
        <is>
          <t>This has been a recurring problem for us. We are hitting workflow runs failing silently: emails don't send and nobody gets notified. It affects our month-end reporting process every cycle. Please look into it soon.</t>
        </is>
      </c>
      <c r="J412" t="inlineStr">
        <is>
          <t>Negative</t>
        </is>
      </c>
      <c r="K412" t="inlineStr">
        <is>
          <t>Medium</t>
        </is>
      </c>
      <c r="L412" t="inlineStr">
        <is>
          <t>Workflow Slowdown</t>
        </is>
      </c>
      <c r="M412" t="inlineStr">
        <is>
          <t>wf_fail</t>
        </is>
      </c>
      <c r="N412" t="inlineStr">
        <is>
          <t>Workflows failing silently</t>
        </is>
      </c>
      <c r="O412" t="inlineStr">
        <is>
          <t>2026-01</t>
        </is>
      </c>
    </row>
    <row r="413">
      <c r="A413" t="inlineStr">
        <is>
          <t>FB-00412</t>
        </is>
      </c>
      <c r="B413" t="inlineStr">
        <is>
          <t>CUST-0055</t>
        </is>
      </c>
      <c r="C413" s="11" t="n">
        <v>46051</v>
      </c>
      <c r="D413" t="inlineStr">
        <is>
          <t>Feature Request</t>
        </is>
      </c>
      <c r="E413" t="inlineStr">
        <is>
          <t>Professional</t>
        </is>
      </c>
      <c r="F413" t="inlineStr">
        <is>
          <t>Mid-Market</t>
        </is>
      </c>
      <c r="G413" t="inlineStr">
        <is>
          <t>Reporting</t>
        </is>
      </c>
      <c r="H413" t="inlineStr">
        <is>
          <t>Feature Request</t>
        </is>
      </c>
      <c r="I413" t="inlineStr">
        <is>
          <t>Escalating on behalf of our ops lead. We need scheduled report emails so non-technical managers can create their own views.</t>
        </is>
      </c>
      <c r="J413" t="inlineStr">
        <is>
          <t>Negative</t>
        </is>
      </c>
      <c r="K413" t="inlineStr">
        <is>
          <t>Low</t>
        </is>
      </c>
      <c r="L413" t="inlineStr">
        <is>
          <t>Minor Inconvenience</t>
        </is>
      </c>
      <c r="M413" t="inlineStr">
        <is>
          <t>rep_custom</t>
        </is>
      </c>
      <c r="N413" t="inlineStr">
        <is>
          <t>Custom and scheduled reports</t>
        </is>
      </c>
      <c r="O413" t="inlineStr">
        <is>
          <t>2026-01</t>
        </is>
      </c>
    </row>
    <row r="414">
      <c r="A414" t="inlineStr">
        <is>
          <t>FB-00413</t>
        </is>
      </c>
      <c r="B414" t="inlineStr">
        <is>
          <t>CUST-0258</t>
        </is>
      </c>
      <c r="C414" s="11" t="n">
        <v>46051</v>
      </c>
      <c r="D414" t="inlineStr">
        <is>
          <t>Customer Survey</t>
        </is>
      </c>
      <c r="E414" t="inlineStr">
        <is>
          <t>Professional</t>
        </is>
      </c>
      <c r="F414" t="inlineStr">
        <is>
          <t>Mid-Market</t>
        </is>
      </c>
      <c r="G414" t="inlineStr">
        <is>
          <t>Lead Management</t>
        </is>
      </c>
      <c r="H414" t="inlineStr">
        <is>
          <t>Feature Request</t>
        </is>
      </c>
      <c r="I414" t="inlineStr">
        <is>
          <t>Happy with most of the product. Please add automated lead scoring based on engagement, company size and recent activity. Our customer success lead flagged it while onboarding 75 new users.</t>
        </is>
      </c>
      <c r="J414" t="inlineStr">
        <is>
          <t>Positive</t>
        </is>
      </c>
      <c r="K414" t="inlineStr">
        <is>
          <t>Low</t>
        </is>
      </c>
      <c r="L414" t="inlineStr">
        <is>
          <t>Minor Inconvenience</t>
        </is>
      </c>
      <c r="M414" t="inlineStr">
        <is>
          <t>lead_score</t>
        </is>
      </c>
      <c r="N414" t="inlineStr">
        <is>
          <t>Automated lead scoring</t>
        </is>
      </c>
      <c r="O414" t="inlineStr">
        <is>
          <t>2026-01</t>
        </is>
      </c>
    </row>
    <row r="415">
      <c r="A415" t="inlineStr">
        <is>
          <t>FB-00414</t>
        </is>
      </c>
      <c r="B415" t="inlineStr">
        <is>
          <t>CUST-0021</t>
        </is>
      </c>
      <c r="C415" s="11" t="n">
        <v>46051</v>
      </c>
      <c r="D415" t="inlineStr">
        <is>
          <t>In-App Feedback</t>
        </is>
      </c>
      <c r="E415" t="inlineStr">
        <is>
          <t>Professional</t>
        </is>
      </c>
      <c r="F415" t="inlineStr">
        <is>
          <t>Mid-Market</t>
        </is>
      </c>
      <c r="G415" t="inlineStr">
        <is>
          <t>User Interface</t>
        </is>
      </c>
      <c r="H415" t="inlineStr">
        <is>
          <t>Usability Issue</t>
        </is>
      </c>
      <c r="I415" t="inlineStr">
        <is>
          <t>Too many clicks to reach common screens because of the page layout. We estimate we lose roughly 16 hours a month on this. Let us know if you need examples.</t>
        </is>
      </c>
      <c r="J415" t="inlineStr">
        <is>
          <t>Neutral</t>
        </is>
      </c>
      <c r="K415" t="inlineStr">
        <is>
          <t>High</t>
        </is>
      </c>
      <c r="L415" t="inlineStr">
        <is>
          <t>Blocks Key Task</t>
        </is>
      </c>
      <c r="M415" t="inlineStr">
        <is>
          <t>ui_nav</t>
        </is>
      </c>
      <c r="N415" t="inlineStr">
        <is>
          <t>Cluttered navigation</t>
        </is>
      </c>
      <c r="O415" t="inlineStr">
        <is>
          <t>2026-01</t>
        </is>
      </c>
    </row>
    <row r="416">
      <c r="A416" t="inlineStr">
        <is>
          <t>FB-00415</t>
        </is>
      </c>
      <c r="B416" t="inlineStr">
        <is>
          <t>CUST-0034</t>
        </is>
      </c>
      <c r="C416" s="11" t="n">
        <v>46052</v>
      </c>
      <c r="D416" t="inlineStr">
        <is>
          <t>Support Ticket</t>
        </is>
      </c>
      <c r="E416" t="inlineStr">
        <is>
          <t>Professional</t>
        </is>
      </c>
      <c r="F416" t="inlineStr">
        <is>
          <t>Mid-Market</t>
        </is>
      </c>
      <c r="G416" t="inlineStr">
        <is>
          <t>Reporting</t>
        </is>
      </c>
      <c r="H416" t="inlineStr">
        <is>
          <t>Bug</t>
        </is>
      </c>
      <c r="I416" t="inlineStr">
        <is>
          <t>Escalating on behalf of our ops lead. The report export times out for date ranges longer than a quarter. We estimate we lose roughly 30 hours a month on this.</t>
        </is>
      </c>
      <c r="J416" t="inlineStr">
        <is>
          <t>Negative</t>
        </is>
      </c>
      <c r="K416" t="inlineStr">
        <is>
          <t>Low</t>
        </is>
      </c>
      <c r="L416" t="inlineStr">
        <is>
          <t>Minor Inconvenience</t>
        </is>
      </c>
      <c r="M416" t="inlineStr">
        <is>
          <t>rep_export</t>
        </is>
      </c>
      <c r="N416" t="inlineStr">
        <is>
          <t>Broken report exports</t>
        </is>
      </c>
      <c r="O416" t="inlineStr">
        <is>
          <t>2026-01</t>
        </is>
      </c>
    </row>
    <row r="417">
      <c r="A417" t="inlineStr">
        <is>
          <t>FB-00416</t>
        </is>
      </c>
      <c r="B417" t="inlineStr">
        <is>
          <t>CUST-0153</t>
        </is>
      </c>
      <c r="C417" s="11" t="n">
        <v>46052</v>
      </c>
      <c r="D417" t="inlineStr">
        <is>
          <t>Customer Survey</t>
        </is>
      </c>
      <c r="E417" t="inlineStr">
        <is>
          <t>Enterprise</t>
        </is>
      </c>
      <c r="F417" t="inlineStr">
        <is>
          <t>Enterprise</t>
        </is>
      </c>
      <c r="G417" t="inlineStr">
        <is>
          <t>Contact Management</t>
        </is>
      </c>
      <c r="H417" t="inlineStr">
        <is>
          <t>Feature Request</t>
        </is>
      </c>
      <c r="I417" t="inlineStr">
        <is>
          <t>This has been a recurring problem for us. We need a contact relationship hierarchy to reflect parent companies and subsidiaries. Please look into it soon.</t>
        </is>
      </c>
      <c r="J417" t="inlineStr">
        <is>
          <t>Negative</t>
        </is>
      </c>
      <c r="K417" t="inlineStr">
        <is>
          <t>Low</t>
        </is>
      </c>
      <c r="L417" t="inlineStr">
        <is>
          <t>Workflow Slowdown</t>
        </is>
      </c>
      <c r="M417" t="inlineStr">
        <is>
          <t>contact_custom</t>
        </is>
      </c>
      <c r="N417" t="inlineStr">
        <is>
          <t>Custom fields and hierarchy</t>
        </is>
      </c>
      <c r="O417" t="inlineStr">
        <is>
          <t>2026-01</t>
        </is>
      </c>
    </row>
    <row r="418">
      <c r="A418" t="inlineStr">
        <is>
          <t>FB-00417</t>
        </is>
      </c>
      <c r="B418" t="inlineStr">
        <is>
          <t>CUST-0006</t>
        </is>
      </c>
      <c r="C418" s="11" t="n">
        <v>46052</v>
      </c>
      <c r="D418" t="inlineStr">
        <is>
          <t>Customer Survey</t>
        </is>
      </c>
      <c r="E418" t="inlineStr">
        <is>
          <t>Starter</t>
        </is>
      </c>
      <c r="F418" t="inlineStr">
        <is>
          <t>Mid-Market</t>
        </is>
      </c>
      <c r="G418" t="inlineStr">
        <is>
          <t>Workflow Automation</t>
        </is>
      </c>
      <c r="H418" t="inlineStr">
        <is>
          <t>Usability Issue</t>
        </is>
      </c>
      <c r="I418" t="inlineStr">
        <is>
          <t>Frustrated with this one. Our new admins struggle with the workflow builder; there is no guidance or validation. It happens about 29 times a week for our team of 85.</t>
        </is>
      </c>
      <c r="J418" t="inlineStr">
        <is>
          <t>Negative</t>
        </is>
      </c>
      <c r="K418" t="inlineStr">
        <is>
          <t>Medium</t>
        </is>
      </c>
      <c r="L418" t="inlineStr">
        <is>
          <t>Blocks Key Task</t>
        </is>
      </c>
      <c r="M418" t="inlineStr">
        <is>
          <t>wf_builder</t>
        </is>
      </c>
      <c r="N418" t="inlineStr">
        <is>
          <t>Confusing workflow builder</t>
        </is>
      </c>
      <c r="O418" t="inlineStr">
        <is>
          <t>2026-01</t>
        </is>
      </c>
    </row>
    <row r="419">
      <c r="A419" t="inlineStr">
        <is>
          <t>FB-00418</t>
        </is>
      </c>
      <c r="B419" t="inlineStr">
        <is>
          <t>CUST-0370</t>
        </is>
      </c>
      <c r="C419" s="11" t="n">
        <v>46052</v>
      </c>
      <c r="D419" t="inlineStr">
        <is>
          <t>Feature Request</t>
        </is>
      </c>
      <c r="E419" t="inlineStr">
        <is>
          <t>Starter</t>
        </is>
      </c>
      <c r="F419" t="inlineStr">
        <is>
          <t>SMB</t>
        </is>
      </c>
      <c r="G419" t="inlineStr">
        <is>
          <t>Lead Management</t>
        </is>
      </c>
      <c r="H419" t="inlineStr">
        <is>
          <t>Feature Request</t>
        </is>
      </c>
      <c r="I419" t="inlineStr">
        <is>
          <t>Noting this during onboarding. Please add lead scoring rules based on engagement, company size and recent activity. Our marketing ops owner flagged it while onboarding 5 new users.</t>
        </is>
      </c>
      <c r="J419" t="inlineStr">
        <is>
          <t>Neutral</t>
        </is>
      </c>
      <c r="K419" t="inlineStr">
        <is>
          <t>High</t>
        </is>
      </c>
      <c r="L419" t="inlineStr">
        <is>
          <t>Blocks Key Task</t>
        </is>
      </c>
      <c r="M419" t="inlineStr">
        <is>
          <t>lead_score</t>
        </is>
      </c>
      <c r="N419" t="inlineStr">
        <is>
          <t>Automated lead scoring</t>
        </is>
      </c>
      <c r="O419" t="inlineStr">
        <is>
          <t>2026-01</t>
        </is>
      </c>
    </row>
    <row r="420">
      <c r="A420" t="inlineStr">
        <is>
          <t>FB-00419</t>
        </is>
      </c>
      <c r="B420" t="inlineStr">
        <is>
          <t>CUST-0139</t>
        </is>
      </c>
      <c r="C420" s="11" t="n">
        <v>46052</v>
      </c>
      <c r="D420" t="inlineStr">
        <is>
          <t>Support Ticket</t>
        </is>
      </c>
      <c r="E420" t="inlineStr">
        <is>
          <t>Professional</t>
        </is>
      </c>
      <c r="F420" t="inlineStr">
        <is>
          <t>Mid-Market</t>
        </is>
      </c>
      <c r="G420" t="inlineStr">
        <is>
          <t>Integrations</t>
        </is>
      </c>
      <c r="H420" t="inlineStr">
        <is>
          <t>Integration Issue</t>
        </is>
      </c>
      <c r="I420" t="inlineStr">
        <is>
          <t>Our team keeps running into this. Our integration partner flagged API timeouts as a risk for the project. It happens about 28 times a week for our team of 23. We need a fix before renewal.</t>
        </is>
      </c>
      <c r="J420" t="inlineStr">
        <is>
          <t>Negative</t>
        </is>
      </c>
      <c r="K420" t="inlineStr">
        <is>
          <t>Medium</t>
        </is>
      </c>
      <c r="L420" t="inlineStr">
        <is>
          <t>Blocks Key Task</t>
        </is>
      </c>
      <c r="M420" t="inlineStr">
        <is>
          <t>int_api</t>
        </is>
      </c>
      <c r="N420" t="inlineStr">
        <is>
          <t>API limits and webhook failures</t>
        </is>
      </c>
      <c r="O420" t="inlineStr">
        <is>
          <t>2026-01</t>
        </is>
      </c>
    </row>
    <row r="421">
      <c r="A421" t="inlineStr">
        <is>
          <t>FB-00420</t>
        </is>
      </c>
      <c r="B421" t="inlineStr">
        <is>
          <t>CUST-0179</t>
        </is>
      </c>
      <c r="C421" s="11" t="n">
        <v>46052</v>
      </c>
      <c r="D421" t="inlineStr">
        <is>
          <t>In-App Feedback</t>
        </is>
      </c>
      <c r="E421" t="inlineStr">
        <is>
          <t>Enterprise</t>
        </is>
      </c>
      <c r="F421" t="inlineStr">
        <is>
          <t>Enterprise</t>
        </is>
      </c>
      <c r="G421" t="inlineStr">
        <is>
          <t>Workflow Automation</t>
        </is>
      </c>
      <c r="H421" t="inlineStr">
        <is>
          <t>Bug</t>
        </is>
      </c>
      <c r="I421" t="inlineStr">
        <is>
          <t>Feedback from our monthly review. Several automation misfires left deals stuck in the wrong stage. It affects our weekly pipeline review process every cycle.</t>
        </is>
      </c>
      <c r="J421" t="inlineStr">
        <is>
          <t>Neutral</t>
        </is>
      </c>
      <c r="K421" t="inlineStr">
        <is>
          <t>Medium</t>
        </is>
      </c>
      <c r="L421" t="inlineStr">
        <is>
          <t>Workflow Slowdown</t>
        </is>
      </c>
      <c r="M421" t="inlineStr">
        <is>
          <t>wf_fail</t>
        </is>
      </c>
      <c r="N421" t="inlineStr">
        <is>
          <t>Workflows failing silently</t>
        </is>
      </c>
      <c r="O421" t="inlineStr">
        <is>
          <t>2026-01</t>
        </is>
      </c>
    </row>
    <row r="422">
      <c r="A422" t="inlineStr">
        <is>
          <t>FB-00421</t>
        </is>
      </c>
      <c r="B422" t="inlineStr">
        <is>
          <t>CUST-0264</t>
        </is>
      </c>
      <c r="C422" s="11" t="n">
        <v>46052</v>
      </c>
      <c r="D422" t="inlineStr">
        <is>
          <t>Feature Request</t>
        </is>
      </c>
      <c r="E422" t="inlineStr">
        <is>
          <t>Professional</t>
        </is>
      </c>
      <c r="F422" t="inlineStr">
        <is>
          <t>Mid-Market</t>
        </is>
      </c>
      <c r="G422" t="inlineStr">
        <is>
          <t>Contact Management</t>
        </is>
      </c>
      <c r="H422" t="inlineStr">
        <is>
          <t>Feature Request</t>
        </is>
      </c>
      <c r="I422" t="inlineStr">
        <is>
          <t>Overall we like the product. We need contact de-duplication tooling because our database has years of overlapping records. It happens about 5 times a week for our team of 94.</t>
        </is>
      </c>
      <c r="J422" t="inlineStr">
        <is>
          <t>Positive</t>
        </is>
      </c>
      <c r="K422" t="inlineStr">
        <is>
          <t>Low</t>
        </is>
      </c>
      <c r="L422" t="inlineStr">
        <is>
          <t>Workflow Slowdown</t>
        </is>
      </c>
      <c r="M422" t="inlineStr">
        <is>
          <t>contact_dedupe</t>
        </is>
      </c>
      <c r="N422" t="inlineStr">
        <is>
          <t>Bulk contact merge</t>
        </is>
      </c>
      <c r="O422" t="inlineStr">
        <is>
          <t>2026-01</t>
        </is>
      </c>
    </row>
    <row r="423">
      <c r="A423" t="inlineStr">
        <is>
          <t>FB-00422</t>
        </is>
      </c>
      <c r="B423" t="inlineStr">
        <is>
          <t>CUST-0175</t>
        </is>
      </c>
      <c r="C423" s="11" t="n">
        <v>46052</v>
      </c>
      <c r="D423" t="inlineStr">
        <is>
          <t>Support Ticket</t>
        </is>
      </c>
      <c r="E423" t="inlineStr">
        <is>
          <t>Professional</t>
        </is>
      </c>
      <c r="F423" t="inlineStr">
        <is>
          <t>Mid-Market</t>
        </is>
      </c>
      <c r="G423" t="inlineStr">
        <is>
          <t>Workflow Automation</t>
        </is>
      </c>
      <c r="H423" t="inlineStr">
        <is>
          <t>Usability Issue</t>
        </is>
      </c>
      <c r="I423" t="inlineStr">
        <is>
          <t>Escalating on behalf of our ops lead. Our new admins struggle with the automation canvas; there is no guidance or validation. Our RevOps lead flagged it while onboarding 31 new users. We need a fix before renewal.</t>
        </is>
      </c>
      <c r="J423" t="inlineStr">
        <is>
          <t>Negative</t>
        </is>
      </c>
      <c r="K423" t="inlineStr">
        <is>
          <t>High</t>
        </is>
      </c>
      <c r="L423" t="inlineStr">
        <is>
          <t>Blocks Key Task</t>
        </is>
      </c>
      <c r="M423" t="inlineStr">
        <is>
          <t>wf_builder</t>
        </is>
      </c>
      <c r="N423" t="inlineStr">
        <is>
          <t>Confusing workflow builder</t>
        </is>
      </c>
      <c r="O423" t="inlineStr">
        <is>
          <t>2026-01</t>
        </is>
      </c>
    </row>
    <row r="424">
      <c r="A424" t="inlineStr">
        <is>
          <t>FB-00423</t>
        </is>
      </c>
      <c r="B424" t="inlineStr">
        <is>
          <t>CUST-0055</t>
        </is>
      </c>
      <c r="C424" s="11" t="n">
        <v>46052</v>
      </c>
      <c r="D424" t="inlineStr">
        <is>
          <t>Support Ticket</t>
        </is>
      </c>
      <c r="E424" t="inlineStr">
        <is>
          <t>Professional</t>
        </is>
      </c>
      <c r="F424" t="inlineStr">
        <is>
          <t>Mid-Market</t>
        </is>
      </c>
      <c r="G424" t="inlineStr">
        <is>
          <t>Contact Management</t>
        </is>
      </c>
      <c r="H424" t="inlineStr">
        <is>
          <t>Bug</t>
        </is>
      </c>
      <c r="I424" t="inlineStr">
        <is>
          <t>Escalating on behalf of our ops lead. The spreadsheet import silently skipped rows and we only noticed days later. It happens about 5 times a week for our team of 112. Please look into it soon.</t>
        </is>
      </c>
      <c r="J424" t="inlineStr">
        <is>
          <t>Negative</t>
        </is>
      </c>
      <c r="K424" t="inlineStr">
        <is>
          <t>Low</t>
        </is>
      </c>
      <c r="L424" t="inlineStr">
        <is>
          <t>Minor Inconvenience</t>
        </is>
      </c>
      <c r="M424" t="inlineStr">
        <is>
          <t>contact_import</t>
        </is>
      </c>
      <c r="N424" t="inlineStr">
        <is>
          <t>Unreliable contact imports</t>
        </is>
      </c>
      <c r="O424" t="inlineStr">
        <is>
          <t>2026-01</t>
        </is>
      </c>
    </row>
    <row r="425">
      <c r="A425" t="inlineStr">
        <is>
          <t>FB-00424</t>
        </is>
      </c>
      <c r="B425" t="inlineStr">
        <is>
          <t>CUST-0207</t>
        </is>
      </c>
      <c r="C425" s="11" t="n">
        <v>46053</v>
      </c>
      <c r="D425" t="inlineStr">
        <is>
          <t>Customer Survey</t>
        </is>
      </c>
      <c r="E425" t="inlineStr">
        <is>
          <t>Professional</t>
        </is>
      </c>
      <c r="F425" t="inlineStr">
        <is>
          <t>Mid-Market</t>
        </is>
      </c>
      <c r="G425" t="inlineStr">
        <is>
          <t>User Interface</t>
        </is>
      </c>
      <c r="H425" t="inlineStr">
        <is>
          <t>Feature Request</t>
        </is>
      </c>
      <c r="I425" t="inlineStr">
        <is>
          <t>Sharing this from our team. Please prioritize offline mobile access; the mobile web view is hard to use. Happy to join a feedback call.</t>
        </is>
      </c>
      <c r="J425" t="inlineStr">
        <is>
          <t>Neutral</t>
        </is>
      </c>
      <c r="K425" t="inlineStr">
        <is>
          <t>Low</t>
        </is>
      </c>
      <c r="L425" t="inlineStr">
        <is>
          <t>Minor Inconvenience</t>
        </is>
      </c>
      <c r="M425" t="inlineStr">
        <is>
          <t>ui_mobile</t>
        </is>
      </c>
      <c r="N425" t="inlineStr">
        <is>
          <t>Mobile app</t>
        </is>
      </c>
      <c r="O425" t="inlineStr">
        <is>
          <t>2026-01</t>
        </is>
      </c>
    </row>
    <row r="426">
      <c r="A426" t="inlineStr">
        <is>
          <t>FB-00425</t>
        </is>
      </c>
      <c r="B426" t="inlineStr">
        <is>
          <t>CUST-0209</t>
        </is>
      </c>
      <c r="C426" s="11" t="n">
        <v>46053</v>
      </c>
      <c r="D426" t="inlineStr">
        <is>
          <t>Feature Request</t>
        </is>
      </c>
      <c r="E426" t="inlineStr">
        <is>
          <t>Professional</t>
        </is>
      </c>
      <c r="F426" t="inlineStr">
        <is>
          <t>Enterprise</t>
        </is>
      </c>
      <c r="G426" t="inlineStr">
        <is>
          <t>Lead Management</t>
        </is>
      </c>
      <c r="H426" t="inlineStr">
        <is>
          <t>Feature Request</t>
        </is>
      </c>
      <c r="I426" t="inlineStr">
        <is>
          <t>Quick note from our admin. We need automated lead scoring so reps can focus on the prospects most likely to close. Happy to join a feedback call.</t>
        </is>
      </c>
      <c r="J426" t="inlineStr">
        <is>
          <t>Neutral</t>
        </is>
      </c>
      <c r="K426" t="inlineStr">
        <is>
          <t>High</t>
        </is>
      </c>
      <c r="L426" t="inlineStr">
        <is>
          <t>Minor Inconvenience</t>
        </is>
      </c>
      <c r="M426" t="inlineStr">
        <is>
          <t>lead_score</t>
        </is>
      </c>
      <c r="N426" t="inlineStr">
        <is>
          <t>Automated lead scoring</t>
        </is>
      </c>
      <c r="O426" t="inlineStr">
        <is>
          <t>2026-01</t>
        </is>
      </c>
    </row>
    <row r="427">
      <c r="A427" t="inlineStr">
        <is>
          <t>FB-00426</t>
        </is>
      </c>
      <c r="B427" t="inlineStr">
        <is>
          <t>CUST-0214</t>
        </is>
      </c>
      <c r="C427" s="11" t="n">
        <v>46053</v>
      </c>
      <c r="D427" t="inlineStr">
        <is>
          <t>Customer Survey</t>
        </is>
      </c>
      <c r="E427" t="inlineStr">
        <is>
          <t>Starter</t>
        </is>
      </c>
      <c r="F427" t="inlineStr">
        <is>
          <t>SMB</t>
        </is>
      </c>
      <c r="G427" t="inlineStr">
        <is>
          <t>User Interface</t>
        </is>
      </c>
      <c r="H427" t="inlineStr">
        <is>
          <t>Usability Issue</t>
        </is>
      </c>
      <c r="I427" t="inlineStr">
        <is>
          <t>FYI for the product team. The settings navigation changed and nobody told us where things moved. We estimate we lose roughly 7 hours a month on this. Let us know if you need examples.</t>
        </is>
      </c>
      <c r="J427" t="inlineStr">
        <is>
          <t>Neutral</t>
        </is>
      </c>
      <c r="K427" t="inlineStr">
        <is>
          <t>Medium</t>
        </is>
      </c>
      <c r="L427" t="inlineStr">
        <is>
          <t>Workflow Slowdown</t>
        </is>
      </c>
      <c r="M427" t="inlineStr">
        <is>
          <t>ui_nav</t>
        </is>
      </c>
      <c r="N427" t="inlineStr">
        <is>
          <t>Cluttered navigation</t>
        </is>
      </c>
      <c r="O427" t="inlineStr">
        <is>
          <t>2026-01</t>
        </is>
      </c>
    </row>
    <row r="428">
      <c r="A428" t="inlineStr">
        <is>
          <t>FB-00427</t>
        </is>
      </c>
      <c r="B428" t="inlineStr">
        <is>
          <t>CUST-0197</t>
        </is>
      </c>
      <c r="C428" s="11" t="n">
        <v>46053</v>
      </c>
      <c r="D428" t="inlineStr">
        <is>
          <t>Feature Request</t>
        </is>
      </c>
      <c r="E428" t="inlineStr">
        <is>
          <t>Professional</t>
        </is>
      </c>
      <c r="F428" t="inlineStr">
        <is>
          <t>Mid-Market</t>
        </is>
      </c>
      <c r="G428" t="inlineStr">
        <is>
          <t>Contact Management</t>
        </is>
      </c>
      <c r="H428" t="inlineStr">
        <is>
          <t>Feature Request</t>
        </is>
      </c>
      <c r="I428" t="inlineStr">
        <is>
          <t>Overall we like the product. Is there any plan for a tool to merge duplicate contacts? Merging one record at a time is not realistic. Thanks to the team.</t>
        </is>
      </c>
      <c r="J428" t="inlineStr">
        <is>
          <t>Positive</t>
        </is>
      </c>
      <c r="K428" t="inlineStr">
        <is>
          <t>Low</t>
        </is>
      </c>
      <c r="L428" t="inlineStr">
        <is>
          <t>Minor Inconvenience</t>
        </is>
      </c>
      <c r="M428" t="inlineStr">
        <is>
          <t>contact_dedupe</t>
        </is>
      </c>
      <c r="N428" t="inlineStr">
        <is>
          <t>Bulk contact merge</t>
        </is>
      </c>
      <c r="O428" t="inlineStr">
        <is>
          <t>2026-01</t>
        </is>
      </c>
    </row>
    <row r="429">
      <c r="A429" t="inlineStr">
        <is>
          <t>FB-00428</t>
        </is>
      </c>
      <c r="B429" t="inlineStr">
        <is>
          <t>CUST-0284</t>
        </is>
      </c>
      <c r="C429" s="11" t="n">
        <v>46053</v>
      </c>
      <c r="D429" t="inlineStr">
        <is>
          <t>In-App Feedback</t>
        </is>
      </c>
      <c r="E429" t="inlineStr">
        <is>
          <t>Enterprise</t>
        </is>
      </c>
      <c r="F429" t="inlineStr">
        <is>
          <t>Enterprise</t>
        </is>
      </c>
      <c r="G429" t="inlineStr">
        <is>
          <t>Reporting</t>
        </is>
      </c>
      <c r="H429" t="inlineStr">
        <is>
          <t>Feature Request</t>
        </is>
      </c>
      <c r="I429" t="inlineStr">
        <is>
          <t>Raising this again after our last business review. Please add a custom report builder; today an analyst rebuilds the same report every week. Please look into it soon.</t>
        </is>
      </c>
      <c r="J429" t="inlineStr">
        <is>
          <t>Negative</t>
        </is>
      </c>
      <c r="K429" t="inlineStr">
        <is>
          <t>Medium</t>
        </is>
      </c>
      <c r="L429" t="inlineStr">
        <is>
          <t>Workflow Slowdown</t>
        </is>
      </c>
      <c r="M429" t="inlineStr">
        <is>
          <t>rep_custom</t>
        </is>
      </c>
      <c r="N429" t="inlineStr">
        <is>
          <t>Custom and scheduled reports</t>
        </is>
      </c>
      <c r="O429" t="inlineStr">
        <is>
          <t>2026-01</t>
        </is>
      </c>
    </row>
    <row r="430">
      <c r="A430" t="inlineStr">
        <is>
          <t>FB-00429</t>
        </is>
      </c>
      <c r="B430" t="inlineStr">
        <is>
          <t>CUST-0260</t>
        </is>
      </c>
      <c r="C430" s="11" t="n">
        <v>46054</v>
      </c>
      <c r="D430" t="inlineStr">
        <is>
          <t>In-App Feedback</t>
        </is>
      </c>
      <c r="E430" t="inlineStr">
        <is>
          <t>Starter</t>
        </is>
      </c>
      <c r="F430" t="inlineStr">
        <is>
          <t>SMB</t>
        </is>
      </c>
      <c r="G430" t="inlineStr">
        <is>
          <t>Contact Management</t>
        </is>
      </c>
      <c r="H430" t="inlineStr">
        <is>
          <t>Bug</t>
        </is>
      </c>
      <c r="I430" t="inlineStr">
        <is>
          <t>Our team keeps running into this. The spreadsheet import rejects files with accented characters in names. We estimate we lose roughly 33 hours a month on this.</t>
        </is>
      </c>
      <c r="J430" t="inlineStr">
        <is>
          <t>Negative</t>
        </is>
      </c>
      <c r="K430" t="inlineStr">
        <is>
          <t>Medium</t>
        </is>
      </c>
      <c r="L430" t="inlineStr">
        <is>
          <t>Workflow Slowdown</t>
        </is>
      </c>
      <c r="M430" t="inlineStr">
        <is>
          <t>contact_import</t>
        </is>
      </c>
      <c r="N430" t="inlineStr">
        <is>
          <t>Unreliable contact imports</t>
        </is>
      </c>
      <c r="O430" t="inlineStr">
        <is>
          <t>2026-02</t>
        </is>
      </c>
    </row>
    <row r="431">
      <c r="A431" t="inlineStr">
        <is>
          <t>FB-00430</t>
        </is>
      </c>
      <c r="B431" t="inlineStr">
        <is>
          <t>CUST-0091</t>
        </is>
      </c>
      <c r="C431" s="11" t="n">
        <v>46054</v>
      </c>
      <c r="D431" t="inlineStr">
        <is>
          <t>In-App Feedback</t>
        </is>
      </c>
      <c r="E431" t="inlineStr">
        <is>
          <t>Professional</t>
        </is>
      </c>
      <c r="F431" t="inlineStr">
        <is>
          <t>SMB</t>
        </is>
      </c>
      <c r="G431" t="inlineStr">
        <is>
          <t>Integrations</t>
        </is>
      </c>
      <c r="H431" t="inlineStr">
        <is>
          <t>Integration Issue</t>
        </is>
      </c>
      <c r="I431" t="inlineStr">
        <is>
          <t>Feedback from our monthly review. We keep hitting API rate limits during nightly syncs with our data warehouse. We estimate we lose roughly 17 hours a month on this. Let us know if you need examples.</t>
        </is>
      </c>
      <c r="J431" t="inlineStr">
        <is>
          <t>Neutral</t>
        </is>
      </c>
      <c r="K431" t="inlineStr">
        <is>
          <t>Critical</t>
        </is>
      </c>
      <c r="L431" t="inlineStr">
        <is>
          <t>Blocks Key Task</t>
        </is>
      </c>
      <c r="M431" t="inlineStr">
        <is>
          <t>int_api</t>
        </is>
      </c>
      <c r="N431" t="inlineStr">
        <is>
          <t>API limits and webhook failures</t>
        </is>
      </c>
      <c r="O431" t="inlineStr">
        <is>
          <t>2026-02</t>
        </is>
      </c>
    </row>
    <row r="432">
      <c r="A432" t="inlineStr">
        <is>
          <t>FB-00431</t>
        </is>
      </c>
      <c r="B432" t="inlineStr">
        <is>
          <t>CUST-0293</t>
        </is>
      </c>
      <c r="C432" s="11" t="n">
        <v>46054</v>
      </c>
      <c r="D432" t="inlineStr">
        <is>
          <t>In-App Feedback</t>
        </is>
      </c>
      <c r="E432" t="inlineStr">
        <is>
          <t>Enterprise</t>
        </is>
      </c>
      <c r="F432" t="inlineStr">
        <is>
          <t>Enterprise</t>
        </is>
      </c>
      <c r="G432" t="inlineStr">
        <is>
          <t>Integrations</t>
        </is>
      </c>
      <c r="H432" t="inlineStr">
        <is>
          <t>Integration Issue</t>
        </is>
      </c>
      <c r="I432" t="inlineStr">
        <is>
          <t>Not what we expected for the price. Our integration partner flagged API rate limits as a risk for the project. We need a fix before renewal.</t>
        </is>
      </c>
      <c r="J432" t="inlineStr">
        <is>
          <t>Negative</t>
        </is>
      </c>
      <c r="K432" t="inlineStr">
        <is>
          <t>High</t>
        </is>
      </c>
      <c r="L432" t="inlineStr">
        <is>
          <t>Blocks Key Task</t>
        </is>
      </c>
      <c r="M432" t="inlineStr">
        <is>
          <t>int_api</t>
        </is>
      </c>
      <c r="N432" t="inlineStr">
        <is>
          <t>API limits and webhook failures</t>
        </is>
      </c>
      <c r="O432" t="inlineStr">
        <is>
          <t>2026-02</t>
        </is>
      </c>
    </row>
    <row r="433">
      <c r="A433" t="inlineStr">
        <is>
          <t>FB-00432</t>
        </is>
      </c>
      <c r="B433" t="inlineStr">
        <is>
          <t>CUST-0366</t>
        </is>
      </c>
      <c r="C433" s="11" t="n">
        <v>46055</v>
      </c>
      <c r="D433" t="inlineStr">
        <is>
          <t>Support Ticket</t>
        </is>
      </c>
      <c r="E433" t="inlineStr">
        <is>
          <t>Professional</t>
        </is>
      </c>
      <c r="F433" t="inlineStr">
        <is>
          <t>Mid-Market</t>
        </is>
      </c>
      <c r="G433" t="inlineStr">
        <is>
          <t>Contact Management</t>
        </is>
      </c>
      <c r="H433" t="inlineStr">
        <is>
          <t>Performance Issue</t>
        </is>
      </c>
      <c r="I433" t="inlineStr">
        <is>
          <t>Noting this during onboarding. We avoid contact list filtering during calls because it takes too long. So far 118 people on our side have reported it. Happy to join a feedback call.</t>
        </is>
      </c>
      <c r="J433" t="inlineStr">
        <is>
          <t>Neutral</t>
        </is>
      </c>
      <c r="K433" t="inlineStr">
        <is>
          <t>Low</t>
        </is>
      </c>
      <c r="L433" t="inlineStr">
        <is>
          <t>Minor Inconvenience</t>
        </is>
      </c>
      <c r="M433" t="inlineStr">
        <is>
          <t>contact_search</t>
        </is>
      </c>
      <c r="N433" t="inlineStr">
        <is>
          <t>Slow contact search</t>
        </is>
      </c>
      <c r="O433" t="inlineStr">
        <is>
          <t>2026-02</t>
        </is>
      </c>
    </row>
    <row r="434">
      <c r="A434" t="inlineStr">
        <is>
          <t>FB-00433</t>
        </is>
      </c>
      <c r="B434" t="inlineStr">
        <is>
          <t>CUST-0216</t>
        </is>
      </c>
      <c r="C434" s="11" t="n">
        <v>46055</v>
      </c>
      <c r="D434" t="inlineStr">
        <is>
          <t>In-App Feedback</t>
        </is>
      </c>
      <c r="E434" t="inlineStr">
        <is>
          <t>Starter</t>
        </is>
      </c>
      <c r="F434" t="inlineStr">
        <is>
          <t>Mid-Market</t>
        </is>
      </c>
      <c r="G434" t="inlineStr">
        <is>
          <t>User Interface</t>
        </is>
      </c>
      <c r="H434" t="inlineStr">
        <is>
          <t>Usability Issue</t>
        </is>
      </c>
      <c r="I434" t="inlineStr">
        <is>
          <t>Too many clicks to reach common screens because of the page layout. Is there a workaround?</t>
        </is>
      </c>
      <c r="J434" t="inlineStr">
        <is>
          <t>Negative</t>
        </is>
      </c>
      <c r="K434" t="inlineStr">
        <is>
          <t>Medium</t>
        </is>
      </c>
      <c r="L434" t="inlineStr">
        <is>
          <t>Minor Inconvenience</t>
        </is>
      </c>
      <c r="M434" t="inlineStr">
        <is>
          <t>ui_nav</t>
        </is>
      </c>
      <c r="N434" t="inlineStr">
        <is>
          <t>Cluttered navigation</t>
        </is>
      </c>
      <c r="O434" t="inlineStr">
        <is>
          <t>2026-02</t>
        </is>
      </c>
    </row>
    <row r="435">
      <c r="A435" t="inlineStr">
        <is>
          <t>FB-00434</t>
        </is>
      </c>
      <c r="B435" t="inlineStr">
        <is>
          <t>CUST-0258</t>
        </is>
      </c>
      <c r="C435" s="11" t="n">
        <v>46056</v>
      </c>
      <c r="D435" t="inlineStr">
        <is>
          <t>Support Ticket</t>
        </is>
      </c>
      <c r="E435" t="inlineStr">
        <is>
          <t>Professional</t>
        </is>
      </c>
      <c r="F435" t="inlineStr">
        <is>
          <t>Mid-Market</t>
        </is>
      </c>
      <c r="G435" t="inlineStr">
        <is>
          <t>Workflow Automation</t>
        </is>
      </c>
      <c r="H435" t="inlineStr">
        <is>
          <t>Bug</t>
        </is>
      </c>
      <c r="I435" t="inlineStr">
        <is>
          <t>We found workflow runs failing silently only because a customer complained. We estimate we lose roughly 33 hours a month on this.</t>
        </is>
      </c>
      <c r="J435" t="inlineStr">
        <is>
          <t>Neutral</t>
        </is>
      </c>
      <c r="K435" t="inlineStr">
        <is>
          <t>High</t>
        </is>
      </c>
      <c r="L435" t="inlineStr">
        <is>
          <t>Blocks Key Task</t>
        </is>
      </c>
      <c r="M435" t="inlineStr">
        <is>
          <t>wf_fail</t>
        </is>
      </c>
      <c r="N435" t="inlineStr">
        <is>
          <t>Workflows failing silently</t>
        </is>
      </c>
      <c r="O435" t="inlineStr">
        <is>
          <t>2026-02</t>
        </is>
      </c>
    </row>
    <row r="436">
      <c r="A436" t="inlineStr">
        <is>
          <t>FB-00435</t>
        </is>
      </c>
      <c r="B436" t="inlineStr">
        <is>
          <t>CUST-0138</t>
        </is>
      </c>
      <c r="C436" s="11" t="n">
        <v>46056</v>
      </c>
      <c r="D436" t="inlineStr">
        <is>
          <t>Customer Survey</t>
        </is>
      </c>
      <c r="E436" t="inlineStr">
        <is>
          <t>Starter</t>
        </is>
      </c>
      <c r="F436" t="inlineStr">
        <is>
          <t>SMB</t>
        </is>
      </c>
      <c r="G436" t="inlineStr">
        <is>
          <t>Contact Management</t>
        </is>
      </c>
      <c r="H436" t="inlineStr">
        <is>
          <t>Bug</t>
        </is>
      </c>
      <c r="I436" t="inlineStr">
        <is>
          <t>Escalating on behalf of our ops lead. The contact CSV import fails halfway through with a generic error and no row-level detail. Our marketing ops owner flagged it while onboarding 46 new users.</t>
        </is>
      </c>
      <c r="J436" t="inlineStr">
        <is>
          <t>Negative</t>
        </is>
      </c>
      <c r="K436" t="inlineStr">
        <is>
          <t>High</t>
        </is>
      </c>
      <c r="L436" t="inlineStr">
        <is>
          <t>Blocks Key Task</t>
        </is>
      </c>
      <c r="M436" t="inlineStr">
        <is>
          <t>contact_import</t>
        </is>
      </c>
      <c r="N436" t="inlineStr">
        <is>
          <t>Unreliable contact imports</t>
        </is>
      </c>
      <c r="O436" t="inlineStr">
        <is>
          <t>2026-02</t>
        </is>
      </c>
    </row>
    <row r="437">
      <c r="A437" t="inlineStr">
        <is>
          <t>FB-00436</t>
        </is>
      </c>
      <c r="B437" t="inlineStr">
        <is>
          <t>CUST-0108</t>
        </is>
      </c>
      <c r="C437" s="11" t="n">
        <v>46057</v>
      </c>
      <c r="D437" t="inlineStr">
        <is>
          <t>Customer Survey</t>
        </is>
      </c>
      <c r="E437" t="inlineStr">
        <is>
          <t>Enterprise</t>
        </is>
      </c>
      <c r="F437" t="inlineStr">
        <is>
          <t>Mid-Market</t>
        </is>
      </c>
      <c r="G437" t="inlineStr">
        <is>
          <t>Integrations</t>
        </is>
      </c>
      <c r="H437" t="inlineStr">
        <is>
          <t>Integration Issue</t>
        </is>
      </c>
      <c r="I437" t="inlineStr">
        <is>
          <t>We keep hitting webhook delivery during nightly syncs with our data warehouse. It happens about 34 times a week for our team of 68.</t>
        </is>
      </c>
      <c r="J437" t="inlineStr">
        <is>
          <t>Neutral</t>
        </is>
      </c>
      <c r="K437" t="inlineStr">
        <is>
          <t>Medium</t>
        </is>
      </c>
      <c r="L437" t="inlineStr">
        <is>
          <t>Workflow Slowdown</t>
        </is>
      </c>
      <c r="M437" t="inlineStr">
        <is>
          <t>int_api</t>
        </is>
      </c>
      <c r="N437" t="inlineStr">
        <is>
          <t>API limits and webhook failures</t>
        </is>
      </c>
      <c r="O437" t="inlineStr">
        <is>
          <t>2026-02</t>
        </is>
      </c>
    </row>
    <row r="438">
      <c r="A438" t="inlineStr">
        <is>
          <t>FB-00437</t>
        </is>
      </c>
      <c r="B438" t="inlineStr">
        <is>
          <t>CUST-0402</t>
        </is>
      </c>
      <c r="C438" s="11" t="n">
        <v>46057</v>
      </c>
      <c r="D438" t="inlineStr">
        <is>
          <t>In-App Feedback</t>
        </is>
      </c>
      <c r="E438" t="inlineStr">
        <is>
          <t>Professional</t>
        </is>
      </c>
      <c r="F438" t="inlineStr">
        <is>
          <t>Mid-Market</t>
        </is>
      </c>
      <c r="G438" t="inlineStr">
        <is>
          <t>Workflow Automation</t>
        </is>
      </c>
      <c r="H438" t="inlineStr">
        <is>
          <t>Bug</t>
        </is>
      </c>
      <c r="I438" t="inlineStr">
        <is>
          <t>Not what we expected for the price. Several workflow runs failing silently left deals stuck in the wrong stage. Our marketing ops owner flagged it while onboarding 85 new users.</t>
        </is>
      </c>
      <c r="J438" t="inlineStr">
        <is>
          <t>Negative</t>
        </is>
      </c>
      <c r="K438" t="inlineStr">
        <is>
          <t>Low</t>
        </is>
      </c>
      <c r="L438" t="inlineStr">
        <is>
          <t>Minor Inconvenience</t>
        </is>
      </c>
      <c r="M438" t="inlineStr">
        <is>
          <t>wf_fail</t>
        </is>
      </c>
      <c r="N438" t="inlineStr">
        <is>
          <t>Workflows failing silently</t>
        </is>
      </c>
      <c r="O438" t="inlineStr">
        <is>
          <t>2026-02</t>
        </is>
      </c>
    </row>
    <row r="439">
      <c r="A439" t="inlineStr">
        <is>
          <t>FB-00438</t>
        </is>
      </c>
      <c r="B439" t="inlineStr">
        <is>
          <t>CUST-0116</t>
        </is>
      </c>
      <c r="C439" s="11" t="n">
        <v>46057</v>
      </c>
      <c r="D439" t="inlineStr">
        <is>
          <t>Feature Request</t>
        </is>
      </c>
      <c r="E439" t="inlineStr">
        <is>
          <t>Professional</t>
        </is>
      </c>
      <c r="F439" t="inlineStr">
        <is>
          <t>SMB</t>
        </is>
      </c>
      <c r="G439" t="inlineStr">
        <is>
          <t>User Interface</t>
        </is>
      </c>
      <c r="H439" t="inlineStr">
        <is>
          <t>Feature Request</t>
        </is>
      </c>
      <c r="I439" t="inlineStr">
        <is>
          <t>Please add multi-select actions; changing records one at a time wastes hours. Our marketing ops owner flagged it while onboarding 100 new users. Happy to join a feedback call.</t>
        </is>
      </c>
      <c r="J439" t="inlineStr">
        <is>
          <t>Neutral</t>
        </is>
      </c>
      <c r="K439" t="inlineStr">
        <is>
          <t>Low</t>
        </is>
      </c>
      <c r="L439" t="inlineStr">
        <is>
          <t>Workflow Slowdown</t>
        </is>
      </c>
      <c r="M439" t="inlineStr">
        <is>
          <t>ui_bulk</t>
        </is>
      </c>
      <c r="N439" t="inlineStr">
        <is>
          <t>Bulk actions</t>
        </is>
      </c>
      <c r="O439" t="inlineStr">
        <is>
          <t>2026-02</t>
        </is>
      </c>
    </row>
    <row r="440">
      <c r="A440" t="inlineStr">
        <is>
          <t>FB-00439</t>
        </is>
      </c>
      <c r="B440" t="inlineStr">
        <is>
          <t>CUST-0176</t>
        </is>
      </c>
      <c r="C440" s="11" t="n">
        <v>46057</v>
      </c>
      <c r="D440" t="inlineStr">
        <is>
          <t>Customer Survey</t>
        </is>
      </c>
      <c r="E440" t="inlineStr">
        <is>
          <t>Starter</t>
        </is>
      </c>
      <c r="F440" t="inlineStr">
        <is>
          <t>SMB</t>
        </is>
      </c>
      <c r="G440" t="inlineStr">
        <is>
          <t>User Interface</t>
        </is>
      </c>
      <c r="H440" t="inlineStr">
        <is>
          <t>Usability Issue</t>
        </is>
      </c>
      <c r="I440" t="inlineStr">
        <is>
          <t>Raising this again after our last business review. Too many clicks to reach common screens because of the navigation menu. We need a fix before renewal.</t>
        </is>
      </c>
      <c r="J440" t="inlineStr">
        <is>
          <t>Negative</t>
        </is>
      </c>
      <c r="K440" t="inlineStr">
        <is>
          <t>Medium</t>
        </is>
      </c>
      <c r="L440" t="inlineStr">
        <is>
          <t>Workflow Slowdown</t>
        </is>
      </c>
      <c r="M440" t="inlineStr">
        <is>
          <t>ui_nav</t>
        </is>
      </c>
      <c r="N440" t="inlineStr">
        <is>
          <t>Cluttered navigation</t>
        </is>
      </c>
      <c r="O440" t="inlineStr">
        <is>
          <t>2026-02</t>
        </is>
      </c>
    </row>
    <row r="441">
      <c r="A441" t="inlineStr">
        <is>
          <t>FB-00440</t>
        </is>
      </c>
      <c r="B441" t="inlineStr">
        <is>
          <t>CUST-0349</t>
        </is>
      </c>
      <c r="C441" s="11" t="n">
        <v>46057</v>
      </c>
      <c r="D441" t="inlineStr">
        <is>
          <t>Customer Survey</t>
        </is>
      </c>
      <c r="E441" t="inlineStr">
        <is>
          <t>Professional</t>
        </is>
      </c>
      <c r="F441" t="inlineStr">
        <is>
          <t>Mid-Market</t>
        </is>
      </c>
      <c r="G441" t="inlineStr">
        <is>
          <t>Lead Management</t>
        </is>
      </c>
      <c r="H441" t="inlineStr">
        <is>
          <t>Usability Issue</t>
        </is>
      </c>
      <c r="I441" t="inlineStr">
        <is>
          <t>Frustrated with this one. We can't combine region and deal size in the round-robin lead assignment. So far 65 people on our side have reported it. Is there a workaround?</t>
        </is>
      </c>
      <c r="J441" t="inlineStr">
        <is>
          <t>Negative</t>
        </is>
      </c>
      <c r="K441" t="inlineStr">
        <is>
          <t>Low</t>
        </is>
      </c>
      <c r="L441" t="inlineStr">
        <is>
          <t>Minor Inconvenience</t>
        </is>
      </c>
      <c r="M441" t="inlineStr">
        <is>
          <t>lead_assign</t>
        </is>
      </c>
      <c r="N441" t="inlineStr">
        <is>
          <t>Lead routing is inflexible</t>
        </is>
      </c>
      <c r="O441" t="inlineStr">
        <is>
          <t>2026-02</t>
        </is>
      </c>
    </row>
    <row r="442">
      <c r="A442" t="inlineStr">
        <is>
          <t>FB-00441</t>
        </is>
      </c>
      <c r="B442" t="inlineStr">
        <is>
          <t>CUST-0315</t>
        </is>
      </c>
      <c r="C442" s="11" t="n">
        <v>46058</v>
      </c>
      <c r="D442" t="inlineStr">
        <is>
          <t>Feature Request</t>
        </is>
      </c>
      <c r="E442" t="inlineStr">
        <is>
          <t>Professional</t>
        </is>
      </c>
      <c r="F442" t="inlineStr">
        <is>
          <t>SMB</t>
        </is>
      </c>
      <c r="G442" t="inlineStr">
        <is>
          <t>User Interface</t>
        </is>
      </c>
      <c r="H442" t="inlineStr">
        <is>
          <t>Usability Issue</t>
        </is>
      </c>
      <c r="I442" t="inlineStr">
        <is>
          <t>Not what we expected for the price. Too many clicks to reach common screens because of the settings navigation. Support suggested logging it here.</t>
        </is>
      </c>
      <c r="J442" t="inlineStr">
        <is>
          <t>Negative</t>
        </is>
      </c>
      <c r="K442" t="inlineStr">
        <is>
          <t>Low</t>
        </is>
      </c>
      <c r="L442" t="inlineStr">
        <is>
          <t>Workflow Slowdown</t>
        </is>
      </c>
      <c r="M442" t="inlineStr">
        <is>
          <t>ui_nav</t>
        </is>
      </c>
      <c r="N442" t="inlineStr">
        <is>
          <t>Cluttered navigation</t>
        </is>
      </c>
      <c r="O442" t="inlineStr">
        <is>
          <t>2026-02</t>
        </is>
      </c>
    </row>
    <row r="443">
      <c r="A443" t="inlineStr">
        <is>
          <t>FB-00442</t>
        </is>
      </c>
      <c r="B443" t="inlineStr">
        <is>
          <t>CUST-0262</t>
        </is>
      </c>
      <c r="C443" s="11" t="n">
        <v>46058</v>
      </c>
      <c r="D443" t="inlineStr">
        <is>
          <t>In-App Feedback</t>
        </is>
      </c>
      <c r="E443" t="inlineStr">
        <is>
          <t>Professional</t>
        </is>
      </c>
      <c r="F443" t="inlineStr">
        <is>
          <t>Mid-Market</t>
        </is>
      </c>
      <c r="G443" t="inlineStr">
        <is>
          <t>Lead Management</t>
        </is>
      </c>
      <c r="H443" t="inlineStr">
        <is>
          <t>Bug</t>
        </is>
      </c>
      <c r="I443" t="inlineStr">
        <is>
          <t>There are duplicated leads across our pipeline views and nobody knows which record is the source of truth. We estimate we lose roughly 42 hours a month on this. Support suggested logging it here.</t>
        </is>
      </c>
      <c r="J443" t="inlineStr">
        <is>
          <t>Negative</t>
        </is>
      </c>
      <c r="K443" t="inlineStr">
        <is>
          <t>High</t>
        </is>
      </c>
      <c r="L443" t="inlineStr">
        <is>
          <t>Blocks Key Task</t>
        </is>
      </c>
      <c r="M443" t="inlineStr">
        <is>
          <t>lead_dup</t>
        </is>
      </c>
      <c r="N443" t="inlineStr">
        <is>
          <t>Duplicate leads created</t>
        </is>
      </c>
      <c r="O443" t="inlineStr">
        <is>
          <t>2026-02</t>
        </is>
      </c>
    </row>
    <row r="444">
      <c r="A444" t="inlineStr">
        <is>
          <t>FB-00443</t>
        </is>
      </c>
      <c r="B444" t="inlineStr">
        <is>
          <t>CUST-0210</t>
        </is>
      </c>
      <c r="C444" s="11" t="n">
        <v>46059</v>
      </c>
      <c r="D444" t="inlineStr">
        <is>
          <t>In-App Feedback</t>
        </is>
      </c>
      <c r="E444" t="inlineStr">
        <is>
          <t>Professional</t>
        </is>
      </c>
      <c r="F444" t="inlineStr">
        <is>
          <t>Mid-Market</t>
        </is>
      </c>
      <c r="G444" t="inlineStr">
        <is>
          <t>Reporting</t>
        </is>
      </c>
      <c r="H444" t="inlineStr">
        <is>
          <t>Bug</t>
        </is>
      </c>
      <c r="I444" t="inlineStr">
        <is>
          <t>Great support experience recently. The Excel export cuts off rows after a few thousand records. It affects our quarterly planning process every cycle. Thanks to the team.</t>
        </is>
      </c>
      <c r="J444" t="inlineStr">
        <is>
          <t>Positive</t>
        </is>
      </c>
      <c r="K444" t="inlineStr">
        <is>
          <t>Medium</t>
        </is>
      </c>
      <c r="L444" t="inlineStr">
        <is>
          <t>Workflow Slowdown</t>
        </is>
      </c>
      <c r="M444" t="inlineStr">
        <is>
          <t>rep_export</t>
        </is>
      </c>
      <c r="N444" t="inlineStr">
        <is>
          <t>Broken report exports</t>
        </is>
      </c>
      <c r="O444" t="inlineStr">
        <is>
          <t>2026-02</t>
        </is>
      </c>
    </row>
    <row r="445">
      <c r="A445" t="inlineStr">
        <is>
          <t>FB-00444</t>
        </is>
      </c>
      <c r="B445" t="inlineStr">
        <is>
          <t>CUST-0413</t>
        </is>
      </c>
      <c r="C445" s="11" t="n">
        <v>46059</v>
      </c>
      <c r="D445" t="inlineStr">
        <is>
          <t>In-App Feedback</t>
        </is>
      </c>
      <c r="E445" t="inlineStr">
        <is>
          <t>Professional</t>
        </is>
      </c>
      <c r="F445" t="inlineStr">
        <is>
          <t>SMB</t>
        </is>
      </c>
      <c r="G445" t="inlineStr">
        <is>
          <t>Lead Management</t>
        </is>
      </c>
      <c r="H445" t="inlineStr">
        <is>
          <t>Feature Request</t>
        </is>
      </c>
      <c r="I445" t="inlineStr">
        <is>
          <t>Please add automated lead scoring based on engagement, company size and recent activity. Let us know if you need examples.</t>
        </is>
      </c>
      <c r="J445" t="inlineStr">
        <is>
          <t>Neutral</t>
        </is>
      </c>
      <c r="K445" t="inlineStr">
        <is>
          <t>Medium</t>
        </is>
      </c>
      <c r="L445" t="inlineStr">
        <is>
          <t>Minor Inconvenience</t>
        </is>
      </c>
      <c r="M445" t="inlineStr">
        <is>
          <t>lead_score</t>
        </is>
      </c>
      <c r="N445" t="inlineStr">
        <is>
          <t>Automated lead scoring</t>
        </is>
      </c>
      <c r="O445" t="inlineStr">
        <is>
          <t>2026-02</t>
        </is>
      </c>
    </row>
    <row r="446">
      <c r="A446" t="inlineStr">
        <is>
          <t>FB-00445</t>
        </is>
      </c>
      <c r="B446" t="inlineStr">
        <is>
          <t>CUST-0006</t>
        </is>
      </c>
      <c r="C446" s="11" t="n">
        <v>46059</v>
      </c>
      <c r="D446" t="inlineStr">
        <is>
          <t>Support Ticket</t>
        </is>
      </c>
      <c r="E446" t="inlineStr">
        <is>
          <t>Starter</t>
        </is>
      </c>
      <c r="F446" t="inlineStr">
        <is>
          <t>Mid-Market</t>
        </is>
      </c>
      <c r="G446" t="inlineStr">
        <is>
          <t>Contact Management</t>
        </is>
      </c>
      <c r="H446" t="inlineStr">
        <is>
          <t>Bug</t>
        </is>
      </c>
      <c r="I446" t="inlineStr">
        <is>
          <t>Our contact CSV import scrambles phone and email columns even after we map them correctly.</t>
        </is>
      </c>
      <c r="J446" t="inlineStr">
        <is>
          <t>Negative</t>
        </is>
      </c>
      <c r="K446" t="inlineStr">
        <is>
          <t>Critical</t>
        </is>
      </c>
      <c r="L446" t="inlineStr">
        <is>
          <t>Revenue/Operations Risk</t>
        </is>
      </c>
      <c r="M446" t="inlineStr">
        <is>
          <t>contact_import</t>
        </is>
      </c>
      <c r="N446" t="inlineStr">
        <is>
          <t>Unreliable contact imports</t>
        </is>
      </c>
      <c r="O446" t="inlineStr">
        <is>
          <t>2026-02</t>
        </is>
      </c>
    </row>
    <row r="447">
      <c r="A447" t="inlineStr">
        <is>
          <t>FB-00446</t>
        </is>
      </c>
      <c r="B447" t="inlineStr">
        <is>
          <t>CUST-0102</t>
        </is>
      </c>
      <c r="C447" s="11" t="n">
        <v>46060</v>
      </c>
      <c r="D447" t="inlineStr">
        <is>
          <t>Feature Request</t>
        </is>
      </c>
      <c r="E447" t="inlineStr">
        <is>
          <t>Professional</t>
        </is>
      </c>
      <c r="F447" t="inlineStr">
        <is>
          <t>Mid-Market</t>
        </is>
      </c>
      <c r="G447" t="inlineStr">
        <is>
          <t>Reporting</t>
        </is>
      </c>
      <c r="H447" t="inlineStr">
        <is>
          <t>Performance Issue</t>
        </is>
      </c>
      <c r="I447" t="inlineStr">
        <is>
          <t>This has been a recurring problem for us. Execs gave up on the report load time and ask for screenshots instead. We estimate we lose roughly 7 hours a month on this. Is there a workaround?</t>
        </is>
      </c>
      <c r="J447" t="inlineStr">
        <is>
          <t>Negative</t>
        </is>
      </c>
      <c r="K447" t="inlineStr">
        <is>
          <t>Low</t>
        </is>
      </c>
      <c r="L447" t="inlineStr">
        <is>
          <t>Minor Inconvenience</t>
        </is>
      </c>
      <c r="M447" t="inlineStr">
        <is>
          <t>rep_slow</t>
        </is>
      </c>
      <c r="N447" t="inlineStr">
        <is>
          <t>Slow dashboards</t>
        </is>
      </c>
      <c r="O447" t="inlineStr">
        <is>
          <t>2026-02</t>
        </is>
      </c>
    </row>
    <row r="448">
      <c r="A448" t="inlineStr">
        <is>
          <t>FB-00447</t>
        </is>
      </c>
      <c r="B448" t="inlineStr">
        <is>
          <t>CUST-0030</t>
        </is>
      </c>
      <c r="C448" s="11" t="n">
        <v>46060</v>
      </c>
      <c r="D448" t="inlineStr">
        <is>
          <t>Support Ticket</t>
        </is>
      </c>
      <c r="E448" t="inlineStr">
        <is>
          <t>Professional</t>
        </is>
      </c>
      <c r="F448" t="inlineStr">
        <is>
          <t>Mid-Market</t>
        </is>
      </c>
      <c r="G448" t="inlineStr">
        <is>
          <t>Integrations</t>
        </is>
      </c>
      <c r="H448" t="inlineStr">
        <is>
          <t>Integration Issue</t>
        </is>
      </c>
      <c r="I448" t="inlineStr">
        <is>
          <t>Escalating on behalf of our ops lead. API timeouts is unreliable and there is no retry or log we can inspect. It affects our month-end reporting process every cycle. Support suggested logging it here.</t>
        </is>
      </c>
      <c r="J448" t="inlineStr">
        <is>
          <t>Negative</t>
        </is>
      </c>
      <c r="K448" t="inlineStr">
        <is>
          <t>Medium</t>
        </is>
      </c>
      <c r="L448" t="inlineStr">
        <is>
          <t>Minor Inconvenience</t>
        </is>
      </c>
      <c r="M448" t="inlineStr">
        <is>
          <t>int_api</t>
        </is>
      </c>
      <c r="N448" t="inlineStr">
        <is>
          <t>API limits and webhook failures</t>
        </is>
      </c>
      <c r="O448" t="inlineStr">
        <is>
          <t>2026-02</t>
        </is>
      </c>
    </row>
    <row r="449">
      <c r="A449" t="inlineStr">
        <is>
          <t>FB-00448</t>
        </is>
      </c>
      <c r="B449" t="inlineStr">
        <is>
          <t>CUST-0284</t>
        </is>
      </c>
      <c r="C449" s="11" t="n">
        <v>46060</v>
      </c>
      <c r="D449" t="inlineStr">
        <is>
          <t>Support Ticket</t>
        </is>
      </c>
      <c r="E449" t="inlineStr">
        <is>
          <t>Enterprise</t>
        </is>
      </c>
      <c r="F449" t="inlineStr">
        <is>
          <t>Enterprise</t>
        </is>
      </c>
      <c r="G449" t="inlineStr">
        <is>
          <t>Integrations</t>
        </is>
      </c>
      <c r="H449" t="inlineStr">
        <is>
          <t>Integration Issue</t>
        </is>
      </c>
      <c r="I449" t="inlineStr">
        <is>
          <t>Escalating on behalf of our ops lead. We keep hitting webhook delivery during nightly syncs with our data warehouse. Our admin flagged it while onboarding 16 new users. Support suggested logging it here.</t>
        </is>
      </c>
      <c r="J449" t="inlineStr">
        <is>
          <t>Negative</t>
        </is>
      </c>
      <c r="K449" t="inlineStr">
        <is>
          <t>High</t>
        </is>
      </c>
      <c r="L449" t="inlineStr">
        <is>
          <t>Workflow Slowdown</t>
        </is>
      </c>
      <c r="M449" t="inlineStr">
        <is>
          <t>int_api</t>
        </is>
      </c>
      <c r="N449" t="inlineStr">
        <is>
          <t>API limits and webhook failures</t>
        </is>
      </c>
      <c r="O449" t="inlineStr">
        <is>
          <t>2026-02</t>
        </is>
      </c>
    </row>
    <row r="450">
      <c r="A450" t="inlineStr">
        <is>
          <t>FB-00449</t>
        </is>
      </c>
      <c r="B450" t="inlineStr">
        <is>
          <t>CUST-0204</t>
        </is>
      </c>
      <c r="C450" s="11" t="n">
        <v>46060</v>
      </c>
      <c r="D450" t="inlineStr">
        <is>
          <t>In-App Feedback</t>
        </is>
      </c>
      <c r="E450" t="inlineStr">
        <is>
          <t>Enterprise</t>
        </is>
      </c>
      <c r="F450" t="inlineStr">
        <is>
          <t>Enterprise</t>
        </is>
      </c>
      <c r="G450" t="inlineStr">
        <is>
          <t>Workflow Automation</t>
        </is>
      </c>
      <c r="H450" t="inlineStr">
        <is>
          <t>Bug</t>
        </is>
      </c>
      <c r="I450" t="inlineStr">
        <is>
          <t>Feedback from our monthly review. Several workflow failures left deals stuck in the wrong stage. We estimate we lose roughly 47 hours a month on this. Let us know if you need examples.</t>
        </is>
      </c>
      <c r="J450" t="inlineStr">
        <is>
          <t>Neutral</t>
        </is>
      </c>
      <c r="K450" t="inlineStr">
        <is>
          <t>Critical</t>
        </is>
      </c>
      <c r="L450" t="inlineStr">
        <is>
          <t>Revenue/Operations Risk</t>
        </is>
      </c>
      <c r="M450" t="inlineStr">
        <is>
          <t>wf_fail</t>
        </is>
      </c>
      <c r="N450" t="inlineStr">
        <is>
          <t>Workflows failing silently</t>
        </is>
      </c>
      <c r="O450" t="inlineStr">
        <is>
          <t>2026-02</t>
        </is>
      </c>
    </row>
    <row r="451">
      <c r="A451" t="inlineStr">
        <is>
          <t>FB-00450</t>
        </is>
      </c>
      <c r="B451" t="inlineStr">
        <is>
          <t>CUST-0196</t>
        </is>
      </c>
      <c r="C451" s="11" t="n">
        <v>46060</v>
      </c>
      <c r="D451" t="inlineStr">
        <is>
          <t>In-App Feedback</t>
        </is>
      </c>
      <c r="E451" t="inlineStr">
        <is>
          <t>Enterprise</t>
        </is>
      </c>
      <c r="F451" t="inlineStr">
        <is>
          <t>Enterprise</t>
        </is>
      </c>
      <c r="G451" t="inlineStr">
        <is>
          <t>Reporting</t>
        </is>
      </c>
      <c r="H451" t="inlineStr">
        <is>
          <t>Performance Issue</t>
        </is>
      </c>
      <c r="I451" t="inlineStr">
        <is>
          <t>Noting this during onboarding. Execs gave up on the report load time and ask for screenshots instead. It happens about 24 times a week for our team of 5.</t>
        </is>
      </c>
      <c r="J451" t="inlineStr">
        <is>
          <t>Neutral</t>
        </is>
      </c>
      <c r="K451" t="inlineStr">
        <is>
          <t>High</t>
        </is>
      </c>
      <c r="L451" t="inlineStr">
        <is>
          <t>Blocks Key Task</t>
        </is>
      </c>
      <c r="M451" t="inlineStr">
        <is>
          <t>rep_slow</t>
        </is>
      </c>
      <c r="N451" t="inlineStr">
        <is>
          <t>Slow dashboards</t>
        </is>
      </c>
      <c r="O451" t="inlineStr">
        <is>
          <t>2026-02</t>
        </is>
      </c>
    </row>
    <row r="452">
      <c r="A452" t="inlineStr">
        <is>
          <t>FB-00451</t>
        </is>
      </c>
      <c r="B452" t="inlineStr">
        <is>
          <t>CUST-0196</t>
        </is>
      </c>
      <c r="C452" s="11" t="n">
        <v>46061</v>
      </c>
      <c r="D452" t="inlineStr">
        <is>
          <t>Support Ticket</t>
        </is>
      </c>
      <c r="E452" t="inlineStr">
        <is>
          <t>Enterprise</t>
        </is>
      </c>
      <c r="F452" t="inlineStr">
        <is>
          <t>Enterprise</t>
        </is>
      </c>
      <c r="G452" t="inlineStr">
        <is>
          <t>Contact Management</t>
        </is>
      </c>
      <c r="H452" t="inlineStr">
        <is>
          <t>Performance Issue</t>
        </is>
      </c>
      <c r="I452" t="inlineStr">
        <is>
          <t>Our team keeps running into this. Combining several conditions in contact list filtering makes the page hang. We estimate we lose roughly 6 hours a month on this. Please look into it soon.</t>
        </is>
      </c>
      <c r="J452" t="inlineStr">
        <is>
          <t>Negative</t>
        </is>
      </c>
      <c r="K452" t="inlineStr">
        <is>
          <t>Low</t>
        </is>
      </c>
      <c r="L452" t="inlineStr">
        <is>
          <t>Minor Inconvenience</t>
        </is>
      </c>
      <c r="M452" t="inlineStr">
        <is>
          <t>contact_search</t>
        </is>
      </c>
      <c r="N452" t="inlineStr">
        <is>
          <t>Slow contact search</t>
        </is>
      </c>
      <c r="O452" t="inlineStr">
        <is>
          <t>2026-02</t>
        </is>
      </c>
    </row>
    <row r="453">
      <c r="A453" t="inlineStr">
        <is>
          <t>FB-00452</t>
        </is>
      </c>
      <c r="B453" t="inlineStr">
        <is>
          <t>CUST-0211</t>
        </is>
      </c>
      <c r="C453" s="11" t="n">
        <v>46061</v>
      </c>
      <c r="D453" t="inlineStr">
        <is>
          <t>Customer Survey</t>
        </is>
      </c>
      <c r="E453" t="inlineStr">
        <is>
          <t>Enterprise</t>
        </is>
      </c>
      <c r="F453" t="inlineStr">
        <is>
          <t>Mid-Market</t>
        </is>
      </c>
      <c r="G453" t="inlineStr">
        <is>
          <t>Integrations</t>
        </is>
      </c>
      <c r="H453" t="inlineStr">
        <is>
          <t>Feature Request</t>
        </is>
      </c>
      <c r="I453" t="inlineStr">
        <is>
          <t>Lack of a marketing automation connector is a gap versus other CRMs we evaluated. Our RevOps lead flagged it while onboarding 27 new users.</t>
        </is>
      </c>
      <c r="J453" t="inlineStr">
        <is>
          <t>Neutral</t>
        </is>
      </c>
      <c r="K453" t="inlineStr">
        <is>
          <t>Medium</t>
        </is>
      </c>
      <c r="L453" t="inlineStr">
        <is>
          <t>Blocks Key Task</t>
        </is>
      </c>
      <c r="M453" t="inlineStr">
        <is>
          <t>int_native</t>
        </is>
      </c>
      <c r="N453" t="inlineStr">
        <is>
          <t>Native integrations</t>
        </is>
      </c>
      <c r="O453" t="inlineStr">
        <is>
          <t>2026-02</t>
        </is>
      </c>
    </row>
    <row r="454">
      <c r="A454" t="inlineStr">
        <is>
          <t>FB-00453</t>
        </is>
      </c>
      <c r="B454" t="inlineStr">
        <is>
          <t>CUST-0398</t>
        </is>
      </c>
      <c r="C454" s="11" t="n">
        <v>46061</v>
      </c>
      <c r="D454" t="inlineStr">
        <is>
          <t>Support Ticket</t>
        </is>
      </c>
      <c r="E454" t="inlineStr">
        <is>
          <t>Enterprise</t>
        </is>
      </c>
      <c r="F454" t="inlineStr">
        <is>
          <t>Enterprise</t>
        </is>
      </c>
      <c r="G454" t="inlineStr">
        <is>
          <t>Integrations</t>
        </is>
      </c>
      <c r="H454" t="inlineStr">
        <is>
          <t>Integration Issue</t>
        </is>
      </c>
      <c r="I454" t="inlineStr">
        <is>
          <t>Our team keeps running into this. Our email sync keeps disconnecting and activities are missing from the contact timeline. Please look into it soon.</t>
        </is>
      </c>
      <c r="J454" t="inlineStr">
        <is>
          <t>Negative</t>
        </is>
      </c>
      <c r="K454" t="inlineStr">
        <is>
          <t>High</t>
        </is>
      </c>
      <c r="L454" t="inlineStr">
        <is>
          <t>Blocks Key Task</t>
        </is>
      </c>
      <c r="M454" t="inlineStr">
        <is>
          <t>int_email</t>
        </is>
      </c>
      <c r="N454" t="inlineStr">
        <is>
          <t>Email and calendar sync drops</t>
        </is>
      </c>
      <c r="O454" t="inlineStr">
        <is>
          <t>2026-02</t>
        </is>
      </c>
    </row>
    <row r="455">
      <c r="A455" t="inlineStr">
        <is>
          <t>FB-00454</t>
        </is>
      </c>
      <c r="B455" t="inlineStr">
        <is>
          <t>CUST-0400</t>
        </is>
      </c>
      <c r="C455" s="11" t="n">
        <v>46061</v>
      </c>
      <c r="D455" t="inlineStr">
        <is>
          <t>Feature Request</t>
        </is>
      </c>
      <c r="E455" t="inlineStr">
        <is>
          <t>Starter</t>
        </is>
      </c>
      <c r="F455" t="inlineStr">
        <is>
          <t>SMB</t>
        </is>
      </c>
      <c r="G455" t="inlineStr">
        <is>
          <t>User Interface</t>
        </is>
      </c>
      <c r="H455" t="inlineStr">
        <is>
          <t>Feature Request</t>
        </is>
      </c>
      <c r="I455" t="inlineStr">
        <is>
          <t>Please prioritize mobile call logging; the mobile web view is hard to use.</t>
        </is>
      </c>
      <c r="J455" t="inlineStr">
        <is>
          <t>Neutral</t>
        </is>
      </c>
      <c r="K455" t="inlineStr">
        <is>
          <t>Low</t>
        </is>
      </c>
      <c r="L455" t="inlineStr">
        <is>
          <t>Minor Inconvenience</t>
        </is>
      </c>
      <c r="M455" t="inlineStr">
        <is>
          <t>ui_mobile</t>
        </is>
      </c>
      <c r="N455" t="inlineStr">
        <is>
          <t>Mobile app</t>
        </is>
      </c>
      <c r="O455" t="inlineStr">
        <is>
          <t>2026-02</t>
        </is>
      </c>
    </row>
    <row r="456">
      <c r="A456" t="inlineStr">
        <is>
          <t>FB-00455</t>
        </is>
      </c>
      <c r="B456" t="inlineStr">
        <is>
          <t>CUST-0302</t>
        </is>
      </c>
      <c r="C456" s="11" t="n">
        <v>46062</v>
      </c>
      <c r="D456" t="inlineStr">
        <is>
          <t>In-App Feedback</t>
        </is>
      </c>
      <c r="E456" t="inlineStr">
        <is>
          <t>Enterprise</t>
        </is>
      </c>
      <c r="F456" t="inlineStr">
        <is>
          <t>Mid-Market</t>
        </is>
      </c>
      <c r="G456" t="inlineStr">
        <is>
          <t>Integrations</t>
        </is>
      </c>
      <c r="H456" t="inlineStr">
        <is>
          <t>Feature Request</t>
        </is>
      </c>
      <c r="I456" t="inlineStr">
        <is>
          <t>Requesting a native Slack integration to remove manual re-entry.</t>
        </is>
      </c>
      <c r="J456" t="inlineStr">
        <is>
          <t>Positive</t>
        </is>
      </c>
      <c r="K456" t="inlineStr">
        <is>
          <t>Low</t>
        </is>
      </c>
      <c r="L456" t="inlineStr">
        <is>
          <t>Minor Inconvenience</t>
        </is>
      </c>
      <c r="M456" t="inlineStr">
        <is>
          <t>int_native</t>
        </is>
      </c>
      <c r="N456" t="inlineStr">
        <is>
          <t>Native integrations</t>
        </is>
      </c>
      <c r="O456" t="inlineStr">
        <is>
          <t>2026-02</t>
        </is>
      </c>
    </row>
    <row r="457">
      <c r="A457" t="inlineStr">
        <is>
          <t>FB-00456</t>
        </is>
      </c>
      <c r="B457" t="inlineStr">
        <is>
          <t>CUST-0324</t>
        </is>
      </c>
      <c r="C457" s="11" t="n">
        <v>46062</v>
      </c>
      <c r="D457" t="inlineStr">
        <is>
          <t>In-App Feedback</t>
        </is>
      </c>
      <c r="E457" t="inlineStr">
        <is>
          <t>Starter</t>
        </is>
      </c>
      <c r="F457" t="inlineStr">
        <is>
          <t>SMB</t>
        </is>
      </c>
      <c r="G457" t="inlineStr">
        <is>
          <t>Integrations</t>
        </is>
      </c>
      <c r="H457" t="inlineStr">
        <is>
          <t>Integration Issue</t>
        </is>
      </c>
      <c r="I457" t="inlineStr">
        <is>
          <t>Not what we expected for the price. Our email sync keeps disconnecting and activities are missing from the contact timeline. We estimate we lose roughly 45 hours a month on this. We need a fix before renewal.</t>
        </is>
      </c>
      <c r="J457" t="inlineStr">
        <is>
          <t>Negative</t>
        </is>
      </c>
      <c r="K457" t="inlineStr">
        <is>
          <t>Low</t>
        </is>
      </c>
      <c r="L457" t="inlineStr">
        <is>
          <t>Workflow Slowdown</t>
        </is>
      </c>
      <c r="M457" t="inlineStr">
        <is>
          <t>int_email</t>
        </is>
      </c>
      <c r="N457" t="inlineStr">
        <is>
          <t>Email and calendar sync drops</t>
        </is>
      </c>
      <c r="O457" t="inlineStr">
        <is>
          <t>2026-02</t>
        </is>
      </c>
    </row>
    <row r="458">
      <c r="A458" t="inlineStr">
        <is>
          <t>FB-00457</t>
        </is>
      </c>
      <c r="B458" t="inlineStr">
        <is>
          <t>CUST-0282</t>
        </is>
      </c>
      <c r="C458" s="11" t="n">
        <v>46062</v>
      </c>
      <c r="D458" t="inlineStr">
        <is>
          <t>Feature Request</t>
        </is>
      </c>
      <c r="E458" t="inlineStr">
        <is>
          <t>Starter</t>
        </is>
      </c>
      <c r="F458" t="inlineStr">
        <is>
          <t>SMB</t>
        </is>
      </c>
      <c r="G458" t="inlineStr">
        <is>
          <t>User Interface</t>
        </is>
      </c>
      <c r="H458" t="inlineStr">
        <is>
          <t>Feature Request</t>
        </is>
      </c>
      <c r="I458" t="inlineStr">
        <is>
          <t>Feedback from our monthly review. Our field reps need offline mobile access to update deals between visits. It happens about 38 times a week for our team of 76.</t>
        </is>
      </c>
      <c r="J458" t="inlineStr">
        <is>
          <t>Neutral</t>
        </is>
      </c>
      <c r="K458" t="inlineStr">
        <is>
          <t>Medium</t>
        </is>
      </c>
      <c r="L458" t="inlineStr">
        <is>
          <t>Blocks Key Task</t>
        </is>
      </c>
      <c r="M458" t="inlineStr">
        <is>
          <t>ui_mobile</t>
        </is>
      </c>
      <c r="N458" t="inlineStr">
        <is>
          <t>Mobile app</t>
        </is>
      </c>
      <c r="O458" t="inlineStr">
        <is>
          <t>2026-02</t>
        </is>
      </c>
    </row>
    <row r="459">
      <c r="A459" t="inlineStr">
        <is>
          <t>FB-00458</t>
        </is>
      </c>
      <c r="B459" t="inlineStr">
        <is>
          <t>CUST-0293</t>
        </is>
      </c>
      <c r="C459" s="11" t="n">
        <v>46062</v>
      </c>
      <c r="D459" t="inlineStr">
        <is>
          <t>Support Ticket</t>
        </is>
      </c>
      <c r="E459" t="inlineStr">
        <is>
          <t>Enterprise</t>
        </is>
      </c>
      <c r="F459" t="inlineStr">
        <is>
          <t>Enterprise</t>
        </is>
      </c>
      <c r="G459" t="inlineStr">
        <is>
          <t>Integrations</t>
        </is>
      </c>
      <c r="H459" t="inlineStr">
        <is>
          <t>Integration Issue</t>
        </is>
      </c>
      <c r="I459" t="inlineStr">
        <is>
          <t>This has been a recurring problem for us. After the token expires, email sync stops with no warning. So far 22 people on our side have reported it. Is there a workaround?</t>
        </is>
      </c>
      <c r="J459" t="inlineStr">
        <is>
          <t>Negative</t>
        </is>
      </c>
      <c r="K459" t="inlineStr">
        <is>
          <t>Medium</t>
        </is>
      </c>
      <c r="L459" t="inlineStr">
        <is>
          <t>Workflow Slowdown</t>
        </is>
      </c>
      <c r="M459" t="inlineStr">
        <is>
          <t>int_email</t>
        </is>
      </c>
      <c r="N459" t="inlineStr">
        <is>
          <t>Email and calendar sync drops</t>
        </is>
      </c>
      <c r="O459" t="inlineStr">
        <is>
          <t>2026-02</t>
        </is>
      </c>
    </row>
    <row r="460">
      <c r="A460" t="inlineStr">
        <is>
          <t>FB-00459</t>
        </is>
      </c>
      <c r="B460" t="inlineStr">
        <is>
          <t>CUST-0380</t>
        </is>
      </c>
      <c r="C460" s="11" t="n">
        <v>46063</v>
      </c>
      <c r="D460" t="inlineStr">
        <is>
          <t>In-App Feedback</t>
        </is>
      </c>
      <c r="E460" t="inlineStr">
        <is>
          <t>Professional</t>
        </is>
      </c>
      <c r="F460" t="inlineStr">
        <is>
          <t>Mid-Market</t>
        </is>
      </c>
      <c r="G460" t="inlineStr">
        <is>
          <t>Reporting</t>
        </is>
      </c>
      <c r="H460" t="inlineStr">
        <is>
          <t>Feature Request</t>
        </is>
      </c>
      <c r="I460" t="inlineStr">
        <is>
          <t>Happy with most of the product. Please add report scheduling; today an analyst rebuilds the same report every week. It affects our onboarding process every cycle. Keep up the good work.</t>
        </is>
      </c>
      <c r="J460" t="inlineStr">
        <is>
          <t>Positive</t>
        </is>
      </c>
      <c r="K460" t="inlineStr">
        <is>
          <t>Low</t>
        </is>
      </c>
      <c r="L460" t="inlineStr">
        <is>
          <t>Minor Inconvenience</t>
        </is>
      </c>
      <c r="M460" t="inlineStr">
        <is>
          <t>rep_custom</t>
        </is>
      </c>
      <c r="N460" t="inlineStr">
        <is>
          <t>Custom and scheduled reports</t>
        </is>
      </c>
      <c r="O460" t="inlineStr">
        <is>
          <t>2026-02</t>
        </is>
      </c>
    </row>
    <row r="461">
      <c r="A461" t="inlineStr">
        <is>
          <t>FB-00460</t>
        </is>
      </c>
      <c r="B461" t="inlineStr">
        <is>
          <t>CUST-0157</t>
        </is>
      </c>
      <c r="C461" s="11" t="n">
        <v>46063</v>
      </c>
      <c r="D461" t="inlineStr">
        <is>
          <t>In-App Feedback</t>
        </is>
      </c>
      <c r="E461" t="inlineStr">
        <is>
          <t>Starter</t>
        </is>
      </c>
      <c r="F461" t="inlineStr">
        <is>
          <t>SMB</t>
        </is>
      </c>
      <c r="G461" t="inlineStr">
        <is>
          <t>Workflow Automation</t>
        </is>
      </c>
      <c r="H461" t="inlineStr">
        <is>
          <t>Bug</t>
        </is>
      </c>
      <c r="I461" t="inlineStr">
        <is>
          <t>Raising this again after our last business review. Several workflow failures left deals stuck in the wrong stage. It affects our quarterly planning process every cycle. Please look into it soon.</t>
        </is>
      </c>
      <c r="J461" t="inlineStr">
        <is>
          <t>Negative</t>
        </is>
      </c>
      <c r="K461" t="inlineStr">
        <is>
          <t>Critical</t>
        </is>
      </c>
      <c r="L461" t="inlineStr">
        <is>
          <t>Revenue/Operations Risk</t>
        </is>
      </c>
      <c r="M461" t="inlineStr">
        <is>
          <t>wf_fail</t>
        </is>
      </c>
      <c r="N461" t="inlineStr">
        <is>
          <t>Workflows failing silently</t>
        </is>
      </c>
      <c r="O461" t="inlineStr">
        <is>
          <t>2026-02</t>
        </is>
      </c>
    </row>
    <row r="462">
      <c r="A462" t="inlineStr">
        <is>
          <t>FB-00461</t>
        </is>
      </c>
      <c r="B462" t="inlineStr">
        <is>
          <t>CUST-0142</t>
        </is>
      </c>
      <c r="C462" s="11" t="n">
        <v>46063</v>
      </c>
      <c r="D462" t="inlineStr">
        <is>
          <t>Support Ticket</t>
        </is>
      </c>
      <c r="E462" t="inlineStr">
        <is>
          <t>Professional</t>
        </is>
      </c>
      <c r="F462" t="inlineStr">
        <is>
          <t>Enterprise</t>
        </is>
      </c>
      <c r="G462" t="inlineStr">
        <is>
          <t>Workflow Automation</t>
        </is>
      </c>
      <c r="H462" t="inlineStr">
        <is>
          <t>Bug</t>
        </is>
      </c>
      <c r="I462" t="inlineStr">
        <is>
          <t>Noting this during onboarding. Since the last release we've had automation misfires and tasks are being created twice. Happy to join a feedback call.</t>
        </is>
      </c>
      <c r="J462" t="inlineStr">
        <is>
          <t>Neutral</t>
        </is>
      </c>
      <c r="K462" t="inlineStr">
        <is>
          <t>Medium</t>
        </is>
      </c>
      <c r="L462" t="inlineStr">
        <is>
          <t>Workflow Slowdown</t>
        </is>
      </c>
      <c r="M462" t="inlineStr">
        <is>
          <t>wf_fail</t>
        </is>
      </c>
      <c r="N462" t="inlineStr">
        <is>
          <t>Workflows failing silently</t>
        </is>
      </c>
      <c r="O462" t="inlineStr">
        <is>
          <t>2026-02</t>
        </is>
      </c>
    </row>
    <row r="463">
      <c r="A463" t="inlineStr">
        <is>
          <t>FB-00462</t>
        </is>
      </c>
      <c r="B463" t="inlineStr">
        <is>
          <t>CUST-0165</t>
        </is>
      </c>
      <c r="C463" s="11" t="n">
        <v>46063</v>
      </c>
      <c r="D463" t="inlineStr">
        <is>
          <t>Support Ticket</t>
        </is>
      </c>
      <c r="E463" t="inlineStr">
        <is>
          <t>Enterprise</t>
        </is>
      </c>
      <c r="F463" t="inlineStr">
        <is>
          <t>Mid-Market</t>
        </is>
      </c>
      <c r="G463" t="inlineStr">
        <is>
          <t>Workflow Automation</t>
        </is>
      </c>
      <c r="H463" t="inlineStr">
        <is>
          <t>Bug</t>
        </is>
      </c>
      <c r="I463" t="inlineStr">
        <is>
          <t>Escalating on behalf of our ops lead. We are hitting automation misfires: emails don't send and nobody gets notified. Our RevOps lead flagged it while onboarding 15 new users. Is there a workaround?</t>
        </is>
      </c>
      <c r="J463" t="inlineStr">
        <is>
          <t>Negative</t>
        </is>
      </c>
      <c r="K463" t="inlineStr">
        <is>
          <t>High</t>
        </is>
      </c>
      <c r="L463" t="inlineStr">
        <is>
          <t>Workflow Slowdown</t>
        </is>
      </c>
      <c r="M463" t="inlineStr">
        <is>
          <t>wf_fail</t>
        </is>
      </c>
      <c r="N463" t="inlineStr">
        <is>
          <t>Workflows failing silently</t>
        </is>
      </c>
      <c r="O463" t="inlineStr">
        <is>
          <t>2026-02</t>
        </is>
      </c>
    </row>
    <row r="464">
      <c r="A464" t="inlineStr">
        <is>
          <t>FB-00463</t>
        </is>
      </c>
      <c r="B464" t="inlineStr">
        <is>
          <t>CUST-0269</t>
        </is>
      </c>
      <c r="C464" s="11" t="n">
        <v>46064</v>
      </c>
      <c r="D464" t="inlineStr">
        <is>
          <t>Feature Request</t>
        </is>
      </c>
      <c r="E464" t="inlineStr">
        <is>
          <t>Professional</t>
        </is>
      </c>
      <c r="F464" t="inlineStr">
        <is>
          <t>SMB</t>
        </is>
      </c>
      <c r="G464" t="inlineStr">
        <is>
          <t>User Interface</t>
        </is>
      </c>
      <c r="H464" t="inlineStr">
        <is>
          <t>Feature Request</t>
        </is>
      </c>
      <c r="I464" t="inlineStr">
        <is>
          <t>We lose notes whenever reps are away from a desk without offline mobile access. Happy to beta test.</t>
        </is>
      </c>
      <c r="J464" t="inlineStr">
        <is>
          <t>Positive</t>
        </is>
      </c>
      <c r="K464" t="inlineStr">
        <is>
          <t>Medium</t>
        </is>
      </c>
      <c r="L464" t="inlineStr">
        <is>
          <t>Blocks Key Task</t>
        </is>
      </c>
      <c r="M464" t="inlineStr">
        <is>
          <t>ui_mobile</t>
        </is>
      </c>
      <c r="N464" t="inlineStr">
        <is>
          <t>Mobile app</t>
        </is>
      </c>
      <c r="O464" t="inlineStr">
        <is>
          <t>2026-02</t>
        </is>
      </c>
    </row>
    <row r="465">
      <c r="A465" t="inlineStr">
        <is>
          <t>FB-00464</t>
        </is>
      </c>
      <c r="B465" t="inlineStr">
        <is>
          <t>CUST-0087</t>
        </is>
      </c>
      <c r="C465" s="11" t="n">
        <v>46064</v>
      </c>
      <c r="D465" t="inlineStr">
        <is>
          <t>Feature Request</t>
        </is>
      </c>
      <c r="E465" t="inlineStr">
        <is>
          <t>Professional</t>
        </is>
      </c>
      <c r="F465" t="inlineStr">
        <is>
          <t>SMB</t>
        </is>
      </c>
      <c r="G465" t="inlineStr">
        <is>
          <t>Contact Management</t>
        </is>
      </c>
      <c r="H465" t="inlineStr">
        <is>
          <t>Feature Request</t>
        </is>
      </c>
      <c r="I465" t="inlineStr">
        <is>
          <t>FYI for the product team. A bulk contact merge that keeps activity history would save our ops team hours. We estimate we lose roughly 35 hours a month on this.</t>
        </is>
      </c>
      <c r="J465" t="inlineStr">
        <is>
          <t>Neutral</t>
        </is>
      </c>
      <c r="K465" t="inlineStr">
        <is>
          <t>Low</t>
        </is>
      </c>
      <c r="L465" t="inlineStr">
        <is>
          <t>Minor Inconvenience</t>
        </is>
      </c>
      <c r="M465" t="inlineStr">
        <is>
          <t>contact_dedupe</t>
        </is>
      </c>
      <c r="N465" t="inlineStr">
        <is>
          <t>Bulk contact merge</t>
        </is>
      </c>
      <c r="O465" t="inlineStr">
        <is>
          <t>2026-02</t>
        </is>
      </c>
    </row>
    <row r="466">
      <c r="A466" t="inlineStr">
        <is>
          <t>FB-00465</t>
        </is>
      </c>
      <c r="B466" t="inlineStr">
        <is>
          <t>CUST-0197</t>
        </is>
      </c>
      <c r="C466" s="11" t="n">
        <v>46064</v>
      </c>
      <c r="D466" t="inlineStr">
        <is>
          <t>In-App Feedback</t>
        </is>
      </c>
      <c r="E466" t="inlineStr">
        <is>
          <t>Professional</t>
        </is>
      </c>
      <c r="F466" t="inlineStr">
        <is>
          <t>Mid-Market</t>
        </is>
      </c>
      <c r="G466" t="inlineStr">
        <is>
          <t>Contact Management</t>
        </is>
      </c>
      <c r="H466" t="inlineStr">
        <is>
          <t>Bug</t>
        </is>
      </c>
      <c r="I466" t="inlineStr">
        <is>
          <t>Our team keeps running into this. The spreadsheet import fails halfway through with a generic error and no row-level detail. So far 33 people on our side have reported it. Please look into it soon.</t>
        </is>
      </c>
      <c r="J466" t="inlineStr">
        <is>
          <t>Negative</t>
        </is>
      </c>
      <c r="K466" t="inlineStr">
        <is>
          <t>Critical</t>
        </is>
      </c>
      <c r="L466" t="inlineStr">
        <is>
          <t>Revenue/Operations Risk</t>
        </is>
      </c>
      <c r="M466" t="inlineStr">
        <is>
          <t>contact_import</t>
        </is>
      </c>
      <c r="N466" t="inlineStr">
        <is>
          <t>Unreliable contact imports</t>
        </is>
      </c>
      <c r="O466" t="inlineStr">
        <is>
          <t>2026-02</t>
        </is>
      </c>
    </row>
    <row r="467">
      <c r="A467" t="inlineStr">
        <is>
          <t>FB-00466</t>
        </is>
      </c>
      <c r="B467" t="inlineStr">
        <is>
          <t>CUST-0128</t>
        </is>
      </c>
      <c r="C467" s="11" t="n">
        <v>46064</v>
      </c>
      <c r="D467" t="inlineStr">
        <is>
          <t>Support Ticket</t>
        </is>
      </c>
      <c r="E467" t="inlineStr">
        <is>
          <t>Professional</t>
        </is>
      </c>
      <c r="F467" t="inlineStr">
        <is>
          <t>SMB</t>
        </is>
      </c>
      <c r="G467" t="inlineStr">
        <is>
          <t>Contact Management</t>
        </is>
      </c>
      <c r="H467" t="inlineStr">
        <is>
          <t>Bug</t>
        </is>
      </c>
      <c r="I467" t="inlineStr">
        <is>
          <t>This has been a recurring problem for us. The spreadsheet import silently skipped rows and we only noticed days later. Support suggested logging it here.</t>
        </is>
      </c>
      <c r="J467" t="inlineStr">
        <is>
          <t>Negative</t>
        </is>
      </c>
      <c r="K467" t="inlineStr">
        <is>
          <t>Medium</t>
        </is>
      </c>
      <c r="L467" t="inlineStr">
        <is>
          <t>Workflow Slowdown</t>
        </is>
      </c>
      <c r="M467" t="inlineStr">
        <is>
          <t>contact_import</t>
        </is>
      </c>
      <c r="N467" t="inlineStr">
        <is>
          <t>Unreliable contact imports</t>
        </is>
      </c>
      <c r="O467" t="inlineStr">
        <is>
          <t>2026-02</t>
        </is>
      </c>
    </row>
    <row r="468">
      <c r="A468" t="inlineStr">
        <is>
          <t>FB-00467</t>
        </is>
      </c>
      <c r="B468" t="inlineStr">
        <is>
          <t>CUST-0156</t>
        </is>
      </c>
      <c r="C468" s="11" t="n">
        <v>46064</v>
      </c>
      <c r="D468" t="inlineStr">
        <is>
          <t>Feature Request</t>
        </is>
      </c>
      <c r="E468" t="inlineStr">
        <is>
          <t>Starter</t>
        </is>
      </c>
      <c r="F468" t="inlineStr">
        <is>
          <t>SMB</t>
        </is>
      </c>
      <c r="G468" t="inlineStr">
        <is>
          <t>Reporting</t>
        </is>
      </c>
      <c r="H468" t="inlineStr">
        <is>
          <t>Feature Request</t>
        </is>
      </c>
      <c r="I468" t="inlineStr">
        <is>
          <t>Recent updates have been a nice improvement. Requesting scheduled report emails so leadership gets numbers without logging in. Our customer success lead flagged it while onboarding 56 new users.</t>
        </is>
      </c>
      <c r="J468" t="inlineStr">
        <is>
          <t>Positive</t>
        </is>
      </c>
      <c r="K468" t="inlineStr">
        <is>
          <t>Low</t>
        </is>
      </c>
      <c r="L468" t="inlineStr">
        <is>
          <t>Minor Inconvenience</t>
        </is>
      </c>
      <c r="M468" t="inlineStr">
        <is>
          <t>rep_custom</t>
        </is>
      </c>
      <c r="N468" t="inlineStr">
        <is>
          <t>Custom and scheduled reports</t>
        </is>
      </c>
      <c r="O468" t="inlineStr">
        <is>
          <t>2026-02</t>
        </is>
      </c>
    </row>
    <row r="469">
      <c r="A469" t="inlineStr">
        <is>
          <t>FB-00468</t>
        </is>
      </c>
      <c r="B469" t="inlineStr">
        <is>
          <t>CUST-0340</t>
        </is>
      </c>
      <c r="C469" s="11" t="n">
        <v>46064</v>
      </c>
      <c r="D469" t="inlineStr">
        <is>
          <t>In-App Feedback</t>
        </is>
      </c>
      <c r="E469" t="inlineStr">
        <is>
          <t>Professional</t>
        </is>
      </c>
      <c r="F469" t="inlineStr">
        <is>
          <t>Mid-Market</t>
        </is>
      </c>
      <c r="G469" t="inlineStr">
        <is>
          <t>Workflow Automation</t>
        </is>
      </c>
      <c r="H469" t="inlineStr">
        <is>
          <t>Feature Request</t>
        </is>
      </c>
      <c r="I469" t="inlineStr">
        <is>
          <t>Quick note from our admin. Competitors ship prebuilt automations; we are rebuilding the same flows from scratch. It happens about 34 times a week for our team of 90. Happy to join a feedback call.</t>
        </is>
      </c>
      <c r="J469" t="inlineStr">
        <is>
          <t>Neutral</t>
        </is>
      </c>
      <c r="K469" t="inlineStr">
        <is>
          <t>Low</t>
        </is>
      </c>
      <c r="L469" t="inlineStr">
        <is>
          <t>Workflow Slowdown</t>
        </is>
      </c>
      <c r="M469" t="inlineStr">
        <is>
          <t>wf_templates</t>
        </is>
      </c>
      <c r="N469" t="inlineStr">
        <is>
          <t>Workflow templates</t>
        </is>
      </c>
      <c r="O469" t="inlineStr">
        <is>
          <t>2026-02</t>
        </is>
      </c>
    </row>
    <row r="470">
      <c r="A470" t="inlineStr">
        <is>
          <t>FB-00469</t>
        </is>
      </c>
      <c r="B470" t="inlineStr">
        <is>
          <t>CUST-0116</t>
        </is>
      </c>
      <c r="C470" s="11" t="n">
        <v>46064</v>
      </c>
      <c r="D470" t="inlineStr">
        <is>
          <t>In-App Feedback</t>
        </is>
      </c>
      <c r="E470" t="inlineStr">
        <is>
          <t>Professional</t>
        </is>
      </c>
      <c r="F470" t="inlineStr">
        <is>
          <t>SMB</t>
        </is>
      </c>
      <c r="G470" t="inlineStr">
        <is>
          <t>Workflow Automation</t>
        </is>
      </c>
      <c r="H470" t="inlineStr">
        <is>
          <t>Bug</t>
        </is>
      </c>
      <c r="I470" t="inlineStr">
        <is>
          <t>Several automation misfires left deals stuck in the wrong stage. It happens about 31 times a week for our team of 40. Support suggested logging it here.</t>
        </is>
      </c>
      <c r="J470" t="inlineStr">
        <is>
          <t>Negative</t>
        </is>
      </c>
      <c r="K470" t="inlineStr">
        <is>
          <t>High</t>
        </is>
      </c>
      <c r="L470" t="inlineStr">
        <is>
          <t>Blocks Key Task</t>
        </is>
      </c>
      <c r="M470" t="inlineStr">
        <is>
          <t>wf_fail</t>
        </is>
      </c>
      <c r="N470" t="inlineStr">
        <is>
          <t>Workflows failing silently</t>
        </is>
      </c>
      <c r="O470" t="inlineStr">
        <is>
          <t>2026-02</t>
        </is>
      </c>
    </row>
    <row r="471">
      <c r="A471" t="inlineStr">
        <is>
          <t>FB-00470</t>
        </is>
      </c>
      <c r="B471" t="inlineStr">
        <is>
          <t>CUST-0069</t>
        </is>
      </c>
      <c r="C471" s="11" t="n">
        <v>46064</v>
      </c>
      <c r="D471" t="inlineStr">
        <is>
          <t>In-App Feedback</t>
        </is>
      </c>
      <c r="E471" t="inlineStr">
        <is>
          <t>Starter</t>
        </is>
      </c>
      <c r="F471" t="inlineStr">
        <is>
          <t>Mid-Market</t>
        </is>
      </c>
      <c r="G471" t="inlineStr">
        <is>
          <t>Reporting</t>
        </is>
      </c>
      <c r="H471" t="inlineStr">
        <is>
          <t>Bug</t>
        </is>
      </c>
      <c r="I471" t="inlineStr">
        <is>
          <t>Our team keeps running into this. The Excel export cuts off rows after a few thousand records. It affects our onboarding process every cycle.</t>
        </is>
      </c>
      <c r="J471" t="inlineStr">
        <is>
          <t>Negative</t>
        </is>
      </c>
      <c r="K471" t="inlineStr">
        <is>
          <t>Medium</t>
        </is>
      </c>
      <c r="L471" t="inlineStr">
        <is>
          <t>Blocks Key Task</t>
        </is>
      </c>
      <c r="M471" t="inlineStr">
        <is>
          <t>rep_export</t>
        </is>
      </c>
      <c r="N471" t="inlineStr">
        <is>
          <t>Broken report exports</t>
        </is>
      </c>
      <c r="O471" t="inlineStr">
        <is>
          <t>2026-02</t>
        </is>
      </c>
    </row>
    <row r="472">
      <c r="A472" t="inlineStr">
        <is>
          <t>FB-00471</t>
        </is>
      </c>
      <c r="B472" t="inlineStr">
        <is>
          <t>CUST-0313</t>
        </is>
      </c>
      <c r="C472" s="11" t="n">
        <v>46064</v>
      </c>
      <c r="D472" t="inlineStr">
        <is>
          <t>Support Ticket</t>
        </is>
      </c>
      <c r="E472" t="inlineStr">
        <is>
          <t>Starter</t>
        </is>
      </c>
      <c r="F472" t="inlineStr">
        <is>
          <t>SMB</t>
        </is>
      </c>
      <c r="G472" t="inlineStr">
        <is>
          <t>Contact Management</t>
        </is>
      </c>
      <c r="H472" t="inlineStr">
        <is>
          <t>Bug</t>
        </is>
      </c>
      <c r="I472" t="inlineStr">
        <is>
          <t>The contact CSV import silently skipped rows and we only noticed days later. Our marketing ops owner flagged it while onboarding 116 new users. Is there a workaround?</t>
        </is>
      </c>
      <c r="J472" t="inlineStr">
        <is>
          <t>Negative</t>
        </is>
      </c>
      <c r="K472" t="inlineStr">
        <is>
          <t>High</t>
        </is>
      </c>
      <c r="L472" t="inlineStr">
        <is>
          <t>Workflow Slowdown</t>
        </is>
      </c>
      <c r="M472" t="inlineStr">
        <is>
          <t>contact_import</t>
        </is>
      </c>
      <c r="N472" t="inlineStr">
        <is>
          <t>Unreliable contact imports</t>
        </is>
      </c>
      <c r="O472" t="inlineStr">
        <is>
          <t>2026-02</t>
        </is>
      </c>
    </row>
    <row r="473">
      <c r="A473" t="inlineStr">
        <is>
          <t>FB-00472</t>
        </is>
      </c>
      <c r="B473" t="inlineStr">
        <is>
          <t>CUST-0129</t>
        </is>
      </c>
      <c r="C473" s="11" t="n">
        <v>46065</v>
      </c>
      <c r="D473" t="inlineStr">
        <is>
          <t>Customer Survey</t>
        </is>
      </c>
      <c r="E473" t="inlineStr">
        <is>
          <t>Professional</t>
        </is>
      </c>
      <c r="F473" t="inlineStr">
        <is>
          <t>Enterprise</t>
        </is>
      </c>
      <c r="G473" t="inlineStr">
        <is>
          <t>Contact Management</t>
        </is>
      </c>
      <c r="H473" t="inlineStr">
        <is>
          <t>Feature Request</t>
        </is>
      </c>
      <c r="I473" t="inlineStr">
        <is>
          <t>Feedback from our monthly review. We need a tool to merge duplicate contacts because our database has years of overlapping records. Let us know if you need examples.</t>
        </is>
      </c>
      <c r="J473" t="inlineStr">
        <is>
          <t>Neutral</t>
        </is>
      </c>
      <c r="K473" t="inlineStr">
        <is>
          <t>Low</t>
        </is>
      </c>
      <c r="L473" t="inlineStr">
        <is>
          <t>Workflow Slowdown</t>
        </is>
      </c>
      <c r="M473" t="inlineStr">
        <is>
          <t>contact_dedupe</t>
        </is>
      </c>
      <c r="N473" t="inlineStr">
        <is>
          <t>Bulk contact merge</t>
        </is>
      </c>
      <c r="O473" t="inlineStr">
        <is>
          <t>2026-02</t>
        </is>
      </c>
    </row>
    <row r="474">
      <c r="A474" t="inlineStr">
        <is>
          <t>FB-00473</t>
        </is>
      </c>
      <c r="B474" t="inlineStr">
        <is>
          <t>CUST-0113</t>
        </is>
      </c>
      <c r="C474" s="11" t="n">
        <v>46066</v>
      </c>
      <c r="D474" t="inlineStr">
        <is>
          <t>Feature Request</t>
        </is>
      </c>
      <c r="E474" t="inlineStr">
        <is>
          <t>Professional</t>
        </is>
      </c>
      <c r="F474" t="inlineStr">
        <is>
          <t>Mid-Market</t>
        </is>
      </c>
      <c r="G474" t="inlineStr">
        <is>
          <t>Contact Management</t>
        </is>
      </c>
      <c r="H474" t="inlineStr">
        <is>
          <t>Feature Request</t>
        </is>
      </c>
      <c r="I474" t="inlineStr">
        <is>
          <t>Great support experience recently. A bulk contact merge that keeps activity history would save our ops team hours. So far 67 people on our side have reported it. Keep up the good work.</t>
        </is>
      </c>
      <c r="J474" t="inlineStr">
        <is>
          <t>Positive</t>
        </is>
      </c>
      <c r="K474" t="inlineStr">
        <is>
          <t>Low</t>
        </is>
      </c>
      <c r="L474" t="inlineStr">
        <is>
          <t>Minor Inconvenience</t>
        </is>
      </c>
      <c r="M474" t="inlineStr">
        <is>
          <t>contact_dedupe</t>
        </is>
      </c>
      <c r="N474" t="inlineStr">
        <is>
          <t>Bulk contact merge</t>
        </is>
      </c>
      <c r="O474" t="inlineStr">
        <is>
          <t>2026-02</t>
        </is>
      </c>
    </row>
    <row r="475">
      <c r="A475" t="inlineStr">
        <is>
          <t>FB-00474</t>
        </is>
      </c>
      <c r="B475" t="inlineStr">
        <is>
          <t>CUST-0320</t>
        </is>
      </c>
      <c r="C475" s="11" t="n">
        <v>46066</v>
      </c>
      <c r="D475" t="inlineStr">
        <is>
          <t>Support Ticket</t>
        </is>
      </c>
      <c r="E475" t="inlineStr">
        <is>
          <t>Professional</t>
        </is>
      </c>
      <c r="F475" t="inlineStr">
        <is>
          <t>Mid-Market</t>
        </is>
      </c>
      <c r="G475" t="inlineStr">
        <is>
          <t>Workflow Automation</t>
        </is>
      </c>
      <c r="H475" t="inlineStr">
        <is>
          <t>Bug</t>
        </is>
      </c>
      <c r="I475" t="inlineStr">
        <is>
          <t>We are hitting workflow runs failing silently: emails don't send and nobody gets notified. It happens about 31 times a week for our team of 103. Please look into it soon.</t>
        </is>
      </c>
      <c r="J475" t="inlineStr">
        <is>
          <t>Negative</t>
        </is>
      </c>
      <c r="K475" t="inlineStr">
        <is>
          <t>High</t>
        </is>
      </c>
      <c r="L475" t="inlineStr">
        <is>
          <t>Blocks Key Task</t>
        </is>
      </c>
      <c r="M475" t="inlineStr">
        <is>
          <t>wf_fail</t>
        </is>
      </c>
      <c r="N475" t="inlineStr">
        <is>
          <t>Workflows failing silently</t>
        </is>
      </c>
      <c r="O475" t="inlineStr">
        <is>
          <t>2026-02</t>
        </is>
      </c>
    </row>
    <row r="476">
      <c r="A476" t="inlineStr">
        <is>
          <t>FB-00475</t>
        </is>
      </c>
      <c r="B476" t="inlineStr">
        <is>
          <t>CUST-0175</t>
        </is>
      </c>
      <c r="C476" s="11" t="n">
        <v>46067</v>
      </c>
      <c r="D476" t="inlineStr">
        <is>
          <t>Feature Request</t>
        </is>
      </c>
      <c r="E476" t="inlineStr">
        <is>
          <t>Professional</t>
        </is>
      </c>
      <c r="F476" t="inlineStr">
        <is>
          <t>Mid-Market</t>
        </is>
      </c>
      <c r="G476" t="inlineStr">
        <is>
          <t>User Interface</t>
        </is>
      </c>
      <c r="H476" t="inlineStr">
        <is>
          <t>Feature Request</t>
        </is>
      </c>
      <c r="I476" t="inlineStr">
        <is>
          <t>Feedback from our monthly review. Please add multi-select actions; changing records one at a time wastes hours. We estimate we lose roughly 48 hours a month on this.</t>
        </is>
      </c>
      <c r="J476" t="inlineStr">
        <is>
          <t>Neutral</t>
        </is>
      </c>
      <c r="K476" t="inlineStr">
        <is>
          <t>Low</t>
        </is>
      </c>
      <c r="L476" t="inlineStr">
        <is>
          <t>Minor Inconvenience</t>
        </is>
      </c>
      <c r="M476" t="inlineStr">
        <is>
          <t>ui_bulk</t>
        </is>
      </c>
      <c r="N476" t="inlineStr">
        <is>
          <t>Bulk actions</t>
        </is>
      </c>
      <c r="O476" t="inlineStr">
        <is>
          <t>2026-02</t>
        </is>
      </c>
    </row>
    <row r="477">
      <c r="A477" t="inlineStr">
        <is>
          <t>FB-00476</t>
        </is>
      </c>
      <c r="B477" t="inlineStr">
        <is>
          <t>CUST-0420</t>
        </is>
      </c>
      <c r="C477" s="11" t="n">
        <v>46067</v>
      </c>
      <c r="D477" t="inlineStr">
        <is>
          <t>In-App Feedback</t>
        </is>
      </c>
      <c r="E477" t="inlineStr">
        <is>
          <t>Enterprise</t>
        </is>
      </c>
      <c r="F477" t="inlineStr">
        <is>
          <t>Enterprise</t>
        </is>
      </c>
      <c r="G477" t="inlineStr">
        <is>
          <t>Workflow Automation</t>
        </is>
      </c>
      <c r="H477" t="inlineStr">
        <is>
          <t>Bug</t>
        </is>
      </c>
      <c r="I477" t="inlineStr">
        <is>
          <t>Sharing this from our team. Since the last release we've had workflow failures and tasks are being created twice. We estimate we lose roughly 34 hours a month on this.</t>
        </is>
      </c>
      <c r="J477" t="inlineStr">
        <is>
          <t>Neutral</t>
        </is>
      </c>
      <c r="K477" t="inlineStr">
        <is>
          <t>Medium</t>
        </is>
      </c>
      <c r="L477" t="inlineStr">
        <is>
          <t>Workflow Slowdown</t>
        </is>
      </c>
      <c r="M477" t="inlineStr">
        <is>
          <t>wf_fail</t>
        </is>
      </c>
      <c r="N477" t="inlineStr">
        <is>
          <t>Workflows failing silently</t>
        </is>
      </c>
      <c r="O477" t="inlineStr">
        <is>
          <t>2026-02</t>
        </is>
      </c>
    </row>
    <row r="478">
      <c r="A478" t="inlineStr">
        <is>
          <t>FB-00477</t>
        </is>
      </c>
      <c r="B478" t="inlineStr">
        <is>
          <t>CUST-0394</t>
        </is>
      </c>
      <c r="C478" s="11" t="n">
        <v>46067</v>
      </c>
      <c r="D478" t="inlineStr">
        <is>
          <t>Support Ticket</t>
        </is>
      </c>
      <c r="E478" t="inlineStr">
        <is>
          <t>Enterprise</t>
        </is>
      </c>
      <c r="F478" t="inlineStr">
        <is>
          <t>Enterprise</t>
        </is>
      </c>
      <c r="G478" t="inlineStr">
        <is>
          <t>Reporting</t>
        </is>
      </c>
      <c r="H478" t="inlineStr">
        <is>
          <t>Bug</t>
        </is>
      </c>
      <c r="I478" t="inlineStr">
        <is>
          <t>FYI for the product team. The CSV export of reports cuts off rows after a few thousand records. We estimate we lose roughly 34 hours a month on this.</t>
        </is>
      </c>
      <c r="J478" t="inlineStr">
        <is>
          <t>Neutral</t>
        </is>
      </c>
      <c r="K478" t="inlineStr">
        <is>
          <t>Medium</t>
        </is>
      </c>
      <c r="L478" t="inlineStr">
        <is>
          <t>Workflow Slowdown</t>
        </is>
      </c>
      <c r="M478" t="inlineStr">
        <is>
          <t>rep_export</t>
        </is>
      </c>
      <c r="N478" t="inlineStr">
        <is>
          <t>Broken report exports</t>
        </is>
      </c>
      <c r="O478" t="inlineStr">
        <is>
          <t>2026-02</t>
        </is>
      </c>
    </row>
    <row r="479">
      <c r="A479" t="inlineStr">
        <is>
          <t>FB-00478</t>
        </is>
      </c>
      <c r="B479" t="inlineStr">
        <is>
          <t>CUST-0187</t>
        </is>
      </c>
      <c r="C479" s="11" t="n">
        <v>46067</v>
      </c>
      <c r="D479" t="inlineStr">
        <is>
          <t>Support Ticket</t>
        </is>
      </c>
      <c r="E479" t="inlineStr">
        <is>
          <t>Enterprise</t>
        </is>
      </c>
      <c r="F479" t="inlineStr">
        <is>
          <t>Mid-Market</t>
        </is>
      </c>
      <c r="G479" t="inlineStr">
        <is>
          <t>Reporting</t>
        </is>
      </c>
      <c r="H479" t="inlineStr">
        <is>
          <t>Performance Issue</t>
        </is>
      </c>
      <c r="I479" t="inlineStr">
        <is>
          <t>Escalating on behalf of our ops lead. Our dashboard refresh spins for a minute before showing any chart. Our finance analyst flagged it while onboarding 19 new users. We need a fix before renewal.</t>
        </is>
      </c>
      <c r="J479" t="inlineStr">
        <is>
          <t>Negative</t>
        </is>
      </c>
      <c r="K479" t="inlineStr">
        <is>
          <t>Medium</t>
        </is>
      </c>
      <c r="L479" t="inlineStr">
        <is>
          <t>Blocks Key Task</t>
        </is>
      </c>
      <c r="M479" t="inlineStr">
        <is>
          <t>rep_slow</t>
        </is>
      </c>
      <c r="N479" t="inlineStr">
        <is>
          <t>Slow dashboards</t>
        </is>
      </c>
      <c r="O479" t="inlineStr">
        <is>
          <t>2026-02</t>
        </is>
      </c>
    </row>
    <row r="480">
      <c r="A480" t="inlineStr">
        <is>
          <t>FB-00479</t>
        </is>
      </c>
      <c r="B480" t="inlineStr">
        <is>
          <t>CUST-0293</t>
        </is>
      </c>
      <c r="C480" s="11" t="n">
        <v>46067</v>
      </c>
      <c r="D480" t="inlineStr">
        <is>
          <t>Customer Survey</t>
        </is>
      </c>
      <c r="E480" t="inlineStr">
        <is>
          <t>Enterprise</t>
        </is>
      </c>
      <c r="F480" t="inlineStr">
        <is>
          <t>Enterprise</t>
        </is>
      </c>
      <c r="G480" t="inlineStr">
        <is>
          <t>Workflow Automation</t>
        </is>
      </c>
      <c r="H480" t="inlineStr">
        <is>
          <t>Feature Request</t>
        </is>
      </c>
      <c r="I480" t="inlineStr">
        <is>
          <t>Feedback from our monthly review. We'd adopt automation faster with workflow templates we could customize. So far 76 people on our side have reported it. Let us know if you need examples.</t>
        </is>
      </c>
      <c r="J480" t="inlineStr">
        <is>
          <t>Neutral</t>
        </is>
      </c>
      <c r="K480" t="inlineStr">
        <is>
          <t>Low</t>
        </is>
      </c>
      <c r="L480" t="inlineStr">
        <is>
          <t>Minor Inconvenience</t>
        </is>
      </c>
      <c r="M480" t="inlineStr">
        <is>
          <t>wf_templates</t>
        </is>
      </c>
      <c r="N480" t="inlineStr">
        <is>
          <t>Workflow templates</t>
        </is>
      </c>
      <c r="O480" t="inlineStr">
        <is>
          <t>2026-02</t>
        </is>
      </c>
    </row>
    <row r="481">
      <c r="A481" t="inlineStr">
        <is>
          <t>FB-00480</t>
        </is>
      </c>
      <c r="B481" t="inlineStr">
        <is>
          <t>CUST-0334</t>
        </is>
      </c>
      <c r="C481" s="11" t="n">
        <v>46067</v>
      </c>
      <c r="D481" t="inlineStr">
        <is>
          <t>Support Ticket</t>
        </is>
      </c>
      <c r="E481" t="inlineStr">
        <is>
          <t>Enterprise</t>
        </is>
      </c>
      <c r="F481" t="inlineStr">
        <is>
          <t>SMB</t>
        </is>
      </c>
      <c r="G481" t="inlineStr">
        <is>
          <t>User Interface</t>
        </is>
      </c>
      <c r="H481" t="inlineStr">
        <is>
          <t>Performance Issue</t>
        </is>
      </c>
      <c r="I481" t="inlineStr">
        <is>
          <t>The UI freezing gets worse in the afternoon. It happens about 13 times a week for our team of 96. Thanks to the team.</t>
        </is>
      </c>
      <c r="J481" t="inlineStr">
        <is>
          <t>Positive</t>
        </is>
      </c>
      <c r="K481" t="inlineStr">
        <is>
          <t>Medium</t>
        </is>
      </c>
      <c r="L481" t="inlineStr">
        <is>
          <t>Workflow Slowdown</t>
        </is>
      </c>
      <c r="M481" t="inlineStr">
        <is>
          <t>ui_perf</t>
        </is>
      </c>
      <c r="N481" t="inlineStr">
        <is>
          <t>Laggy pages</t>
        </is>
      </c>
      <c r="O481" t="inlineStr">
        <is>
          <t>2026-02</t>
        </is>
      </c>
    </row>
    <row r="482">
      <c r="A482" t="inlineStr">
        <is>
          <t>FB-00481</t>
        </is>
      </c>
      <c r="B482" t="inlineStr">
        <is>
          <t>CUST-0075</t>
        </is>
      </c>
      <c r="C482" s="11" t="n">
        <v>46068</v>
      </c>
      <c r="D482" t="inlineStr">
        <is>
          <t>Support Ticket</t>
        </is>
      </c>
      <c r="E482" t="inlineStr">
        <is>
          <t>Professional</t>
        </is>
      </c>
      <c r="F482" t="inlineStr">
        <is>
          <t>Enterprise</t>
        </is>
      </c>
      <c r="G482" t="inlineStr">
        <is>
          <t>Lead Management</t>
        </is>
      </c>
      <c r="H482" t="inlineStr">
        <is>
          <t>Bug</t>
        </is>
      </c>
      <c r="I482" t="inlineStr">
        <is>
          <t>This has been a recurring problem for us. There are duplicate lead records across our pipeline views and nobody knows which record is the source of truth. It happens about 7 times a week for our team of 10. Support suggested logging it here.</t>
        </is>
      </c>
      <c r="J482" t="inlineStr">
        <is>
          <t>Negative</t>
        </is>
      </c>
      <c r="K482" t="inlineStr">
        <is>
          <t>High</t>
        </is>
      </c>
      <c r="L482" t="inlineStr">
        <is>
          <t>Blocks Key Task</t>
        </is>
      </c>
      <c r="M482" t="inlineStr">
        <is>
          <t>lead_dup</t>
        </is>
      </c>
      <c r="N482" t="inlineStr">
        <is>
          <t>Duplicate leads created</t>
        </is>
      </c>
      <c r="O482" t="inlineStr">
        <is>
          <t>2026-02</t>
        </is>
      </c>
    </row>
    <row r="483">
      <c r="A483" t="inlineStr">
        <is>
          <t>FB-00482</t>
        </is>
      </c>
      <c r="B483" t="inlineStr">
        <is>
          <t>CUST-0054</t>
        </is>
      </c>
      <c r="C483" s="11" t="n">
        <v>46068</v>
      </c>
      <c r="D483" t="inlineStr">
        <is>
          <t>Support Ticket</t>
        </is>
      </c>
      <c r="E483" t="inlineStr">
        <is>
          <t>Enterprise</t>
        </is>
      </c>
      <c r="F483" t="inlineStr">
        <is>
          <t>Enterprise</t>
        </is>
      </c>
      <c r="G483" t="inlineStr">
        <is>
          <t>Workflow Automation</t>
        </is>
      </c>
      <c r="H483" t="inlineStr">
        <is>
          <t>Bug</t>
        </is>
      </c>
      <c r="I483" t="inlineStr">
        <is>
          <t>Not what we expected for the price. We are hitting workflow failures: emails don't send and nobody gets notified. Support suggested logging it here.</t>
        </is>
      </c>
      <c r="J483" t="inlineStr">
        <is>
          <t>Negative</t>
        </is>
      </c>
      <c r="K483" t="inlineStr">
        <is>
          <t>High</t>
        </is>
      </c>
      <c r="L483" t="inlineStr">
        <is>
          <t>Minor Inconvenience</t>
        </is>
      </c>
      <c r="M483" t="inlineStr">
        <is>
          <t>wf_fail</t>
        </is>
      </c>
      <c r="N483" t="inlineStr">
        <is>
          <t>Workflows failing silently</t>
        </is>
      </c>
      <c r="O483" t="inlineStr">
        <is>
          <t>2026-02</t>
        </is>
      </c>
    </row>
    <row r="484">
      <c r="A484" t="inlineStr">
        <is>
          <t>FB-00483</t>
        </is>
      </c>
      <c r="B484" t="inlineStr">
        <is>
          <t>CUST-0405</t>
        </is>
      </c>
      <c r="C484" s="11" t="n">
        <v>46068</v>
      </c>
      <c r="D484" t="inlineStr">
        <is>
          <t>In-App Feedback</t>
        </is>
      </c>
      <c r="E484" t="inlineStr">
        <is>
          <t>Starter</t>
        </is>
      </c>
      <c r="F484" t="inlineStr">
        <is>
          <t>SMB</t>
        </is>
      </c>
      <c r="G484" t="inlineStr">
        <is>
          <t>User Interface</t>
        </is>
      </c>
      <c r="H484" t="inlineStr">
        <is>
          <t>Usability Issue</t>
        </is>
      </c>
      <c r="I484" t="inlineStr">
        <is>
          <t>New hires get lost in the settings navigation; it takes weeks to learn. Happy to join a feedback call.</t>
        </is>
      </c>
      <c r="J484" t="inlineStr">
        <is>
          <t>Neutral</t>
        </is>
      </c>
      <c r="K484" t="inlineStr">
        <is>
          <t>Medium</t>
        </is>
      </c>
      <c r="L484" t="inlineStr">
        <is>
          <t>Blocks Key Task</t>
        </is>
      </c>
      <c r="M484" t="inlineStr">
        <is>
          <t>ui_nav</t>
        </is>
      </c>
      <c r="N484" t="inlineStr">
        <is>
          <t>Cluttered navigation</t>
        </is>
      </c>
      <c r="O484" t="inlineStr">
        <is>
          <t>2026-02</t>
        </is>
      </c>
    </row>
    <row r="485">
      <c r="A485" t="inlineStr">
        <is>
          <t>FB-00484</t>
        </is>
      </c>
      <c r="B485" t="inlineStr">
        <is>
          <t>CUST-0171</t>
        </is>
      </c>
      <c r="C485" s="11" t="n">
        <v>46068</v>
      </c>
      <c r="D485" t="inlineStr">
        <is>
          <t>Feature Request</t>
        </is>
      </c>
      <c r="E485" t="inlineStr">
        <is>
          <t>Professional</t>
        </is>
      </c>
      <c r="F485" t="inlineStr">
        <is>
          <t>Mid-Market</t>
        </is>
      </c>
      <c r="G485" t="inlineStr">
        <is>
          <t>Contact Management</t>
        </is>
      </c>
      <c r="H485" t="inlineStr">
        <is>
          <t>Feature Request</t>
        </is>
      </c>
      <c r="I485" t="inlineStr">
        <is>
          <t>Please build a tool to merge duplicate contacts with a preview of what will be combined. Let us know if you need examples.</t>
        </is>
      </c>
      <c r="J485" t="inlineStr">
        <is>
          <t>Neutral</t>
        </is>
      </c>
      <c r="K485" t="inlineStr">
        <is>
          <t>Medium</t>
        </is>
      </c>
      <c r="L485" t="inlineStr">
        <is>
          <t>Blocks Key Task</t>
        </is>
      </c>
      <c r="M485" t="inlineStr">
        <is>
          <t>contact_dedupe</t>
        </is>
      </c>
      <c r="N485" t="inlineStr">
        <is>
          <t>Bulk contact merge</t>
        </is>
      </c>
      <c r="O485" t="inlineStr">
        <is>
          <t>2026-02</t>
        </is>
      </c>
    </row>
    <row r="486">
      <c r="A486" t="inlineStr">
        <is>
          <t>FB-00485</t>
        </is>
      </c>
      <c r="B486" t="inlineStr">
        <is>
          <t>CUST-0205</t>
        </is>
      </c>
      <c r="C486" s="11" t="n">
        <v>46069</v>
      </c>
      <c r="D486" t="inlineStr">
        <is>
          <t>Feature Request</t>
        </is>
      </c>
      <c r="E486" t="inlineStr">
        <is>
          <t>Enterprise</t>
        </is>
      </c>
      <c r="F486" t="inlineStr">
        <is>
          <t>Enterprise</t>
        </is>
      </c>
      <c r="G486" t="inlineStr">
        <is>
          <t>Workflow Automation</t>
        </is>
      </c>
      <c r="H486" t="inlineStr">
        <is>
          <t>Feature Request</t>
        </is>
      </c>
      <c r="I486" t="inlineStr">
        <is>
          <t>Not what we expected for the price. Requesting multi-level approvals; today approvals happen over chat. Support suggested logging it here.</t>
        </is>
      </c>
      <c r="J486" t="inlineStr">
        <is>
          <t>Negative</t>
        </is>
      </c>
      <c r="K486" t="inlineStr">
        <is>
          <t>Low</t>
        </is>
      </c>
      <c r="L486" t="inlineStr">
        <is>
          <t>Blocks Key Task</t>
        </is>
      </c>
      <c r="M486" t="inlineStr">
        <is>
          <t>wf_approval</t>
        </is>
      </c>
      <c r="N486" t="inlineStr">
        <is>
          <t>Approval steps in workflows</t>
        </is>
      </c>
      <c r="O486" t="inlineStr">
        <is>
          <t>2026-02</t>
        </is>
      </c>
    </row>
    <row r="487">
      <c r="A487" t="inlineStr">
        <is>
          <t>FB-00486</t>
        </is>
      </c>
      <c r="B487" t="inlineStr">
        <is>
          <t>CUST-0322</t>
        </is>
      </c>
      <c r="C487" s="11" t="n">
        <v>46069</v>
      </c>
      <c r="D487" t="inlineStr">
        <is>
          <t>In-App Feedback</t>
        </is>
      </c>
      <c r="E487" t="inlineStr">
        <is>
          <t>Starter</t>
        </is>
      </c>
      <c r="F487" t="inlineStr">
        <is>
          <t>SMB</t>
        </is>
      </c>
      <c r="G487" t="inlineStr">
        <is>
          <t>Workflow Automation</t>
        </is>
      </c>
      <c r="H487" t="inlineStr">
        <is>
          <t>Usability Issue</t>
        </is>
      </c>
      <c r="I487" t="inlineStr">
        <is>
          <t>Raising this again after our last business review. The workflow builder is hard to follow once a flow has more than a handful of steps. Our sales manager flagged it while onboarding 85 new users.</t>
        </is>
      </c>
      <c r="J487" t="inlineStr">
        <is>
          <t>Negative</t>
        </is>
      </c>
      <c r="K487" t="inlineStr">
        <is>
          <t>High</t>
        </is>
      </c>
      <c r="L487" t="inlineStr">
        <is>
          <t>Workflow Slowdown</t>
        </is>
      </c>
      <c r="M487" t="inlineStr">
        <is>
          <t>wf_builder</t>
        </is>
      </c>
      <c r="N487" t="inlineStr">
        <is>
          <t>Confusing workflow builder</t>
        </is>
      </c>
      <c r="O487" t="inlineStr">
        <is>
          <t>2026-02</t>
        </is>
      </c>
    </row>
    <row r="488">
      <c r="A488" t="inlineStr">
        <is>
          <t>FB-00487</t>
        </is>
      </c>
      <c r="B488" t="inlineStr">
        <is>
          <t>CUST-0203</t>
        </is>
      </c>
      <c r="C488" s="11" t="n">
        <v>46070</v>
      </c>
      <c r="D488" t="inlineStr">
        <is>
          <t>Feature Request</t>
        </is>
      </c>
      <c r="E488" t="inlineStr">
        <is>
          <t>Professional</t>
        </is>
      </c>
      <c r="F488" t="inlineStr">
        <is>
          <t>Mid-Market</t>
        </is>
      </c>
      <c r="G488" t="inlineStr">
        <is>
          <t>Integrations</t>
        </is>
      </c>
      <c r="H488" t="inlineStr">
        <is>
          <t>Feature Request</t>
        </is>
      </c>
      <c r="I488" t="inlineStr">
        <is>
          <t>Quick note from our admin. Lack of a marketing automation connector is a gap versus other CRMs we evaluated. It affects our quarterly planning process every cycle. Happy to join a feedback call.</t>
        </is>
      </c>
      <c r="J488" t="inlineStr">
        <is>
          <t>Neutral</t>
        </is>
      </c>
      <c r="K488" t="inlineStr">
        <is>
          <t>Low</t>
        </is>
      </c>
      <c r="L488" t="inlineStr">
        <is>
          <t>Minor Inconvenience</t>
        </is>
      </c>
      <c r="M488" t="inlineStr">
        <is>
          <t>int_native</t>
        </is>
      </c>
      <c r="N488" t="inlineStr">
        <is>
          <t>Native integrations</t>
        </is>
      </c>
      <c r="O488" t="inlineStr">
        <is>
          <t>2026-02</t>
        </is>
      </c>
    </row>
    <row r="489">
      <c r="A489" t="inlineStr">
        <is>
          <t>FB-00488</t>
        </is>
      </c>
      <c r="B489" t="inlineStr">
        <is>
          <t>CUST-0250</t>
        </is>
      </c>
      <c r="C489" s="11" t="n">
        <v>46070</v>
      </c>
      <c r="D489" t="inlineStr">
        <is>
          <t>Support Ticket</t>
        </is>
      </c>
      <c r="E489" t="inlineStr">
        <is>
          <t>Professional</t>
        </is>
      </c>
      <c r="F489" t="inlineStr">
        <is>
          <t>Mid-Market</t>
        </is>
      </c>
      <c r="G489" t="inlineStr">
        <is>
          <t>User Interface</t>
        </is>
      </c>
      <c r="H489" t="inlineStr">
        <is>
          <t>Feature Request</t>
        </is>
      </c>
      <c r="I489" t="inlineStr">
        <is>
          <t>We lose notes whenever reps are away from a desk without a mobile app.</t>
        </is>
      </c>
      <c r="J489" t="inlineStr">
        <is>
          <t>Neutral</t>
        </is>
      </c>
      <c r="K489" t="inlineStr">
        <is>
          <t>Low</t>
        </is>
      </c>
      <c r="L489" t="inlineStr">
        <is>
          <t>Workflow Slowdown</t>
        </is>
      </c>
      <c r="M489" t="inlineStr">
        <is>
          <t>ui_mobile</t>
        </is>
      </c>
      <c r="N489" t="inlineStr">
        <is>
          <t>Mobile app</t>
        </is>
      </c>
      <c r="O489" t="inlineStr">
        <is>
          <t>2026-02</t>
        </is>
      </c>
    </row>
    <row r="490">
      <c r="A490" t="inlineStr">
        <is>
          <t>FB-00489</t>
        </is>
      </c>
      <c r="B490" t="inlineStr">
        <is>
          <t>CUST-0291</t>
        </is>
      </c>
      <c r="C490" s="11" t="n">
        <v>46070</v>
      </c>
      <c r="D490" t="inlineStr">
        <is>
          <t>Feature Request</t>
        </is>
      </c>
      <c r="E490" t="inlineStr">
        <is>
          <t>Starter</t>
        </is>
      </c>
      <c r="F490" t="inlineStr">
        <is>
          <t>SMB</t>
        </is>
      </c>
      <c r="G490" t="inlineStr">
        <is>
          <t>Workflow Automation</t>
        </is>
      </c>
      <c r="H490" t="inlineStr">
        <is>
          <t>Feature Request</t>
        </is>
      </c>
      <c r="I490" t="inlineStr">
        <is>
          <t>Happy with most of the product. Please provide prebuilt automations for common processes like onboarding and renewals. Our RevOps lead flagged it while onboarding 62 new users. Thanks to the team.</t>
        </is>
      </c>
      <c r="J490" t="inlineStr">
        <is>
          <t>Positive</t>
        </is>
      </c>
      <c r="K490" t="inlineStr">
        <is>
          <t>Low</t>
        </is>
      </c>
      <c r="L490" t="inlineStr">
        <is>
          <t>Minor Inconvenience</t>
        </is>
      </c>
      <c r="M490" t="inlineStr">
        <is>
          <t>wf_templates</t>
        </is>
      </c>
      <c r="N490" t="inlineStr">
        <is>
          <t>Workflow templates</t>
        </is>
      </c>
      <c r="O490" t="inlineStr">
        <is>
          <t>2026-02</t>
        </is>
      </c>
    </row>
    <row r="491">
      <c r="A491" t="inlineStr">
        <is>
          <t>FB-00490</t>
        </is>
      </c>
      <c r="B491" t="inlineStr">
        <is>
          <t>CUST-0269</t>
        </is>
      </c>
      <c r="C491" s="11" t="n">
        <v>46070</v>
      </c>
      <c r="D491" t="inlineStr">
        <is>
          <t>Support Ticket</t>
        </is>
      </c>
      <c r="E491" t="inlineStr">
        <is>
          <t>Professional</t>
        </is>
      </c>
      <c r="F491" t="inlineStr">
        <is>
          <t>SMB</t>
        </is>
      </c>
      <c r="G491" t="inlineStr">
        <is>
          <t>Workflow Automation</t>
        </is>
      </c>
      <c r="H491" t="inlineStr">
        <is>
          <t>Usability Issue</t>
        </is>
      </c>
      <c r="I491" t="inlineStr">
        <is>
          <t>Frustrated with this one. The workflow editor doesn't let us copy steps between flows. Support suggested logging it here.</t>
        </is>
      </c>
      <c r="J491" t="inlineStr">
        <is>
          <t>Negative</t>
        </is>
      </c>
      <c r="K491" t="inlineStr">
        <is>
          <t>Low</t>
        </is>
      </c>
      <c r="L491" t="inlineStr">
        <is>
          <t>Workflow Slowdown</t>
        </is>
      </c>
      <c r="M491" t="inlineStr">
        <is>
          <t>wf_builder</t>
        </is>
      </c>
      <c r="N491" t="inlineStr">
        <is>
          <t>Confusing workflow builder</t>
        </is>
      </c>
      <c r="O491" t="inlineStr">
        <is>
          <t>2026-02</t>
        </is>
      </c>
    </row>
    <row r="492">
      <c r="A492" t="inlineStr">
        <is>
          <t>FB-00491</t>
        </is>
      </c>
      <c r="B492" t="inlineStr">
        <is>
          <t>CUST-0204</t>
        </is>
      </c>
      <c r="C492" s="11" t="n">
        <v>46070</v>
      </c>
      <c r="D492" t="inlineStr">
        <is>
          <t>In-App Feedback</t>
        </is>
      </c>
      <c r="E492" t="inlineStr">
        <is>
          <t>Enterprise</t>
        </is>
      </c>
      <c r="F492" t="inlineStr">
        <is>
          <t>Enterprise</t>
        </is>
      </c>
      <c r="G492" t="inlineStr">
        <is>
          <t>Reporting</t>
        </is>
      </c>
      <c r="H492" t="inlineStr">
        <is>
          <t>Performance Issue</t>
        </is>
      </c>
      <c r="I492" t="inlineStr">
        <is>
          <t>Not what we expected for the price. Dashboard refresh got noticeably worse over the last few months. It happens about 3 times a week for our team of 106.</t>
        </is>
      </c>
      <c r="J492" t="inlineStr">
        <is>
          <t>Negative</t>
        </is>
      </c>
      <c r="K492" t="inlineStr">
        <is>
          <t>High</t>
        </is>
      </c>
      <c r="L492" t="inlineStr">
        <is>
          <t>Blocks Key Task</t>
        </is>
      </c>
      <c r="M492" t="inlineStr">
        <is>
          <t>rep_slow</t>
        </is>
      </c>
      <c r="N492" t="inlineStr">
        <is>
          <t>Slow dashboards</t>
        </is>
      </c>
      <c r="O492" t="inlineStr">
        <is>
          <t>2026-02</t>
        </is>
      </c>
    </row>
    <row r="493">
      <c r="A493" t="inlineStr">
        <is>
          <t>FB-00492</t>
        </is>
      </c>
      <c r="B493" t="inlineStr">
        <is>
          <t>CUST-0129</t>
        </is>
      </c>
      <c r="C493" s="11" t="n">
        <v>46070</v>
      </c>
      <c r="D493" t="inlineStr">
        <is>
          <t>Customer Survey</t>
        </is>
      </c>
      <c r="E493" t="inlineStr">
        <is>
          <t>Professional</t>
        </is>
      </c>
      <c r="F493" t="inlineStr">
        <is>
          <t>Enterprise</t>
        </is>
      </c>
      <c r="G493" t="inlineStr">
        <is>
          <t>Integrations</t>
        </is>
      </c>
      <c r="H493" t="inlineStr">
        <is>
          <t>Integration Issue</t>
        </is>
      </c>
      <c r="I493" t="inlineStr">
        <is>
          <t>We keep hitting API timeouts during nightly syncs with our data warehouse. It happens about 36 times a week for our team of 36. Is there a workaround?</t>
        </is>
      </c>
      <c r="J493" t="inlineStr">
        <is>
          <t>Negative</t>
        </is>
      </c>
      <c r="K493" t="inlineStr">
        <is>
          <t>High</t>
        </is>
      </c>
      <c r="L493" t="inlineStr">
        <is>
          <t>Blocks Key Task</t>
        </is>
      </c>
      <c r="M493" t="inlineStr">
        <is>
          <t>int_api</t>
        </is>
      </c>
      <c r="N493" t="inlineStr">
        <is>
          <t>API limits and webhook failures</t>
        </is>
      </c>
      <c r="O493" t="inlineStr">
        <is>
          <t>2026-02</t>
        </is>
      </c>
    </row>
    <row r="494">
      <c r="A494" t="inlineStr">
        <is>
          <t>FB-00493</t>
        </is>
      </c>
      <c r="B494" t="inlineStr">
        <is>
          <t>CUST-0322</t>
        </is>
      </c>
      <c r="C494" s="11" t="n">
        <v>46070</v>
      </c>
      <c r="D494" t="inlineStr">
        <is>
          <t>Support Ticket</t>
        </is>
      </c>
      <c r="E494" t="inlineStr">
        <is>
          <t>Starter</t>
        </is>
      </c>
      <c r="F494" t="inlineStr">
        <is>
          <t>SMB</t>
        </is>
      </c>
      <c r="G494" t="inlineStr">
        <is>
          <t>Lead Management</t>
        </is>
      </c>
      <c r="H494" t="inlineStr">
        <is>
          <t>Bug</t>
        </is>
      </c>
      <c r="I494" t="inlineStr">
        <is>
          <t>We are seeing duplicate lead records when a lead arrives from both the website and a trade-show list. So far 42 people on our side have reported it. Support suggested logging it here.</t>
        </is>
      </c>
      <c r="J494" t="inlineStr">
        <is>
          <t>Negative</t>
        </is>
      </c>
      <c r="K494" t="inlineStr">
        <is>
          <t>High</t>
        </is>
      </c>
      <c r="L494" t="inlineStr">
        <is>
          <t>Blocks Key Task</t>
        </is>
      </c>
      <c r="M494" t="inlineStr">
        <is>
          <t>lead_dup</t>
        </is>
      </c>
      <c r="N494" t="inlineStr">
        <is>
          <t>Duplicate leads created</t>
        </is>
      </c>
      <c r="O494" t="inlineStr">
        <is>
          <t>2026-02</t>
        </is>
      </c>
    </row>
    <row r="495">
      <c r="A495" t="inlineStr">
        <is>
          <t>FB-00494</t>
        </is>
      </c>
      <c r="B495" t="inlineStr">
        <is>
          <t>CUST-0157</t>
        </is>
      </c>
      <c r="C495" s="11" t="n">
        <v>46071</v>
      </c>
      <c r="D495" t="inlineStr">
        <is>
          <t>Feature Request</t>
        </is>
      </c>
      <c r="E495" t="inlineStr">
        <is>
          <t>Starter</t>
        </is>
      </c>
      <c r="F495" t="inlineStr">
        <is>
          <t>SMB</t>
        </is>
      </c>
      <c r="G495" t="inlineStr">
        <is>
          <t>User Interface</t>
        </is>
      </c>
      <c r="H495" t="inlineStr">
        <is>
          <t>Feature Request</t>
        </is>
      </c>
      <c r="I495" t="inlineStr">
        <is>
          <t>Our team keeps running into this. Please prioritize a mobile app; the mobile web view is hard to use. It affects our renewal process every cycle.</t>
        </is>
      </c>
      <c r="J495" t="inlineStr">
        <is>
          <t>Negative</t>
        </is>
      </c>
      <c r="K495" t="inlineStr">
        <is>
          <t>High</t>
        </is>
      </c>
      <c r="L495" t="inlineStr">
        <is>
          <t>Revenue/Operations Risk</t>
        </is>
      </c>
      <c r="M495" t="inlineStr">
        <is>
          <t>ui_mobile</t>
        </is>
      </c>
      <c r="N495" t="inlineStr">
        <is>
          <t>Mobile app</t>
        </is>
      </c>
      <c r="O495" t="inlineStr">
        <is>
          <t>2026-02</t>
        </is>
      </c>
    </row>
    <row r="496">
      <c r="A496" t="inlineStr">
        <is>
          <t>FB-00495</t>
        </is>
      </c>
      <c r="B496" t="inlineStr">
        <is>
          <t>CUST-0293</t>
        </is>
      </c>
      <c r="C496" s="11" t="n">
        <v>46071</v>
      </c>
      <c r="D496" t="inlineStr">
        <is>
          <t>Feature Request</t>
        </is>
      </c>
      <c r="E496" t="inlineStr">
        <is>
          <t>Enterprise</t>
        </is>
      </c>
      <c r="F496" t="inlineStr">
        <is>
          <t>Enterprise</t>
        </is>
      </c>
      <c r="G496" t="inlineStr">
        <is>
          <t>Workflow Automation</t>
        </is>
      </c>
      <c r="H496" t="inlineStr">
        <is>
          <t>Bug</t>
        </is>
      </c>
      <c r="I496" t="inlineStr">
        <is>
          <t>Our team keeps running into this. We found automation misfires only because a customer complained. Please look into it soon.</t>
        </is>
      </c>
      <c r="J496" t="inlineStr">
        <is>
          <t>Negative</t>
        </is>
      </c>
      <c r="K496" t="inlineStr">
        <is>
          <t>High</t>
        </is>
      </c>
      <c r="L496" t="inlineStr">
        <is>
          <t>Blocks Key Task</t>
        </is>
      </c>
      <c r="M496" t="inlineStr">
        <is>
          <t>wf_fail</t>
        </is>
      </c>
      <c r="N496" t="inlineStr">
        <is>
          <t>Workflows failing silently</t>
        </is>
      </c>
      <c r="O496" t="inlineStr">
        <is>
          <t>2026-02</t>
        </is>
      </c>
    </row>
    <row r="497">
      <c r="A497" t="inlineStr">
        <is>
          <t>FB-00496</t>
        </is>
      </c>
      <c r="B497" t="inlineStr">
        <is>
          <t>CUST-0204</t>
        </is>
      </c>
      <c r="C497" s="11" t="n">
        <v>46071</v>
      </c>
      <c r="D497" t="inlineStr">
        <is>
          <t>Customer Survey</t>
        </is>
      </c>
      <c r="E497" t="inlineStr">
        <is>
          <t>Enterprise</t>
        </is>
      </c>
      <c r="F497" t="inlineStr">
        <is>
          <t>Enterprise</t>
        </is>
      </c>
      <c r="G497" t="inlineStr">
        <is>
          <t>Lead Management</t>
        </is>
      </c>
      <c r="H497" t="inlineStr">
        <is>
          <t>Usability Issue</t>
        </is>
      </c>
      <c r="I497" t="inlineStr">
        <is>
          <t>Not what we expected for the price. It is hard to understand how lead assignment settings decide who owns a lead. We estimate we lose roughly 23 hours a month on this. Please look into it soon.</t>
        </is>
      </c>
      <c r="J497" t="inlineStr">
        <is>
          <t>Negative</t>
        </is>
      </c>
      <c r="K497" t="inlineStr">
        <is>
          <t>Medium</t>
        </is>
      </c>
      <c r="L497" t="inlineStr">
        <is>
          <t>Blocks Key Task</t>
        </is>
      </c>
      <c r="M497" t="inlineStr">
        <is>
          <t>lead_assign</t>
        </is>
      </c>
      <c r="N497" t="inlineStr">
        <is>
          <t>Lead routing is inflexible</t>
        </is>
      </c>
      <c r="O497" t="inlineStr">
        <is>
          <t>2026-02</t>
        </is>
      </c>
    </row>
    <row r="498">
      <c r="A498" t="inlineStr">
        <is>
          <t>FB-00497</t>
        </is>
      </c>
      <c r="B498" t="inlineStr">
        <is>
          <t>CUST-0284</t>
        </is>
      </c>
      <c r="C498" s="11" t="n">
        <v>46071</v>
      </c>
      <c r="D498" t="inlineStr">
        <is>
          <t>In-App Feedback</t>
        </is>
      </c>
      <c r="E498" t="inlineStr">
        <is>
          <t>Enterprise</t>
        </is>
      </c>
      <c r="F498" t="inlineStr">
        <is>
          <t>Enterprise</t>
        </is>
      </c>
      <c r="G498" t="inlineStr">
        <is>
          <t>Reporting</t>
        </is>
      </c>
      <c r="H498" t="inlineStr">
        <is>
          <t>Feature Request</t>
        </is>
      </c>
      <c r="I498" t="inlineStr">
        <is>
          <t>Noting this during onboarding. Please add scheduled report emails; today an analyst rebuilds the same report every week. It happens about 31 times a week for our team of 21.</t>
        </is>
      </c>
      <c r="J498" t="inlineStr">
        <is>
          <t>Neutral</t>
        </is>
      </c>
      <c r="K498" t="inlineStr">
        <is>
          <t>Low</t>
        </is>
      </c>
      <c r="L498" t="inlineStr">
        <is>
          <t>Workflow Slowdown</t>
        </is>
      </c>
      <c r="M498" t="inlineStr">
        <is>
          <t>rep_custom</t>
        </is>
      </c>
      <c r="N498" t="inlineStr">
        <is>
          <t>Custom and scheduled reports</t>
        </is>
      </c>
      <c r="O498" t="inlineStr">
        <is>
          <t>2026-02</t>
        </is>
      </c>
    </row>
    <row r="499">
      <c r="A499" t="inlineStr">
        <is>
          <t>FB-00498</t>
        </is>
      </c>
      <c r="B499" t="inlineStr">
        <is>
          <t>CUST-0408</t>
        </is>
      </c>
      <c r="C499" s="11" t="n">
        <v>46072</v>
      </c>
      <c r="D499" t="inlineStr">
        <is>
          <t>In-App Feedback</t>
        </is>
      </c>
      <c r="E499" t="inlineStr">
        <is>
          <t>Starter</t>
        </is>
      </c>
      <c r="F499" t="inlineStr">
        <is>
          <t>SMB</t>
        </is>
      </c>
      <c r="G499" t="inlineStr">
        <is>
          <t>Contact Management</t>
        </is>
      </c>
      <c r="H499" t="inlineStr">
        <is>
          <t>Performance Issue</t>
        </is>
      </c>
      <c r="I499" t="inlineStr">
        <is>
          <t>Quick note from our admin. We avoid saved contact filters during calls because it takes too long. Let us know if you need examples.</t>
        </is>
      </c>
      <c r="J499" t="inlineStr">
        <is>
          <t>Neutral</t>
        </is>
      </c>
      <c r="K499" t="inlineStr">
        <is>
          <t>Medium</t>
        </is>
      </c>
      <c r="L499" t="inlineStr">
        <is>
          <t>Blocks Key Task</t>
        </is>
      </c>
      <c r="M499" t="inlineStr">
        <is>
          <t>contact_search</t>
        </is>
      </c>
      <c r="N499" t="inlineStr">
        <is>
          <t>Slow contact search</t>
        </is>
      </c>
      <c r="O499" t="inlineStr">
        <is>
          <t>2026-02</t>
        </is>
      </c>
    </row>
    <row r="500">
      <c r="A500" t="inlineStr">
        <is>
          <t>FB-00499</t>
        </is>
      </c>
      <c r="B500" t="inlineStr">
        <is>
          <t>CUST-0165</t>
        </is>
      </c>
      <c r="C500" s="11" t="n">
        <v>46072</v>
      </c>
      <c r="D500" t="inlineStr">
        <is>
          <t>Feature Request</t>
        </is>
      </c>
      <c r="E500" t="inlineStr">
        <is>
          <t>Enterprise</t>
        </is>
      </c>
      <c r="F500" t="inlineStr">
        <is>
          <t>Mid-Market</t>
        </is>
      </c>
      <c r="G500" t="inlineStr">
        <is>
          <t>Contact Management</t>
        </is>
      </c>
      <c r="H500" t="inlineStr">
        <is>
          <t>Feature Request</t>
        </is>
      </c>
      <c r="I500" t="inlineStr">
        <is>
          <t>Noting this during onboarding. We need a bulk contact merge because our database has years of overlapping records. It affects our month-end reporting process every cycle. Let us know if you need examples.</t>
        </is>
      </c>
      <c r="J500" t="inlineStr">
        <is>
          <t>Neutral</t>
        </is>
      </c>
      <c r="K500" t="inlineStr">
        <is>
          <t>Low</t>
        </is>
      </c>
      <c r="L500" t="inlineStr">
        <is>
          <t>Workflow Slowdown</t>
        </is>
      </c>
      <c r="M500" t="inlineStr">
        <is>
          <t>contact_dedupe</t>
        </is>
      </c>
      <c r="N500" t="inlineStr">
        <is>
          <t>Bulk contact merge</t>
        </is>
      </c>
      <c r="O500" t="inlineStr">
        <is>
          <t>2026-02</t>
        </is>
      </c>
    </row>
    <row r="501">
      <c r="A501" t="inlineStr">
        <is>
          <t>FB-00500</t>
        </is>
      </c>
      <c r="B501" t="inlineStr">
        <is>
          <t>CUST-0108</t>
        </is>
      </c>
      <c r="C501" s="11" t="n">
        <v>46072</v>
      </c>
      <c r="D501" t="inlineStr">
        <is>
          <t>Customer Survey</t>
        </is>
      </c>
      <c r="E501" t="inlineStr">
        <is>
          <t>Enterprise</t>
        </is>
      </c>
      <c r="F501" t="inlineStr">
        <is>
          <t>Mid-Market</t>
        </is>
      </c>
      <c r="G501" t="inlineStr">
        <is>
          <t>Reporting</t>
        </is>
      </c>
      <c r="H501" t="inlineStr">
        <is>
          <t>Performance Issue</t>
        </is>
      </c>
      <c r="I501" t="inlineStr">
        <is>
          <t>Quick note from our admin. Our report load time spins for a minute before showing any chart. It affects our renewal process every cycle.</t>
        </is>
      </c>
      <c r="J501" t="inlineStr">
        <is>
          <t>Neutral</t>
        </is>
      </c>
      <c r="K501" t="inlineStr">
        <is>
          <t>Medium</t>
        </is>
      </c>
      <c r="L501" t="inlineStr">
        <is>
          <t>Workflow Slowdown</t>
        </is>
      </c>
      <c r="M501" t="inlineStr">
        <is>
          <t>rep_slow</t>
        </is>
      </c>
      <c r="N501" t="inlineStr">
        <is>
          <t>Slow dashboards</t>
        </is>
      </c>
      <c r="O501" t="inlineStr">
        <is>
          <t>2026-02</t>
        </is>
      </c>
    </row>
    <row r="502">
      <c r="A502" t="inlineStr">
        <is>
          <t>FB-00501</t>
        </is>
      </c>
      <c r="B502" t="inlineStr">
        <is>
          <t>CUST-0198</t>
        </is>
      </c>
      <c r="C502" s="11" t="n">
        <v>46073</v>
      </c>
      <c r="D502" t="inlineStr">
        <is>
          <t>In-App Feedback</t>
        </is>
      </c>
      <c r="E502" t="inlineStr">
        <is>
          <t>Starter</t>
        </is>
      </c>
      <c r="F502" t="inlineStr">
        <is>
          <t>SMB</t>
        </is>
      </c>
      <c r="G502" t="inlineStr">
        <is>
          <t>Lead Management</t>
        </is>
      </c>
      <c r="H502" t="inlineStr">
        <is>
          <t>Usability Issue</t>
        </is>
      </c>
      <c r="I502" t="inlineStr">
        <is>
          <t>This has been a recurring problem for us. Setting up round-robin lead assignment takes too many steps and the options don't cover territories. So far 117 people on our side have reported it. Support suggested logging it here.</t>
        </is>
      </c>
      <c r="J502" t="inlineStr">
        <is>
          <t>Negative</t>
        </is>
      </c>
      <c r="K502" t="inlineStr">
        <is>
          <t>High</t>
        </is>
      </c>
      <c r="L502" t="inlineStr">
        <is>
          <t>Workflow Slowdown</t>
        </is>
      </c>
      <c r="M502" t="inlineStr">
        <is>
          <t>lead_assign</t>
        </is>
      </c>
      <c r="N502" t="inlineStr">
        <is>
          <t>Lead routing is inflexible</t>
        </is>
      </c>
      <c r="O502" t="inlineStr">
        <is>
          <t>2026-02</t>
        </is>
      </c>
    </row>
    <row r="503">
      <c r="A503" t="inlineStr">
        <is>
          <t>FB-00502</t>
        </is>
      </c>
      <c r="B503" t="inlineStr">
        <is>
          <t>CUST-0042</t>
        </is>
      </c>
      <c r="C503" s="11" t="n">
        <v>46073</v>
      </c>
      <c r="D503" t="inlineStr">
        <is>
          <t>Support Ticket</t>
        </is>
      </c>
      <c r="E503" t="inlineStr">
        <is>
          <t>Professional</t>
        </is>
      </c>
      <c r="F503" t="inlineStr">
        <is>
          <t>Mid-Market</t>
        </is>
      </c>
      <c r="G503" t="inlineStr">
        <is>
          <t>Lead Management</t>
        </is>
      </c>
      <c r="H503" t="inlineStr">
        <is>
          <t>Bug</t>
        </is>
      </c>
      <c r="I503" t="inlineStr">
        <is>
          <t>We are seeing lead de-duplication failures when a lead arrives from both the website and a trade-show list. It affects our lead handoff process every cycle. We need a fix before renewal.</t>
        </is>
      </c>
      <c r="J503" t="inlineStr">
        <is>
          <t>Negative</t>
        </is>
      </c>
      <c r="K503" t="inlineStr">
        <is>
          <t>Critical</t>
        </is>
      </c>
      <c r="L503" t="inlineStr">
        <is>
          <t>Blocks Key Task</t>
        </is>
      </c>
      <c r="M503" t="inlineStr">
        <is>
          <t>lead_dup</t>
        </is>
      </c>
      <c r="N503" t="inlineStr">
        <is>
          <t>Duplicate leads created</t>
        </is>
      </c>
      <c r="O503" t="inlineStr">
        <is>
          <t>2026-02</t>
        </is>
      </c>
    </row>
    <row r="504">
      <c r="A504" t="inlineStr">
        <is>
          <t>FB-00503</t>
        </is>
      </c>
      <c r="B504" t="inlineStr">
        <is>
          <t>CUST-0320</t>
        </is>
      </c>
      <c r="C504" s="11" t="n">
        <v>46073</v>
      </c>
      <c r="D504" t="inlineStr">
        <is>
          <t>Customer Survey</t>
        </is>
      </c>
      <c r="E504" t="inlineStr">
        <is>
          <t>Professional</t>
        </is>
      </c>
      <c r="F504" t="inlineStr">
        <is>
          <t>Mid-Market</t>
        </is>
      </c>
      <c r="G504" t="inlineStr">
        <is>
          <t>Reporting</t>
        </is>
      </c>
      <c r="H504" t="inlineStr">
        <is>
          <t>Bug</t>
        </is>
      </c>
      <c r="I504" t="inlineStr">
        <is>
          <t>Happy with most of the product. Finance can't rely on the CSV export of reports; totals don't match the screen. Our finance analyst flagged it while onboarding 4 new users. Thanks to the team.</t>
        </is>
      </c>
      <c r="J504" t="inlineStr">
        <is>
          <t>Positive</t>
        </is>
      </c>
      <c r="K504" t="inlineStr">
        <is>
          <t>High</t>
        </is>
      </c>
      <c r="L504" t="inlineStr">
        <is>
          <t>Workflow Slowdown</t>
        </is>
      </c>
      <c r="M504" t="inlineStr">
        <is>
          <t>rep_export</t>
        </is>
      </c>
      <c r="N504" t="inlineStr">
        <is>
          <t>Broken report exports</t>
        </is>
      </c>
      <c r="O504" t="inlineStr">
        <is>
          <t>2026-02</t>
        </is>
      </c>
    </row>
    <row r="505">
      <c r="A505" t="inlineStr">
        <is>
          <t>FB-00504</t>
        </is>
      </c>
      <c r="B505" t="inlineStr">
        <is>
          <t>CUST-0293</t>
        </is>
      </c>
      <c r="C505" s="11" t="n">
        <v>46073</v>
      </c>
      <c r="D505" t="inlineStr">
        <is>
          <t>Support Ticket</t>
        </is>
      </c>
      <c r="E505" t="inlineStr">
        <is>
          <t>Enterprise</t>
        </is>
      </c>
      <c r="F505" t="inlineStr">
        <is>
          <t>Enterprise</t>
        </is>
      </c>
      <c r="G505" t="inlineStr">
        <is>
          <t>Workflow Automation</t>
        </is>
      </c>
      <c r="H505" t="inlineStr">
        <is>
          <t>Bug</t>
        </is>
      </c>
      <c r="I505" t="inlineStr">
        <is>
          <t>Quick note from our admin. Several workflow runs failing silently left deals stuck in the wrong stage. So far 90 people on our side have reported it.</t>
        </is>
      </c>
      <c r="J505" t="inlineStr">
        <is>
          <t>Neutral</t>
        </is>
      </c>
      <c r="K505" t="inlineStr">
        <is>
          <t>Low</t>
        </is>
      </c>
      <c r="L505" t="inlineStr">
        <is>
          <t>Minor Inconvenience</t>
        </is>
      </c>
      <c r="M505" t="inlineStr">
        <is>
          <t>wf_fail</t>
        </is>
      </c>
      <c r="N505" t="inlineStr">
        <is>
          <t>Workflows failing silently</t>
        </is>
      </c>
      <c r="O505" t="inlineStr">
        <is>
          <t>2026-02</t>
        </is>
      </c>
    </row>
    <row r="506">
      <c r="A506" t="inlineStr">
        <is>
          <t>FB-00505</t>
        </is>
      </c>
      <c r="B506" t="inlineStr">
        <is>
          <t>CUST-0034</t>
        </is>
      </c>
      <c r="C506" s="11" t="n">
        <v>46073</v>
      </c>
      <c r="D506" t="inlineStr">
        <is>
          <t>In-App Feedback</t>
        </is>
      </c>
      <c r="E506" t="inlineStr">
        <is>
          <t>Professional</t>
        </is>
      </c>
      <c r="F506" t="inlineStr">
        <is>
          <t>Mid-Market</t>
        </is>
      </c>
      <c r="G506" t="inlineStr">
        <is>
          <t>Workflow Automation</t>
        </is>
      </c>
      <c r="H506" t="inlineStr">
        <is>
          <t>Usability Issue</t>
        </is>
      </c>
      <c r="I506" t="inlineStr">
        <is>
          <t>Our new admins struggle with the automation canvas; there is no guidance or validation. We estimate we lose roughly 25 hours a month on this.</t>
        </is>
      </c>
      <c r="J506" t="inlineStr">
        <is>
          <t>Neutral</t>
        </is>
      </c>
      <c r="K506" t="inlineStr">
        <is>
          <t>Low</t>
        </is>
      </c>
      <c r="L506" t="inlineStr">
        <is>
          <t>Blocks Key Task</t>
        </is>
      </c>
      <c r="M506" t="inlineStr">
        <is>
          <t>wf_builder</t>
        </is>
      </c>
      <c r="N506" t="inlineStr">
        <is>
          <t>Confusing workflow builder</t>
        </is>
      </c>
      <c r="O506" t="inlineStr">
        <is>
          <t>2026-02</t>
        </is>
      </c>
    </row>
    <row r="507">
      <c r="A507" t="inlineStr">
        <is>
          <t>FB-00506</t>
        </is>
      </c>
      <c r="B507" t="inlineStr">
        <is>
          <t>CUST-0107</t>
        </is>
      </c>
      <c r="C507" s="11" t="n">
        <v>46073</v>
      </c>
      <c r="D507" t="inlineStr">
        <is>
          <t>Customer Survey</t>
        </is>
      </c>
      <c r="E507" t="inlineStr">
        <is>
          <t>Starter</t>
        </is>
      </c>
      <c r="F507" t="inlineStr">
        <is>
          <t>SMB</t>
        </is>
      </c>
      <c r="G507" t="inlineStr">
        <is>
          <t>Lead Management</t>
        </is>
      </c>
      <c r="H507" t="inlineStr">
        <is>
          <t>Feature Request</t>
        </is>
      </c>
      <c r="I507" t="inlineStr">
        <is>
          <t>Sharing this from our team. Would love to see automated lead scoring that marketing and sales can both tune. Our RevOps lead flagged it while onboarding 39 new users.</t>
        </is>
      </c>
      <c r="J507" t="inlineStr">
        <is>
          <t>Neutral</t>
        </is>
      </c>
      <c r="K507" t="inlineStr">
        <is>
          <t>Low</t>
        </is>
      </c>
      <c r="L507" t="inlineStr">
        <is>
          <t>Minor Inconvenience</t>
        </is>
      </c>
      <c r="M507" t="inlineStr">
        <is>
          <t>lead_score</t>
        </is>
      </c>
      <c r="N507" t="inlineStr">
        <is>
          <t>Automated lead scoring</t>
        </is>
      </c>
      <c r="O507" t="inlineStr">
        <is>
          <t>2026-02</t>
        </is>
      </c>
    </row>
    <row r="508">
      <c r="A508" t="inlineStr">
        <is>
          <t>FB-00507</t>
        </is>
      </c>
      <c r="B508" t="inlineStr">
        <is>
          <t>CUST-0284</t>
        </is>
      </c>
      <c r="C508" s="11" t="n">
        <v>46073</v>
      </c>
      <c r="D508" t="inlineStr">
        <is>
          <t>Support Ticket</t>
        </is>
      </c>
      <c r="E508" t="inlineStr">
        <is>
          <t>Enterprise</t>
        </is>
      </c>
      <c r="F508" t="inlineStr">
        <is>
          <t>Enterprise</t>
        </is>
      </c>
      <c r="G508" t="inlineStr">
        <is>
          <t>Reporting</t>
        </is>
      </c>
      <c r="H508" t="inlineStr">
        <is>
          <t>Performance Issue</t>
        </is>
      </c>
      <c r="I508" t="inlineStr">
        <is>
          <t>Great support experience recently. Dashboard loading got noticeably worse over the last few months.</t>
        </is>
      </c>
      <c r="J508" t="inlineStr">
        <is>
          <t>Positive</t>
        </is>
      </c>
      <c r="K508" t="inlineStr">
        <is>
          <t>Low</t>
        </is>
      </c>
      <c r="L508" t="inlineStr">
        <is>
          <t>Workflow Slowdown</t>
        </is>
      </c>
      <c r="M508" t="inlineStr">
        <is>
          <t>rep_slow</t>
        </is>
      </c>
      <c r="N508" t="inlineStr">
        <is>
          <t>Slow dashboards</t>
        </is>
      </c>
      <c r="O508" t="inlineStr">
        <is>
          <t>2026-02</t>
        </is>
      </c>
    </row>
    <row r="509">
      <c r="A509" t="inlineStr">
        <is>
          <t>FB-00508</t>
        </is>
      </c>
      <c r="B509" t="inlineStr">
        <is>
          <t>CUST-0284</t>
        </is>
      </c>
      <c r="C509" s="11" t="n">
        <v>46073</v>
      </c>
      <c r="D509" t="inlineStr">
        <is>
          <t>In-App Feedback</t>
        </is>
      </c>
      <c r="E509" t="inlineStr">
        <is>
          <t>Enterprise</t>
        </is>
      </c>
      <c r="F509" t="inlineStr">
        <is>
          <t>Enterprise</t>
        </is>
      </c>
      <c r="G509" t="inlineStr">
        <is>
          <t>Contact Management</t>
        </is>
      </c>
      <c r="H509" t="inlineStr">
        <is>
          <t>Bug</t>
        </is>
      </c>
      <c r="I509" t="inlineStr">
        <is>
          <t>FYI for the product team. Our import field mapping scrambles phone and email columns even after we map them correctly. We estimate we lose roughly 33 hours a month on this. Happy to join a feedback call.</t>
        </is>
      </c>
      <c r="J509" t="inlineStr">
        <is>
          <t>Neutral</t>
        </is>
      </c>
      <c r="K509" t="inlineStr">
        <is>
          <t>High</t>
        </is>
      </c>
      <c r="L509" t="inlineStr">
        <is>
          <t>Blocks Key Task</t>
        </is>
      </c>
      <c r="M509" t="inlineStr">
        <is>
          <t>contact_import</t>
        </is>
      </c>
      <c r="N509" t="inlineStr">
        <is>
          <t>Unreliable contact imports</t>
        </is>
      </c>
      <c r="O509" t="inlineStr">
        <is>
          <t>2026-02</t>
        </is>
      </c>
    </row>
    <row r="510">
      <c r="A510" t="inlineStr">
        <is>
          <t>FB-00509</t>
        </is>
      </c>
      <c r="B510" t="inlineStr">
        <is>
          <t>CUST-0206</t>
        </is>
      </c>
      <c r="C510" s="11" t="n">
        <v>46073</v>
      </c>
      <c r="D510" t="inlineStr">
        <is>
          <t>In-App Feedback</t>
        </is>
      </c>
      <c r="E510" t="inlineStr">
        <is>
          <t>Professional</t>
        </is>
      </c>
      <c r="F510" t="inlineStr">
        <is>
          <t>Mid-Market</t>
        </is>
      </c>
      <c r="G510" t="inlineStr">
        <is>
          <t>Lead Management</t>
        </is>
      </c>
      <c r="H510" t="inlineStr">
        <is>
          <t>Bug</t>
        </is>
      </c>
      <c r="I510" t="inlineStr">
        <is>
          <t>Not what we expected for the price. Web form submissions keep creating duplicate lead records, and reps end up calling the same prospect twice. It affects our lead handoff process every cycle.</t>
        </is>
      </c>
      <c r="J510" t="inlineStr">
        <is>
          <t>Negative</t>
        </is>
      </c>
      <c r="K510" t="inlineStr">
        <is>
          <t>Medium</t>
        </is>
      </c>
      <c r="L510" t="inlineStr">
        <is>
          <t>Minor Inconvenience</t>
        </is>
      </c>
      <c r="M510" t="inlineStr">
        <is>
          <t>lead_dup</t>
        </is>
      </c>
      <c r="N510" t="inlineStr">
        <is>
          <t>Duplicate leads created</t>
        </is>
      </c>
      <c r="O510" t="inlineStr">
        <is>
          <t>2026-02</t>
        </is>
      </c>
    </row>
    <row r="511">
      <c r="A511" t="inlineStr">
        <is>
          <t>FB-00510</t>
        </is>
      </c>
      <c r="B511" t="inlineStr">
        <is>
          <t>CUST-0286</t>
        </is>
      </c>
      <c r="C511" s="11" t="n">
        <v>46074</v>
      </c>
      <c r="D511" t="inlineStr">
        <is>
          <t>Feature Request</t>
        </is>
      </c>
      <c r="E511" t="inlineStr">
        <is>
          <t>Enterprise</t>
        </is>
      </c>
      <c r="F511" t="inlineStr">
        <is>
          <t>Enterprise</t>
        </is>
      </c>
      <c r="G511" t="inlineStr">
        <is>
          <t>Contact Management</t>
        </is>
      </c>
      <c r="H511" t="inlineStr">
        <is>
          <t>Feature Request</t>
        </is>
      </c>
      <c r="I511" t="inlineStr">
        <is>
          <t>FYI for the product team. Please build contact de-duplication tooling with a preview of what will be combined. Our sales manager flagged it while onboarding 79 new users.</t>
        </is>
      </c>
      <c r="J511" t="inlineStr">
        <is>
          <t>Neutral</t>
        </is>
      </c>
      <c r="K511" t="inlineStr">
        <is>
          <t>Low</t>
        </is>
      </c>
      <c r="L511" t="inlineStr">
        <is>
          <t>Minor Inconvenience</t>
        </is>
      </c>
      <c r="M511" t="inlineStr">
        <is>
          <t>contact_dedupe</t>
        </is>
      </c>
      <c r="N511" t="inlineStr">
        <is>
          <t>Bulk contact merge</t>
        </is>
      </c>
      <c r="O511" t="inlineStr">
        <is>
          <t>2026-02</t>
        </is>
      </c>
    </row>
    <row r="512">
      <c r="A512" t="inlineStr">
        <is>
          <t>FB-00511</t>
        </is>
      </c>
      <c r="B512" t="inlineStr">
        <is>
          <t>CUST-0234</t>
        </is>
      </c>
      <c r="C512" s="11" t="n">
        <v>46074</v>
      </c>
      <c r="D512" t="inlineStr">
        <is>
          <t>Customer Survey</t>
        </is>
      </c>
      <c r="E512" t="inlineStr">
        <is>
          <t>Enterprise</t>
        </is>
      </c>
      <c r="F512" t="inlineStr">
        <is>
          <t>SMB</t>
        </is>
      </c>
      <c r="G512" t="inlineStr">
        <is>
          <t>Lead Management</t>
        </is>
      </c>
      <c r="H512" t="inlineStr">
        <is>
          <t>Performance Issue</t>
        </is>
      </c>
      <c r="I512" t="inlineStr">
        <is>
          <t>Feedback from our monthly review. Reps have stopped using the board because of lead view load times. Our customer success lead flagged it while onboarding 81 new users. Let us know if you need examples.</t>
        </is>
      </c>
      <c r="J512" t="inlineStr">
        <is>
          <t>Neutral</t>
        </is>
      </c>
      <c r="K512" t="inlineStr">
        <is>
          <t>Low</t>
        </is>
      </c>
      <c r="L512" t="inlineStr">
        <is>
          <t>Minor Inconvenience</t>
        </is>
      </c>
      <c r="M512" t="inlineStr">
        <is>
          <t>lead_slow</t>
        </is>
      </c>
      <c r="N512" t="inlineStr">
        <is>
          <t>Slow lead lists and pipeline board</t>
        </is>
      </c>
      <c r="O512" t="inlineStr">
        <is>
          <t>2026-02</t>
        </is>
      </c>
    </row>
    <row r="513">
      <c r="A513" t="inlineStr">
        <is>
          <t>FB-00512</t>
        </is>
      </c>
      <c r="B513" t="inlineStr">
        <is>
          <t>CUST-0092</t>
        </is>
      </c>
      <c r="C513" s="11" t="n">
        <v>46074</v>
      </c>
      <c r="D513" t="inlineStr">
        <is>
          <t>Customer Survey</t>
        </is>
      </c>
      <c r="E513" t="inlineStr">
        <is>
          <t>Professional</t>
        </is>
      </c>
      <c r="F513" t="inlineStr">
        <is>
          <t>Mid-Market</t>
        </is>
      </c>
      <c r="G513" t="inlineStr">
        <is>
          <t>Workflow Automation</t>
        </is>
      </c>
      <c r="H513" t="inlineStr">
        <is>
          <t>Feature Request</t>
        </is>
      </c>
      <c r="I513" t="inlineStr">
        <is>
          <t>Noting this during onboarding. We'd adopt automation faster with prebuilt automations we could customize. It affects our month-end reporting process every cycle. Let us know if you need examples.</t>
        </is>
      </c>
      <c r="J513" t="inlineStr">
        <is>
          <t>Neutral</t>
        </is>
      </c>
      <c r="K513" t="inlineStr">
        <is>
          <t>Medium</t>
        </is>
      </c>
      <c r="L513" t="inlineStr">
        <is>
          <t>Minor Inconvenience</t>
        </is>
      </c>
      <c r="M513" t="inlineStr">
        <is>
          <t>wf_templates</t>
        </is>
      </c>
      <c r="N513" t="inlineStr">
        <is>
          <t>Workflow templates</t>
        </is>
      </c>
      <c r="O513" t="inlineStr">
        <is>
          <t>2026-02</t>
        </is>
      </c>
    </row>
    <row r="514">
      <c r="A514" t="inlineStr">
        <is>
          <t>FB-00513</t>
        </is>
      </c>
      <c r="B514" t="inlineStr">
        <is>
          <t>CUST-0048</t>
        </is>
      </c>
      <c r="C514" s="11" t="n">
        <v>46074</v>
      </c>
      <c r="D514" t="inlineStr">
        <is>
          <t>Support Ticket</t>
        </is>
      </c>
      <c r="E514" t="inlineStr">
        <is>
          <t>Starter</t>
        </is>
      </c>
      <c r="F514" t="inlineStr">
        <is>
          <t>SMB</t>
        </is>
      </c>
      <c r="G514" t="inlineStr">
        <is>
          <t>User Interface</t>
        </is>
      </c>
      <c r="H514" t="inlineStr">
        <is>
          <t>Usability Issue</t>
        </is>
      </c>
      <c r="I514" t="inlineStr">
        <is>
          <t>Too many clicks to reach common screens because of the page layout. It happens about 23 times a week for our team of 11. We need a fix before renewal.</t>
        </is>
      </c>
      <c r="J514" t="inlineStr">
        <is>
          <t>Negative</t>
        </is>
      </c>
      <c r="K514" t="inlineStr">
        <is>
          <t>Low</t>
        </is>
      </c>
      <c r="L514" t="inlineStr">
        <is>
          <t>Minor Inconvenience</t>
        </is>
      </c>
      <c r="M514" t="inlineStr">
        <is>
          <t>ui_nav</t>
        </is>
      </c>
      <c r="N514" t="inlineStr">
        <is>
          <t>Cluttered navigation</t>
        </is>
      </c>
      <c r="O514" t="inlineStr">
        <is>
          <t>2026-02</t>
        </is>
      </c>
    </row>
    <row r="515">
      <c r="A515" t="inlineStr">
        <is>
          <t>FB-00514</t>
        </is>
      </c>
      <c r="B515" t="inlineStr">
        <is>
          <t>CUST-0382</t>
        </is>
      </c>
      <c r="C515" s="11" t="n">
        <v>46074</v>
      </c>
      <c r="D515" t="inlineStr">
        <is>
          <t>Support Ticket</t>
        </is>
      </c>
      <c r="E515" t="inlineStr">
        <is>
          <t>Starter</t>
        </is>
      </c>
      <c r="F515" t="inlineStr">
        <is>
          <t>SMB</t>
        </is>
      </c>
      <c r="G515" t="inlineStr">
        <is>
          <t>Contact Management</t>
        </is>
      </c>
      <c r="H515" t="inlineStr">
        <is>
          <t>Bug</t>
        </is>
      </c>
      <c r="I515" t="inlineStr">
        <is>
          <t>Frustrated with this one. The import field mapping rejects files with accented characters in names. So far 22 people on our side have reported it. Support suggested logging it here.</t>
        </is>
      </c>
      <c r="J515" t="inlineStr">
        <is>
          <t>Negative</t>
        </is>
      </c>
      <c r="K515" t="inlineStr">
        <is>
          <t>Medium</t>
        </is>
      </c>
      <c r="L515" t="inlineStr">
        <is>
          <t>Workflow Slowdown</t>
        </is>
      </c>
      <c r="M515" t="inlineStr">
        <is>
          <t>contact_import</t>
        </is>
      </c>
      <c r="N515" t="inlineStr">
        <is>
          <t>Unreliable contact imports</t>
        </is>
      </c>
      <c r="O515" t="inlineStr">
        <is>
          <t>2026-02</t>
        </is>
      </c>
    </row>
    <row r="516">
      <c r="A516" t="inlineStr">
        <is>
          <t>FB-00515</t>
        </is>
      </c>
      <c r="B516" t="inlineStr">
        <is>
          <t>CUST-0262</t>
        </is>
      </c>
      <c r="C516" s="11" t="n">
        <v>46074</v>
      </c>
      <c r="D516" t="inlineStr">
        <is>
          <t>Customer Survey</t>
        </is>
      </c>
      <c r="E516" t="inlineStr">
        <is>
          <t>Professional</t>
        </is>
      </c>
      <c r="F516" t="inlineStr">
        <is>
          <t>Mid-Market</t>
        </is>
      </c>
      <c r="G516" t="inlineStr">
        <is>
          <t>Integrations</t>
        </is>
      </c>
      <c r="H516" t="inlineStr">
        <is>
          <t>Feature Request</t>
        </is>
      </c>
      <c r="I516" t="inlineStr">
        <is>
          <t>Feedback from our monthly review. Requesting a marketing automation connector to remove manual re-entry. It affects our quarterly planning process every cycle.</t>
        </is>
      </c>
      <c r="J516" t="inlineStr">
        <is>
          <t>Neutral</t>
        </is>
      </c>
      <c r="K516" t="inlineStr">
        <is>
          <t>High</t>
        </is>
      </c>
      <c r="L516" t="inlineStr">
        <is>
          <t>Revenue/Operations Risk</t>
        </is>
      </c>
      <c r="M516" t="inlineStr">
        <is>
          <t>int_native</t>
        </is>
      </c>
      <c r="N516" t="inlineStr">
        <is>
          <t>Native integrations</t>
        </is>
      </c>
      <c r="O516" t="inlineStr">
        <is>
          <t>2026-02</t>
        </is>
      </c>
    </row>
    <row r="517">
      <c r="A517" t="inlineStr">
        <is>
          <t>FB-00516</t>
        </is>
      </c>
      <c r="B517" t="inlineStr">
        <is>
          <t>CUST-0420</t>
        </is>
      </c>
      <c r="C517" s="11" t="n">
        <v>46074</v>
      </c>
      <c r="D517" t="inlineStr">
        <is>
          <t>In-App Feedback</t>
        </is>
      </c>
      <c r="E517" t="inlineStr">
        <is>
          <t>Enterprise</t>
        </is>
      </c>
      <c r="F517" t="inlineStr">
        <is>
          <t>Enterprise</t>
        </is>
      </c>
      <c r="G517" t="inlineStr">
        <is>
          <t>Integrations</t>
        </is>
      </c>
      <c r="H517" t="inlineStr">
        <is>
          <t>Integration Issue</t>
        </is>
      </c>
      <c r="I517" t="inlineStr">
        <is>
          <t>This has been a recurring problem for us. We keep hitting webhook delivery during nightly syncs with our data warehouse. We estimate we lose roughly 32 hours a month on this. We need a fix before renewal.</t>
        </is>
      </c>
      <c r="J517" t="inlineStr">
        <is>
          <t>Negative</t>
        </is>
      </c>
      <c r="K517" t="inlineStr">
        <is>
          <t>Medium</t>
        </is>
      </c>
      <c r="L517" t="inlineStr">
        <is>
          <t>Blocks Key Task</t>
        </is>
      </c>
      <c r="M517" t="inlineStr">
        <is>
          <t>int_api</t>
        </is>
      </c>
      <c r="N517" t="inlineStr">
        <is>
          <t>API limits and webhook failures</t>
        </is>
      </c>
      <c r="O517" t="inlineStr">
        <is>
          <t>2026-02</t>
        </is>
      </c>
    </row>
    <row r="518">
      <c r="A518" t="inlineStr">
        <is>
          <t>FB-00517</t>
        </is>
      </c>
      <c r="B518" t="inlineStr">
        <is>
          <t>CUST-0231</t>
        </is>
      </c>
      <c r="C518" s="11" t="n">
        <v>46075</v>
      </c>
      <c r="D518" t="inlineStr">
        <is>
          <t>Support Ticket</t>
        </is>
      </c>
      <c r="E518" t="inlineStr">
        <is>
          <t>Enterprise</t>
        </is>
      </c>
      <c r="F518" t="inlineStr">
        <is>
          <t>Enterprise</t>
        </is>
      </c>
      <c r="G518" t="inlineStr">
        <is>
          <t>Workflow Automation</t>
        </is>
      </c>
      <c r="H518" t="inlineStr">
        <is>
          <t>Bug</t>
        </is>
      </c>
      <c r="I518" t="inlineStr">
        <is>
          <t>Since the last release we've had workflow failures and tasks are being created twice. It happens about 32 times a week for our team of 9. We need a fix before renewal.</t>
        </is>
      </c>
      <c r="J518" t="inlineStr">
        <is>
          <t>Negative</t>
        </is>
      </c>
      <c r="K518" t="inlineStr">
        <is>
          <t>High</t>
        </is>
      </c>
      <c r="L518" t="inlineStr">
        <is>
          <t>Blocks Key Task</t>
        </is>
      </c>
      <c r="M518" t="inlineStr">
        <is>
          <t>wf_fail</t>
        </is>
      </c>
      <c r="N518" t="inlineStr">
        <is>
          <t>Workflows failing silently</t>
        </is>
      </c>
      <c r="O518" t="inlineStr">
        <is>
          <t>2026-02</t>
        </is>
      </c>
    </row>
    <row r="519">
      <c r="A519" t="inlineStr">
        <is>
          <t>FB-00518</t>
        </is>
      </c>
      <c r="B519" t="inlineStr">
        <is>
          <t>CUST-0149</t>
        </is>
      </c>
      <c r="C519" s="11" t="n">
        <v>46075</v>
      </c>
      <c r="D519" t="inlineStr">
        <is>
          <t>Support Ticket</t>
        </is>
      </c>
      <c r="E519" t="inlineStr">
        <is>
          <t>Professional</t>
        </is>
      </c>
      <c r="F519" t="inlineStr">
        <is>
          <t>Mid-Market</t>
        </is>
      </c>
      <c r="G519" t="inlineStr">
        <is>
          <t>Lead Management</t>
        </is>
      </c>
      <c r="H519" t="inlineStr">
        <is>
          <t>Bug</t>
        </is>
      </c>
      <c r="I519" t="inlineStr">
        <is>
          <t>Noting this during onboarding. We are seeing lead de-duplication failures when a lead arrives from both the website and a trade-show list. We estimate we lose roughly 55 hours a month on this.</t>
        </is>
      </c>
      <c r="J519" t="inlineStr">
        <is>
          <t>Neutral</t>
        </is>
      </c>
      <c r="K519" t="inlineStr">
        <is>
          <t>High</t>
        </is>
      </c>
      <c r="L519" t="inlineStr">
        <is>
          <t>Blocks Key Task</t>
        </is>
      </c>
      <c r="M519" t="inlineStr">
        <is>
          <t>lead_dup</t>
        </is>
      </c>
      <c r="N519" t="inlineStr">
        <is>
          <t>Duplicate leads created</t>
        </is>
      </c>
      <c r="O519" t="inlineStr">
        <is>
          <t>2026-02</t>
        </is>
      </c>
    </row>
    <row r="520">
      <c r="A520" t="inlineStr">
        <is>
          <t>FB-00519</t>
        </is>
      </c>
      <c r="B520" t="inlineStr">
        <is>
          <t>CUST-0284</t>
        </is>
      </c>
      <c r="C520" s="11" t="n">
        <v>46075</v>
      </c>
      <c r="D520" t="inlineStr">
        <is>
          <t>Support Ticket</t>
        </is>
      </c>
      <c r="E520" t="inlineStr">
        <is>
          <t>Enterprise</t>
        </is>
      </c>
      <c r="F520" t="inlineStr">
        <is>
          <t>Enterprise</t>
        </is>
      </c>
      <c r="G520" t="inlineStr">
        <is>
          <t>Workflow Automation</t>
        </is>
      </c>
      <c r="H520" t="inlineStr">
        <is>
          <t>Bug</t>
        </is>
      </c>
      <c r="I520" t="inlineStr">
        <is>
          <t>This has been a recurring problem for us. We are hitting workflow runs failing silently: emails don't send and nobody gets notified. It affects our month-end reporting process every cycle. Please look into it soon.</t>
        </is>
      </c>
      <c r="J520" t="inlineStr">
        <is>
          <t>Negative</t>
        </is>
      </c>
      <c r="K520" t="inlineStr">
        <is>
          <t>High</t>
        </is>
      </c>
      <c r="L520" t="inlineStr">
        <is>
          <t>Blocks Key Task</t>
        </is>
      </c>
      <c r="M520" t="inlineStr">
        <is>
          <t>wf_fail</t>
        </is>
      </c>
      <c r="N520" t="inlineStr">
        <is>
          <t>Workflows failing silently</t>
        </is>
      </c>
      <c r="O520" t="inlineStr">
        <is>
          <t>2026-02</t>
        </is>
      </c>
    </row>
    <row r="521">
      <c r="A521" t="inlineStr">
        <is>
          <t>FB-00520</t>
        </is>
      </c>
      <c r="B521" t="inlineStr">
        <is>
          <t>CUST-0385</t>
        </is>
      </c>
      <c r="C521" s="11" t="n">
        <v>46075</v>
      </c>
      <c r="D521" t="inlineStr">
        <is>
          <t>Support Ticket</t>
        </is>
      </c>
      <c r="E521" t="inlineStr">
        <is>
          <t>Starter</t>
        </is>
      </c>
      <c r="F521" t="inlineStr">
        <is>
          <t>SMB</t>
        </is>
      </c>
      <c r="G521" t="inlineStr">
        <is>
          <t>Reporting</t>
        </is>
      </c>
      <c r="H521" t="inlineStr">
        <is>
          <t>Bug</t>
        </is>
      </c>
      <c r="I521" t="inlineStr">
        <is>
          <t>Happy with most of the product. Our CSV export of reports drops formatting and shows dates as numbers. Happy to beta test.</t>
        </is>
      </c>
      <c r="J521" t="inlineStr">
        <is>
          <t>Positive</t>
        </is>
      </c>
      <c r="K521" t="inlineStr">
        <is>
          <t>Low</t>
        </is>
      </c>
      <c r="L521" t="inlineStr">
        <is>
          <t>Minor Inconvenience</t>
        </is>
      </c>
      <c r="M521" t="inlineStr">
        <is>
          <t>rep_export</t>
        </is>
      </c>
      <c r="N521" t="inlineStr">
        <is>
          <t>Broken report exports</t>
        </is>
      </c>
      <c r="O521" t="inlineStr">
        <is>
          <t>2026-02</t>
        </is>
      </c>
    </row>
    <row r="522">
      <c r="A522" t="inlineStr">
        <is>
          <t>FB-00521</t>
        </is>
      </c>
      <c r="B522" t="inlineStr">
        <is>
          <t>CUST-0035</t>
        </is>
      </c>
      <c r="C522" s="11" t="n">
        <v>46075</v>
      </c>
      <c r="D522" t="inlineStr">
        <is>
          <t>Customer Survey</t>
        </is>
      </c>
      <c r="E522" t="inlineStr">
        <is>
          <t>Professional</t>
        </is>
      </c>
      <c r="F522" t="inlineStr">
        <is>
          <t>Enterprise</t>
        </is>
      </c>
      <c r="G522" t="inlineStr">
        <is>
          <t>User Interface</t>
        </is>
      </c>
      <c r="H522" t="inlineStr">
        <is>
          <t>Feature Request</t>
        </is>
      </c>
      <c r="I522" t="inlineStr">
        <is>
          <t>Quick note from our admin. Please prioritize offline mobile access; the mobile web view is hard to use. Our marketing ops owner flagged it while onboarding 70 new users. Let us know if you need examples.</t>
        </is>
      </c>
      <c r="J522" t="inlineStr">
        <is>
          <t>Neutral</t>
        </is>
      </c>
      <c r="K522" t="inlineStr">
        <is>
          <t>Medium</t>
        </is>
      </c>
      <c r="L522" t="inlineStr">
        <is>
          <t>Minor Inconvenience</t>
        </is>
      </c>
      <c r="M522" t="inlineStr">
        <is>
          <t>ui_mobile</t>
        </is>
      </c>
      <c r="N522" t="inlineStr">
        <is>
          <t>Mobile app</t>
        </is>
      </c>
      <c r="O522" t="inlineStr">
        <is>
          <t>2026-02</t>
        </is>
      </c>
    </row>
    <row r="523">
      <c r="A523" t="inlineStr">
        <is>
          <t>FB-00522</t>
        </is>
      </c>
      <c r="B523" t="inlineStr">
        <is>
          <t>CUST-0309</t>
        </is>
      </c>
      <c r="C523" s="11" t="n">
        <v>46075</v>
      </c>
      <c r="D523" t="inlineStr">
        <is>
          <t>In-App Feedback</t>
        </is>
      </c>
      <c r="E523" t="inlineStr">
        <is>
          <t>Starter</t>
        </is>
      </c>
      <c r="F523" t="inlineStr">
        <is>
          <t>SMB</t>
        </is>
      </c>
      <c r="G523" t="inlineStr">
        <is>
          <t>Integrations</t>
        </is>
      </c>
      <c r="H523" t="inlineStr">
        <is>
          <t>Integration Issue</t>
        </is>
      </c>
      <c r="I523" t="inlineStr">
        <is>
          <t>Hard to debug: API rate limits fail with vague error codes. So far 31 people on our side have reported it.</t>
        </is>
      </c>
      <c r="J523" t="inlineStr">
        <is>
          <t>Neutral</t>
        </is>
      </c>
      <c r="K523" t="inlineStr">
        <is>
          <t>Medium</t>
        </is>
      </c>
      <c r="L523" t="inlineStr">
        <is>
          <t>Workflow Slowdown</t>
        </is>
      </c>
      <c r="M523" t="inlineStr">
        <is>
          <t>int_api</t>
        </is>
      </c>
      <c r="N523" t="inlineStr">
        <is>
          <t>API limits and webhook failures</t>
        </is>
      </c>
      <c r="O523" t="inlineStr">
        <is>
          <t>2026-02</t>
        </is>
      </c>
    </row>
    <row r="524">
      <c r="A524" t="inlineStr">
        <is>
          <t>FB-00523</t>
        </is>
      </c>
      <c r="B524" t="inlineStr">
        <is>
          <t>CUST-0398</t>
        </is>
      </c>
      <c r="C524" s="11" t="n">
        <v>46076</v>
      </c>
      <c r="D524" t="inlineStr">
        <is>
          <t>Support Ticket</t>
        </is>
      </c>
      <c r="E524" t="inlineStr">
        <is>
          <t>Enterprise</t>
        </is>
      </c>
      <c r="F524" t="inlineStr">
        <is>
          <t>Enterprise</t>
        </is>
      </c>
      <c r="G524" t="inlineStr">
        <is>
          <t>Integrations</t>
        </is>
      </c>
      <c r="H524" t="inlineStr">
        <is>
          <t>Integration Issue</t>
        </is>
      </c>
      <c r="I524" t="inlineStr">
        <is>
          <t>This has been a recurring problem for us. Our integration partner flagged API rate limits as a risk for the project. It happens about 3 times a week for our team of 23.</t>
        </is>
      </c>
      <c r="J524" t="inlineStr">
        <is>
          <t>Negative</t>
        </is>
      </c>
      <c r="K524" t="inlineStr">
        <is>
          <t>Medium</t>
        </is>
      </c>
      <c r="L524" t="inlineStr">
        <is>
          <t>Workflow Slowdown</t>
        </is>
      </c>
      <c r="M524" t="inlineStr">
        <is>
          <t>int_api</t>
        </is>
      </c>
      <c r="N524" t="inlineStr">
        <is>
          <t>API limits and webhook failures</t>
        </is>
      </c>
      <c r="O524" t="inlineStr">
        <is>
          <t>2026-02</t>
        </is>
      </c>
    </row>
    <row r="525">
      <c r="A525" t="inlineStr">
        <is>
          <t>FB-00524</t>
        </is>
      </c>
      <c r="B525" t="inlineStr">
        <is>
          <t>CUST-0231</t>
        </is>
      </c>
      <c r="C525" s="11" t="n">
        <v>46076</v>
      </c>
      <c r="D525" t="inlineStr">
        <is>
          <t>Feature Request</t>
        </is>
      </c>
      <c r="E525" t="inlineStr">
        <is>
          <t>Enterprise</t>
        </is>
      </c>
      <c r="F525" t="inlineStr">
        <is>
          <t>Enterprise</t>
        </is>
      </c>
      <c r="G525" t="inlineStr">
        <is>
          <t>Integrations</t>
        </is>
      </c>
      <c r="H525" t="inlineStr">
        <is>
          <t>Feature Request</t>
        </is>
      </c>
      <c r="I525" t="inlineStr">
        <is>
          <t>Sharing this from our team. Our security team requires SSO support before we can expand seats. We estimate we lose roughly 40 hours a month on this.</t>
        </is>
      </c>
      <c r="J525" t="inlineStr">
        <is>
          <t>Neutral</t>
        </is>
      </c>
      <c r="K525" t="inlineStr">
        <is>
          <t>Medium</t>
        </is>
      </c>
      <c r="L525" t="inlineStr">
        <is>
          <t>Minor Inconvenience</t>
        </is>
      </c>
      <c r="M525" t="inlineStr">
        <is>
          <t>int_sso</t>
        </is>
      </c>
      <c r="N525" t="inlineStr">
        <is>
          <t>SSO and provisioning</t>
        </is>
      </c>
      <c r="O525" t="inlineStr">
        <is>
          <t>2026-02</t>
        </is>
      </c>
    </row>
    <row r="526">
      <c r="A526" t="inlineStr">
        <is>
          <t>FB-00525</t>
        </is>
      </c>
      <c r="B526" t="inlineStr">
        <is>
          <t>CUST-0278</t>
        </is>
      </c>
      <c r="C526" s="11" t="n">
        <v>46076</v>
      </c>
      <c r="D526" t="inlineStr">
        <is>
          <t>Support Ticket</t>
        </is>
      </c>
      <c r="E526" t="inlineStr">
        <is>
          <t>Professional</t>
        </is>
      </c>
      <c r="F526" t="inlineStr">
        <is>
          <t>Mid-Market</t>
        </is>
      </c>
      <c r="G526" t="inlineStr">
        <is>
          <t>Workflow Automation</t>
        </is>
      </c>
      <c r="H526" t="inlineStr">
        <is>
          <t>Bug</t>
        </is>
      </c>
      <c r="I526" t="inlineStr">
        <is>
          <t>Since the last release we've had workflow runs failing silently and tasks are being created twice. We estimate we lose roughly 3 hours a month on this. Please look into it soon.</t>
        </is>
      </c>
      <c r="J526" t="inlineStr">
        <is>
          <t>Negative</t>
        </is>
      </c>
      <c r="K526" t="inlineStr">
        <is>
          <t>High</t>
        </is>
      </c>
      <c r="L526" t="inlineStr">
        <is>
          <t>Blocks Key Task</t>
        </is>
      </c>
      <c r="M526" t="inlineStr">
        <is>
          <t>wf_fail</t>
        </is>
      </c>
      <c r="N526" t="inlineStr">
        <is>
          <t>Workflows failing silently</t>
        </is>
      </c>
      <c r="O526" t="inlineStr">
        <is>
          <t>2026-02</t>
        </is>
      </c>
    </row>
    <row r="527">
      <c r="A527" t="inlineStr">
        <is>
          <t>FB-00526</t>
        </is>
      </c>
      <c r="B527" t="inlineStr">
        <is>
          <t>CUST-0273</t>
        </is>
      </c>
      <c r="C527" s="11" t="n">
        <v>46076</v>
      </c>
      <c r="D527" t="inlineStr">
        <is>
          <t>Feature Request</t>
        </is>
      </c>
      <c r="E527" t="inlineStr">
        <is>
          <t>Professional</t>
        </is>
      </c>
      <c r="F527" t="inlineStr">
        <is>
          <t>Mid-Market</t>
        </is>
      </c>
      <c r="G527" t="inlineStr">
        <is>
          <t>Contact Management</t>
        </is>
      </c>
      <c r="H527" t="inlineStr">
        <is>
          <t>Bug</t>
        </is>
      </c>
      <c r="I527" t="inlineStr">
        <is>
          <t>The import field mapping rejects files with accented characters in names. It affects our month-end reporting process every cycle.</t>
        </is>
      </c>
      <c r="J527" t="inlineStr">
        <is>
          <t>Negative</t>
        </is>
      </c>
      <c r="K527" t="inlineStr">
        <is>
          <t>High</t>
        </is>
      </c>
      <c r="L527" t="inlineStr">
        <is>
          <t>Revenue/Operations Risk</t>
        </is>
      </c>
      <c r="M527" t="inlineStr">
        <is>
          <t>contact_import</t>
        </is>
      </c>
      <c r="N527" t="inlineStr">
        <is>
          <t>Unreliable contact imports</t>
        </is>
      </c>
      <c r="O527" t="inlineStr">
        <is>
          <t>2026-02</t>
        </is>
      </c>
    </row>
    <row r="528">
      <c r="A528" t="inlineStr">
        <is>
          <t>FB-00527</t>
        </is>
      </c>
      <c r="B528" t="inlineStr">
        <is>
          <t>CUST-0146</t>
        </is>
      </c>
      <c r="C528" s="11" t="n">
        <v>46076</v>
      </c>
      <c r="D528" t="inlineStr">
        <is>
          <t>Support Ticket</t>
        </is>
      </c>
      <c r="E528" t="inlineStr">
        <is>
          <t>Starter</t>
        </is>
      </c>
      <c r="F528" t="inlineStr">
        <is>
          <t>SMB</t>
        </is>
      </c>
      <c r="G528" t="inlineStr">
        <is>
          <t>Reporting</t>
        </is>
      </c>
      <c r="H528" t="inlineStr">
        <is>
          <t>Performance Issue</t>
        </is>
      </c>
      <c r="I528" t="inlineStr">
        <is>
          <t>Our dashboard loading spins for a minute before showing any chart. It affects our month-end reporting process every cycle. Let us know if you need examples.</t>
        </is>
      </c>
      <c r="J528" t="inlineStr">
        <is>
          <t>Neutral</t>
        </is>
      </c>
      <c r="K528" t="inlineStr">
        <is>
          <t>Medium</t>
        </is>
      </c>
      <c r="L528" t="inlineStr">
        <is>
          <t>Minor Inconvenience</t>
        </is>
      </c>
      <c r="M528" t="inlineStr">
        <is>
          <t>rep_slow</t>
        </is>
      </c>
      <c r="N528" t="inlineStr">
        <is>
          <t>Slow dashboards</t>
        </is>
      </c>
      <c r="O528" t="inlineStr">
        <is>
          <t>2026-02</t>
        </is>
      </c>
    </row>
    <row r="529">
      <c r="A529" t="inlineStr">
        <is>
          <t>FB-00528</t>
        </is>
      </c>
      <c r="B529" t="inlineStr">
        <is>
          <t>CUST-0015</t>
        </is>
      </c>
      <c r="C529" s="11" t="n">
        <v>46076</v>
      </c>
      <c r="D529" t="inlineStr">
        <is>
          <t>Support Ticket</t>
        </is>
      </c>
      <c r="E529" t="inlineStr">
        <is>
          <t>Professional</t>
        </is>
      </c>
      <c r="F529" t="inlineStr">
        <is>
          <t>Mid-Market</t>
        </is>
      </c>
      <c r="G529" t="inlineStr">
        <is>
          <t>Workflow Automation</t>
        </is>
      </c>
      <c r="H529" t="inlineStr">
        <is>
          <t>Bug</t>
        </is>
      </c>
      <c r="I529" t="inlineStr">
        <is>
          <t>FYI for the product team. Since the last release we've had workflow failures and tasks are being created twice. So far 116 people on our side have reported it. Happy to join a feedback call.</t>
        </is>
      </c>
      <c r="J529" t="inlineStr">
        <is>
          <t>Neutral</t>
        </is>
      </c>
      <c r="K529" t="inlineStr">
        <is>
          <t>Medium</t>
        </is>
      </c>
      <c r="L529" t="inlineStr">
        <is>
          <t>Minor Inconvenience</t>
        </is>
      </c>
      <c r="M529" t="inlineStr">
        <is>
          <t>wf_fail</t>
        </is>
      </c>
      <c r="N529" t="inlineStr">
        <is>
          <t>Workflows failing silently</t>
        </is>
      </c>
      <c r="O529" t="inlineStr">
        <is>
          <t>2026-02</t>
        </is>
      </c>
    </row>
    <row r="530">
      <c r="A530" t="inlineStr">
        <is>
          <t>FB-00529</t>
        </is>
      </c>
      <c r="B530" t="inlineStr">
        <is>
          <t>CUST-0216</t>
        </is>
      </c>
      <c r="C530" s="11" t="n">
        <v>46077</v>
      </c>
      <c r="D530" t="inlineStr">
        <is>
          <t>Feature Request</t>
        </is>
      </c>
      <c r="E530" t="inlineStr">
        <is>
          <t>Starter</t>
        </is>
      </c>
      <c r="F530" t="inlineStr">
        <is>
          <t>Mid-Market</t>
        </is>
      </c>
      <c r="G530" t="inlineStr">
        <is>
          <t>Reporting</t>
        </is>
      </c>
      <c r="H530" t="inlineStr">
        <is>
          <t>Feature Request</t>
        </is>
      </c>
      <c r="I530" t="inlineStr">
        <is>
          <t>FYI for the product team. Without a custom report builder we export raw data and rebuild everything elsewhere. We estimate we lose roughly 11 hours a month on this. Let us know if you need examples.</t>
        </is>
      </c>
      <c r="J530" t="inlineStr">
        <is>
          <t>Neutral</t>
        </is>
      </c>
      <c r="K530" t="inlineStr">
        <is>
          <t>Medium</t>
        </is>
      </c>
      <c r="L530" t="inlineStr">
        <is>
          <t>Blocks Key Task</t>
        </is>
      </c>
      <c r="M530" t="inlineStr">
        <is>
          <t>rep_custom</t>
        </is>
      </c>
      <c r="N530" t="inlineStr">
        <is>
          <t>Custom and scheduled reports</t>
        </is>
      </c>
      <c r="O530" t="inlineStr">
        <is>
          <t>2026-02</t>
        </is>
      </c>
    </row>
    <row r="531">
      <c r="A531" t="inlineStr">
        <is>
          <t>FB-00530</t>
        </is>
      </c>
      <c r="B531" t="inlineStr">
        <is>
          <t>CUST-0226</t>
        </is>
      </c>
      <c r="C531" s="11" t="n">
        <v>46077</v>
      </c>
      <c r="D531" t="inlineStr">
        <is>
          <t>Customer Survey</t>
        </is>
      </c>
      <c r="E531" t="inlineStr">
        <is>
          <t>Professional</t>
        </is>
      </c>
      <c r="F531" t="inlineStr">
        <is>
          <t>Enterprise</t>
        </is>
      </c>
      <c r="G531" t="inlineStr">
        <is>
          <t>Integrations</t>
        </is>
      </c>
      <c r="H531" t="inlineStr">
        <is>
          <t>Integration Issue</t>
        </is>
      </c>
      <c r="I531" t="inlineStr">
        <is>
          <t>Not what we expected for the price. After the token expires, Outlook calendar sync stops with no warning. We need a fix before renewal.</t>
        </is>
      </c>
      <c r="J531" t="inlineStr">
        <is>
          <t>Negative</t>
        </is>
      </c>
      <c r="K531" t="inlineStr">
        <is>
          <t>Medium</t>
        </is>
      </c>
      <c r="L531" t="inlineStr">
        <is>
          <t>Minor Inconvenience</t>
        </is>
      </c>
      <c r="M531" t="inlineStr">
        <is>
          <t>int_email</t>
        </is>
      </c>
      <c r="N531" t="inlineStr">
        <is>
          <t>Email and calendar sync drops</t>
        </is>
      </c>
      <c r="O531" t="inlineStr">
        <is>
          <t>2026-02</t>
        </is>
      </c>
    </row>
    <row r="532">
      <c r="A532" t="inlineStr">
        <is>
          <t>FB-00531</t>
        </is>
      </c>
      <c r="B532" t="inlineStr">
        <is>
          <t>CUST-0381</t>
        </is>
      </c>
      <c r="C532" s="11" t="n">
        <v>46077</v>
      </c>
      <c r="D532" t="inlineStr">
        <is>
          <t>In-App Feedback</t>
        </is>
      </c>
      <c r="E532" t="inlineStr">
        <is>
          <t>Professional</t>
        </is>
      </c>
      <c r="F532" t="inlineStr">
        <is>
          <t>Mid-Market</t>
        </is>
      </c>
      <c r="G532" t="inlineStr">
        <is>
          <t>User Interface</t>
        </is>
      </c>
      <c r="H532" t="inlineStr">
        <is>
          <t>Usability Issue</t>
        </is>
      </c>
      <c r="I532" t="inlineStr">
        <is>
          <t>Feedback from our monthly review. The settings navigation changed and nobody told us where things moved. Let us know if you need examples.</t>
        </is>
      </c>
      <c r="J532" t="inlineStr">
        <is>
          <t>Neutral</t>
        </is>
      </c>
      <c r="K532" t="inlineStr">
        <is>
          <t>Low</t>
        </is>
      </c>
      <c r="L532" t="inlineStr">
        <is>
          <t>Minor Inconvenience</t>
        </is>
      </c>
      <c r="M532" t="inlineStr">
        <is>
          <t>ui_nav</t>
        </is>
      </c>
      <c r="N532" t="inlineStr">
        <is>
          <t>Cluttered navigation</t>
        </is>
      </c>
      <c r="O532" t="inlineStr">
        <is>
          <t>2026-02</t>
        </is>
      </c>
    </row>
    <row r="533">
      <c r="A533" t="inlineStr">
        <is>
          <t>FB-00532</t>
        </is>
      </c>
      <c r="B533" t="inlineStr">
        <is>
          <t>CUST-0307</t>
        </is>
      </c>
      <c r="C533" s="11" t="n">
        <v>46077</v>
      </c>
      <c r="D533" t="inlineStr">
        <is>
          <t>Support Ticket</t>
        </is>
      </c>
      <c r="E533" t="inlineStr">
        <is>
          <t>Starter</t>
        </is>
      </c>
      <c r="F533" t="inlineStr">
        <is>
          <t>SMB</t>
        </is>
      </c>
      <c r="G533" t="inlineStr">
        <is>
          <t>Contact Management</t>
        </is>
      </c>
      <c r="H533" t="inlineStr">
        <is>
          <t>Bug</t>
        </is>
      </c>
      <c r="I533" t="inlineStr">
        <is>
          <t>Escalating on behalf of our ops lead. The contact CSV import fails halfway through with a generic error and no row-level detail. We estimate we lose roughly 7 hours a month on this. Please look into it soon.</t>
        </is>
      </c>
      <c r="J533" t="inlineStr">
        <is>
          <t>Negative</t>
        </is>
      </c>
      <c r="K533" t="inlineStr">
        <is>
          <t>High</t>
        </is>
      </c>
      <c r="L533" t="inlineStr">
        <is>
          <t>Workflow Slowdown</t>
        </is>
      </c>
      <c r="M533" t="inlineStr">
        <is>
          <t>contact_import</t>
        </is>
      </c>
      <c r="N533" t="inlineStr">
        <is>
          <t>Unreliable contact imports</t>
        </is>
      </c>
      <c r="O533" t="inlineStr">
        <is>
          <t>2026-02</t>
        </is>
      </c>
    </row>
    <row r="534">
      <c r="A534" t="inlineStr">
        <is>
          <t>FB-00533</t>
        </is>
      </c>
      <c r="B534" t="inlineStr">
        <is>
          <t>CUST-0128</t>
        </is>
      </c>
      <c r="C534" s="11" t="n">
        <v>46077</v>
      </c>
      <c r="D534" t="inlineStr">
        <is>
          <t>Support Ticket</t>
        </is>
      </c>
      <c r="E534" t="inlineStr">
        <is>
          <t>Professional</t>
        </is>
      </c>
      <c r="F534" t="inlineStr">
        <is>
          <t>SMB</t>
        </is>
      </c>
      <c r="G534" t="inlineStr">
        <is>
          <t>Integrations</t>
        </is>
      </c>
      <c r="H534" t="inlineStr">
        <is>
          <t>Integration Issue</t>
        </is>
      </c>
      <c r="I534" t="inlineStr">
        <is>
          <t>Escalating on behalf of our ops lead. Webhook delivery is unreliable and there is no retry or log we can inspect. It happens about 12 times a week for our team of 63. Support suggested logging it here.</t>
        </is>
      </c>
      <c r="J534" t="inlineStr">
        <is>
          <t>Negative</t>
        </is>
      </c>
      <c r="K534" t="inlineStr">
        <is>
          <t>Low</t>
        </is>
      </c>
      <c r="L534" t="inlineStr">
        <is>
          <t>Minor Inconvenience</t>
        </is>
      </c>
      <c r="M534" t="inlineStr">
        <is>
          <t>int_api</t>
        </is>
      </c>
      <c r="N534" t="inlineStr">
        <is>
          <t>API limits and webhook failures</t>
        </is>
      </c>
      <c r="O534" t="inlineStr">
        <is>
          <t>2026-02</t>
        </is>
      </c>
    </row>
    <row r="535">
      <c r="A535" t="inlineStr">
        <is>
          <t>FB-00534</t>
        </is>
      </c>
      <c r="B535" t="inlineStr">
        <is>
          <t>CUST-0306</t>
        </is>
      </c>
      <c r="C535" s="11" t="n">
        <v>46077</v>
      </c>
      <c r="D535" t="inlineStr">
        <is>
          <t>Customer Survey</t>
        </is>
      </c>
      <c r="E535" t="inlineStr">
        <is>
          <t>Professional</t>
        </is>
      </c>
      <c r="F535" t="inlineStr">
        <is>
          <t>SMB</t>
        </is>
      </c>
      <c r="G535" t="inlineStr">
        <is>
          <t>Lead Management</t>
        </is>
      </c>
      <c r="H535" t="inlineStr">
        <is>
          <t>Feature Request</t>
        </is>
      </c>
      <c r="I535" t="inlineStr">
        <is>
          <t>Happy with most of the product. Right now reps rank leads by gut feel; lead scoring rules would fix that. So far 114 people on our side have reported it.</t>
        </is>
      </c>
      <c r="J535" t="inlineStr">
        <is>
          <t>Positive</t>
        </is>
      </c>
      <c r="K535" t="inlineStr">
        <is>
          <t>Low</t>
        </is>
      </c>
      <c r="L535" t="inlineStr">
        <is>
          <t>Workflow Slowdown</t>
        </is>
      </c>
      <c r="M535" t="inlineStr">
        <is>
          <t>lead_score</t>
        </is>
      </c>
      <c r="N535" t="inlineStr">
        <is>
          <t>Automated lead scoring</t>
        </is>
      </c>
      <c r="O535" t="inlineStr">
        <is>
          <t>2026-02</t>
        </is>
      </c>
    </row>
    <row r="536">
      <c r="A536" t="inlineStr">
        <is>
          <t>FB-00535</t>
        </is>
      </c>
      <c r="B536" t="inlineStr">
        <is>
          <t>CUST-0278</t>
        </is>
      </c>
      <c r="C536" s="11" t="n">
        <v>46078</v>
      </c>
      <c r="D536" t="inlineStr">
        <is>
          <t>Support Ticket</t>
        </is>
      </c>
      <c r="E536" t="inlineStr">
        <is>
          <t>Professional</t>
        </is>
      </c>
      <c r="F536" t="inlineStr">
        <is>
          <t>Mid-Market</t>
        </is>
      </c>
      <c r="G536" t="inlineStr">
        <is>
          <t>Reporting</t>
        </is>
      </c>
      <c r="H536" t="inlineStr">
        <is>
          <t>Bug</t>
        </is>
      </c>
      <c r="I536" t="inlineStr">
        <is>
          <t>Escalating on behalf of our ops lead. Finance can't rely on the report export; totals don't match the screen. Our customer success lead flagged it while onboarding 62 new users. Is there a workaround?</t>
        </is>
      </c>
      <c r="J536" t="inlineStr">
        <is>
          <t>Negative</t>
        </is>
      </c>
      <c r="K536" t="inlineStr">
        <is>
          <t>Medium</t>
        </is>
      </c>
      <c r="L536" t="inlineStr">
        <is>
          <t>Workflow Slowdown</t>
        </is>
      </c>
      <c r="M536" t="inlineStr">
        <is>
          <t>rep_export</t>
        </is>
      </c>
      <c r="N536" t="inlineStr">
        <is>
          <t>Broken report exports</t>
        </is>
      </c>
      <c r="O536" t="inlineStr">
        <is>
          <t>2026-02</t>
        </is>
      </c>
    </row>
    <row r="537">
      <c r="A537" t="inlineStr">
        <is>
          <t>FB-00536</t>
        </is>
      </c>
      <c r="B537" t="inlineStr">
        <is>
          <t>CUST-0288</t>
        </is>
      </c>
      <c r="C537" s="11" t="n">
        <v>46078</v>
      </c>
      <c r="D537" t="inlineStr">
        <is>
          <t>Feature Request</t>
        </is>
      </c>
      <c r="E537" t="inlineStr">
        <is>
          <t>Professional</t>
        </is>
      </c>
      <c r="F537" t="inlineStr">
        <is>
          <t>Mid-Market</t>
        </is>
      </c>
      <c r="G537" t="inlineStr">
        <is>
          <t>Reporting</t>
        </is>
      </c>
      <c r="H537" t="inlineStr">
        <is>
          <t>Feature Request</t>
        </is>
      </c>
      <c r="I537" t="inlineStr">
        <is>
          <t>Feedback from our monthly review. Please add scheduled report emails; today an analyst rebuilds the same report every week. It happens about 17 times a week for our team of 58. Happy to join a feedback call.</t>
        </is>
      </c>
      <c r="J537" t="inlineStr">
        <is>
          <t>Neutral</t>
        </is>
      </c>
      <c r="K537" t="inlineStr">
        <is>
          <t>Low</t>
        </is>
      </c>
      <c r="L537" t="inlineStr">
        <is>
          <t>Minor Inconvenience</t>
        </is>
      </c>
      <c r="M537" t="inlineStr">
        <is>
          <t>rep_custom</t>
        </is>
      </c>
      <c r="N537" t="inlineStr">
        <is>
          <t>Custom and scheduled reports</t>
        </is>
      </c>
      <c r="O537" t="inlineStr">
        <is>
          <t>2026-02</t>
        </is>
      </c>
    </row>
    <row r="538">
      <c r="A538" t="inlineStr">
        <is>
          <t>FB-00537</t>
        </is>
      </c>
      <c r="B538" t="inlineStr">
        <is>
          <t>CUST-0315</t>
        </is>
      </c>
      <c r="C538" s="11" t="n">
        <v>46079</v>
      </c>
      <c r="D538" t="inlineStr">
        <is>
          <t>Support Ticket</t>
        </is>
      </c>
      <c r="E538" t="inlineStr">
        <is>
          <t>Professional</t>
        </is>
      </c>
      <c r="F538" t="inlineStr">
        <is>
          <t>SMB</t>
        </is>
      </c>
      <c r="G538" t="inlineStr">
        <is>
          <t>Workflow Automation</t>
        </is>
      </c>
      <c r="H538" t="inlineStr">
        <is>
          <t>Bug</t>
        </is>
      </c>
      <c r="I538" t="inlineStr">
        <is>
          <t>Escalating on behalf of our ops lead. Several workflow runs failing silently left deals stuck in the wrong stage. Please look into it soon.</t>
        </is>
      </c>
      <c r="J538" t="inlineStr">
        <is>
          <t>Negative</t>
        </is>
      </c>
      <c r="K538" t="inlineStr">
        <is>
          <t>Medium</t>
        </is>
      </c>
      <c r="L538" t="inlineStr">
        <is>
          <t>Blocks Key Task</t>
        </is>
      </c>
      <c r="M538" t="inlineStr">
        <is>
          <t>wf_fail</t>
        </is>
      </c>
      <c r="N538" t="inlineStr">
        <is>
          <t>Workflows failing silently</t>
        </is>
      </c>
      <c r="O538" t="inlineStr">
        <is>
          <t>2026-02</t>
        </is>
      </c>
    </row>
    <row r="539">
      <c r="A539" t="inlineStr">
        <is>
          <t>FB-00538</t>
        </is>
      </c>
      <c r="B539" t="inlineStr">
        <is>
          <t>CUST-0394</t>
        </is>
      </c>
      <c r="C539" s="11" t="n">
        <v>46079</v>
      </c>
      <c r="D539" t="inlineStr">
        <is>
          <t>Feature Request</t>
        </is>
      </c>
      <c r="E539" t="inlineStr">
        <is>
          <t>Enterprise</t>
        </is>
      </c>
      <c r="F539" t="inlineStr">
        <is>
          <t>Enterprise</t>
        </is>
      </c>
      <c r="G539" t="inlineStr">
        <is>
          <t>Integrations</t>
        </is>
      </c>
      <c r="H539" t="inlineStr">
        <is>
          <t>Feature Request</t>
        </is>
      </c>
      <c r="I539" t="inlineStr">
        <is>
          <t>Requesting SCIM provisioning for our compliance audit. So far 77 people on our side have reported it.</t>
        </is>
      </c>
      <c r="J539" t="inlineStr">
        <is>
          <t>Negative</t>
        </is>
      </c>
      <c r="K539" t="inlineStr">
        <is>
          <t>Low</t>
        </is>
      </c>
      <c r="L539" t="inlineStr">
        <is>
          <t>Minor Inconvenience</t>
        </is>
      </c>
      <c r="M539" t="inlineStr">
        <is>
          <t>int_sso</t>
        </is>
      </c>
      <c r="N539" t="inlineStr">
        <is>
          <t>SSO and provisioning</t>
        </is>
      </c>
      <c r="O539" t="inlineStr">
        <is>
          <t>2026-02</t>
        </is>
      </c>
    </row>
    <row r="540">
      <c r="A540" t="inlineStr">
        <is>
          <t>FB-00539</t>
        </is>
      </c>
      <c r="B540" t="inlineStr">
        <is>
          <t>CUST-0387</t>
        </is>
      </c>
      <c r="C540" s="11" t="n">
        <v>46079</v>
      </c>
      <c r="D540" t="inlineStr">
        <is>
          <t>In-App Feedback</t>
        </is>
      </c>
      <c r="E540" t="inlineStr">
        <is>
          <t>Starter</t>
        </is>
      </c>
      <c r="F540" t="inlineStr">
        <is>
          <t>SMB</t>
        </is>
      </c>
      <c r="G540" t="inlineStr">
        <is>
          <t>Lead Management</t>
        </is>
      </c>
      <c r="H540" t="inlineStr">
        <is>
          <t>Performance Issue</t>
        </is>
      </c>
      <c r="I540" t="inlineStr">
        <is>
          <t>The lead view load times gets very slow once we pass a few thousand open leads. It happens about 38 times a week for our team of 46. Thanks to the team.</t>
        </is>
      </c>
      <c r="J540" t="inlineStr">
        <is>
          <t>Positive</t>
        </is>
      </c>
      <c r="K540" t="inlineStr">
        <is>
          <t>Low</t>
        </is>
      </c>
      <c r="L540" t="inlineStr">
        <is>
          <t>Minor Inconvenience</t>
        </is>
      </c>
      <c r="M540" t="inlineStr">
        <is>
          <t>lead_slow</t>
        </is>
      </c>
      <c r="N540" t="inlineStr">
        <is>
          <t>Slow lead lists and pipeline board</t>
        </is>
      </c>
      <c r="O540" t="inlineStr">
        <is>
          <t>2026-02</t>
        </is>
      </c>
    </row>
    <row r="541">
      <c r="A541" t="inlineStr">
        <is>
          <t>FB-00540</t>
        </is>
      </c>
      <c r="B541" t="inlineStr">
        <is>
          <t>CUST-0080</t>
        </is>
      </c>
      <c r="C541" s="11" t="n">
        <v>46079</v>
      </c>
      <c r="D541" t="inlineStr">
        <is>
          <t>Support Ticket</t>
        </is>
      </c>
      <c r="E541" t="inlineStr">
        <is>
          <t>Professional</t>
        </is>
      </c>
      <c r="F541" t="inlineStr">
        <is>
          <t>Mid-Market</t>
        </is>
      </c>
      <c r="G541" t="inlineStr">
        <is>
          <t>Workflow Automation</t>
        </is>
      </c>
      <c r="H541" t="inlineStr">
        <is>
          <t>Bug</t>
        </is>
      </c>
      <c r="I541" t="inlineStr">
        <is>
          <t>We are hitting automation misfires: emails don't send and nobody gets notified. So far 11 people on our side have reported it. We need a fix before renewal.</t>
        </is>
      </c>
      <c r="J541" t="inlineStr">
        <is>
          <t>Negative</t>
        </is>
      </c>
      <c r="K541" t="inlineStr">
        <is>
          <t>Medium</t>
        </is>
      </c>
      <c r="L541" t="inlineStr">
        <is>
          <t>Minor Inconvenience</t>
        </is>
      </c>
      <c r="M541" t="inlineStr">
        <is>
          <t>wf_fail</t>
        </is>
      </c>
      <c r="N541" t="inlineStr">
        <is>
          <t>Workflows failing silently</t>
        </is>
      </c>
      <c r="O541" t="inlineStr">
        <is>
          <t>2026-02</t>
        </is>
      </c>
    </row>
    <row r="542">
      <c r="A542" t="inlineStr">
        <is>
          <t>FB-00541</t>
        </is>
      </c>
      <c r="B542" t="inlineStr">
        <is>
          <t>CUST-0007</t>
        </is>
      </c>
      <c r="C542" s="11" t="n">
        <v>46079</v>
      </c>
      <c r="D542" t="inlineStr">
        <is>
          <t>In-App Feedback</t>
        </is>
      </c>
      <c r="E542" t="inlineStr">
        <is>
          <t>Professional</t>
        </is>
      </c>
      <c r="F542" t="inlineStr">
        <is>
          <t>SMB</t>
        </is>
      </c>
      <c r="G542" t="inlineStr">
        <is>
          <t>Lead Management</t>
        </is>
      </c>
      <c r="H542" t="inlineStr">
        <is>
          <t>Feature Request</t>
        </is>
      </c>
      <c r="I542" t="inlineStr">
        <is>
          <t>We need automated lead scoring so reps can focus on the prospects most likely to close. Our sales manager flagged it while onboarding 68 new users. Thanks to the team.</t>
        </is>
      </c>
      <c r="J542" t="inlineStr">
        <is>
          <t>Positive</t>
        </is>
      </c>
      <c r="K542" t="inlineStr">
        <is>
          <t>Low</t>
        </is>
      </c>
      <c r="L542" t="inlineStr">
        <is>
          <t>Minor Inconvenience</t>
        </is>
      </c>
      <c r="M542" t="inlineStr">
        <is>
          <t>lead_score</t>
        </is>
      </c>
      <c r="N542" t="inlineStr">
        <is>
          <t>Automated lead scoring</t>
        </is>
      </c>
      <c r="O542" t="inlineStr">
        <is>
          <t>2026-02</t>
        </is>
      </c>
    </row>
    <row r="543">
      <c r="A543" t="inlineStr">
        <is>
          <t>FB-00542</t>
        </is>
      </c>
      <c r="B543" t="inlineStr">
        <is>
          <t>CUST-0067</t>
        </is>
      </c>
      <c r="C543" s="11" t="n">
        <v>46080</v>
      </c>
      <c r="D543" t="inlineStr">
        <is>
          <t>In-App Feedback</t>
        </is>
      </c>
      <c r="E543" t="inlineStr">
        <is>
          <t>Professional</t>
        </is>
      </c>
      <c r="F543" t="inlineStr">
        <is>
          <t>Mid-Market</t>
        </is>
      </c>
      <c r="G543" t="inlineStr">
        <is>
          <t>User Interface</t>
        </is>
      </c>
      <c r="H543" t="inlineStr">
        <is>
          <t>Feature Request</t>
        </is>
      </c>
      <c r="I543" t="inlineStr">
        <is>
          <t>Not what we expected for the price. Requesting mobile call logging so reps can log activity right after a meeting. Please look into it soon.</t>
        </is>
      </c>
      <c r="J543" t="inlineStr">
        <is>
          <t>Negative</t>
        </is>
      </c>
      <c r="K543" t="inlineStr">
        <is>
          <t>Low</t>
        </is>
      </c>
      <c r="L543" t="inlineStr">
        <is>
          <t>Minor Inconvenience</t>
        </is>
      </c>
      <c r="M543" t="inlineStr">
        <is>
          <t>ui_mobile</t>
        </is>
      </c>
      <c r="N543" t="inlineStr">
        <is>
          <t>Mobile app</t>
        </is>
      </c>
      <c r="O543" t="inlineStr">
        <is>
          <t>2026-02</t>
        </is>
      </c>
    </row>
    <row r="544">
      <c r="A544" t="inlineStr">
        <is>
          <t>FB-00543</t>
        </is>
      </c>
      <c r="B544" t="inlineStr">
        <is>
          <t>CUST-0195</t>
        </is>
      </c>
      <c r="C544" s="11" t="n">
        <v>46080</v>
      </c>
      <c r="D544" t="inlineStr">
        <is>
          <t>Support Ticket</t>
        </is>
      </c>
      <c r="E544" t="inlineStr">
        <is>
          <t>Professional</t>
        </is>
      </c>
      <c r="F544" t="inlineStr">
        <is>
          <t>SMB</t>
        </is>
      </c>
      <c r="G544" t="inlineStr">
        <is>
          <t>Workflow Automation</t>
        </is>
      </c>
      <c r="H544" t="inlineStr">
        <is>
          <t>Bug</t>
        </is>
      </c>
      <c r="I544" t="inlineStr">
        <is>
          <t>Escalating on behalf of our ops lead. Several workflow runs failing silently left deals stuck in the wrong stage. It happens about 25 times a week for our team of 15.</t>
        </is>
      </c>
      <c r="J544" t="inlineStr">
        <is>
          <t>Negative</t>
        </is>
      </c>
      <c r="K544" t="inlineStr">
        <is>
          <t>Medium</t>
        </is>
      </c>
      <c r="L544" t="inlineStr">
        <is>
          <t>Workflow Slowdown</t>
        </is>
      </c>
      <c r="M544" t="inlineStr">
        <is>
          <t>wf_fail</t>
        </is>
      </c>
      <c r="N544" t="inlineStr">
        <is>
          <t>Workflows failing silently</t>
        </is>
      </c>
      <c r="O544" t="inlineStr">
        <is>
          <t>2026-02</t>
        </is>
      </c>
    </row>
    <row r="545">
      <c r="A545" t="inlineStr">
        <is>
          <t>FB-00544</t>
        </is>
      </c>
      <c r="B545" t="inlineStr">
        <is>
          <t>CUST-0394</t>
        </is>
      </c>
      <c r="C545" s="11" t="n">
        <v>46080</v>
      </c>
      <c r="D545" t="inlineStr">
        <is>
          <t>Support Ticket</t>
        </is>
      </c>
      <c r="E545" t="inlineStr">
        <is>
          <t>Enterprise</t>
        </is>
      </c>
      <c r="F545" t="inlineStr">
        <is>
          <t>Enterprise</t>
        </is>
      </c>
      <c r="G545" t="inlineStr">
        <is>
          <t>Contact Management</t>
        </is>
      </c>
      <c r="H545" t="inlineStr">
        <is>
          <t>Feature Request</t>
        </is>
      </c>
      <c r="I545" t="inlineStr">
        <is>
          <t>Quick note from our admin. Please extend an account hierarchy view; the current limit is too small for our use case. It happens about 31 times a week for our team of 97.</t>
        </is>
      </c>
      <c r="J545" t="inlineStr">
        <is>
          <t>Neutral</t>
        </is>
      </c>
      <c r="K545" t="inlineStr">
        <is>
          <t>Low</t>
        </is>
      </c>
      <c r="L545" t="inlineStr">
        <is>
          <t>Minor Inconvenience</t>
        </is>
      </c>
      <c r="M545" t="inlineStr">
        <is>
          <t>contact_custom</t>
        </is>
      </c>
      <c r="N545" t="inlineStr">
        <is>
          <t>Custom fields and hierarchy</t>
        </is>
      </c>
      <c r="O545" t="inlineStr">
        <is>
          <t>2026-02</t>
        </is>
      </c>
    </row>
    <row r="546">
      <c r="A546" t="inlineStr">
        <is>
          <t>FB-00545</t>
        </is>
      </c>
      <c r="B546" t="inlineStr">
        <is>
          <t>CUST-0207</t>
        </is>
      </c>
      <c r="C546" s="11" t="n">
        <v>46080</v>
      </c>
      <c r="D546" t="inlineStr">
        <is>
          <t>Customer Survey</t>
        </is>
      </c>
      <c r="E546" t="inlineStr">
        <is>
          <t>Professional</t>
        </is>
      </c>
      <c r="F546" t="inlineStr">
        <is>
          <t>Mid-Market</t>
        </is>
      </c>
      <c r="G546" t="inlineStr">
        <is>
          <t>Contact Management</t>
        </is>
      </c>
      <c r="H546" t="inlineStr">
        <is>
          <t>Feature Request</t>
        </is>
      </c>
      <c r="I546" t="inlineStr">
        <is>
          <t>FYI for the product team. Please build contact de-duplication tooling with a preview of what will be combined. So far 93 people on our side have reported it. Let us know if you need examples.</t>
        </is>
      </c>
      <c r="J546" t="inlineStr">
        <is>
          <t>Neutral</t>
        </is>
      </c>
      <c r="K546" t="inlineStr">
        <is>
          <t>Low</t>
        </is>
      </c>
      <c r="L546" t="inlineStr">
        <is>
          <t>Minor Inconvenience</t>
        </is>
      </c>
      <c r="M546" t="inlineStr">
        <is>
          <t>contact_dedupe</t>
        </is>
      </c>
      <c r="N546" t="inlineStr">
        <is>
          <t>Bulk contact merge</t>
        </is>
      </c>
      <c r="O546" t="inlineStr">
        <is>
          <t>2026-02</t>
        </is>
      </c>
    </row>
    <row r="547">
      <c r="A547" t="inlineStr">
        <is>
          <t>FB-00546</t>
        </is>
      </c>
      <c r="B547" t="inlineStr">
        <is>
          <t>CUST-0339</t>
        </is>
      </c>
      <c r="C547" s="11" t="n">
        <v>46081</v>
      </c>
      <c r="D547" t="inlineStr">
        <is>
          <t>Feature Request</t>
        </is>
      </c>
      <c r="E547" t="inlineStr">
        <is>
          <t>Professional</t>
        </is>
      </c>
      <c r="F547" t="inlineStr">
        <is>
          <t>Mid-Market</t>
        </is>
      </c>
      <c r="G547" t="inlineStr">
        <is>
          <t>User Interface</t>
        </is>
      </c>
      <c r="H547" t="inlineStr">
        <is>
          <t>Feature Request</t>
        </is>
      </c>
      <c r="I547" t="inlineStr">
        <is>
          <t>We lose notes whenever reps are away from a desk without mobile call logging. So far 73 people on our side have reported it. Happy to join a feedback call.</t>
        </is>
      </c>
      <c r="J547" t="inlineStr">
        <is>
          <t>Neutral</t>
        </is>
      </c>
      <c r="K547" t="inlineStr">
        <is>
          <t>Low</t>
        </is>
      </c>
      <c r="L547" t="inlineStr">
        <is>
          <t>Minor Inconvenience</t>
        </is>
      </c>
      <c r="M547" t="inlineStr">
        <is>
          <t>ui_mobile</t>
        </is>
      </c>
      <c r="N547" t="inlineStr">
        <is>
          <t>Mobile app</t>
        </is>
      </c>
      <c r="O547" t="inlineStr">
        <is>
          <t>2026-02</t>
        </is>
      </c>
    </row>
    <row r="548">
      <c r="A548" t="inlineStr">
        <is>
          <t>FB-00547</t>
        </is>
      </c>
      <c r="B548" t="inlineStr">
        <is>
          <t>CUST-0128</t>
        </is>
      </c>
      <c r="C548" s="11" t="n">
        <v>46081</v>
      </c>
      <c r="D548" t="inlineStr">
        <is>
          <t>In-App Feedback</t>
        </is>
      </c>
      <c r="E548" t="inlineStr">
        <is>
          <t>Professional</t>
        </is>
      </c>
      <c r="F548" t="inlineStr">
        <is>
          <t>SMB</t>
        </is>
      </c>
      <c r="G548" t="inlineStr">
        <is>
          <t>Workflow Automation</t>
        </is>
      </c>
      <c r="H548" t="inlineStr">
        <is>
          <t>Bug</t>
        </is>
      </c>
      <c r="I548" t="inlineStr">
        <is>
          <t>Since the last release we've had workflow runs failing silently and tasks are being created twice. Our marketing ops owner flagged it while onboarding 16 new users. Please look into it soon.</t>
        </is>
      </c>
      <c r="J548" t="inlineStr">
        <is>
          <t>Negative</t>
        </is>
      </c>
      <c r="K548" t="inlineStr">
        <is>
          <t>Critical</t>
        </is>
      </c>
      <c r="L548" t="inlineStr">
        <is>
          <t>Revenue/Operations Risk</t>
        </is>
      </c>
      <c r="M548" t="inlineStr">
        <is>
          <t>wf_fail</t>
        </is>
      </c>
      <c r="N548" t="inlineStr">
        <is>
          <t>Workflows failing silently</t>
        </is>
      </c>
      <c r="O548" t="inlineStr">
        <is>
          <t>2026-02</t>
        </is>
      </c>
    </row>
    <row r="549">
      <c r="A549" t="inlineStr">
        <is>
          <t>FB-00548</t>
        </is>
      </c>
      <c r="B549" t="inlineStr">
        <is>
          <t>CUST-0375</t>
        </is>
      </c>
      <c r="C549" s="11" t="n">
        <v>46081</v>
      </c>
      <c r="D549" t="inlineStr">
        <is>
          <t>In-App Feedback</t>
        </is>
      </c>
      <c r="E549" t="inlineStr">
        <is>
          <t>Professional</t>
        </is>
      </c>
      <c r="F549" t="inlineStr">
        <is>
          <t>Mid-Market</t>
        </is>
      </c>
      <c r="G549" t="inlineStr">
        <is>
          <t>Lead Management</t>
        </is>
      </c>
      <c r="H549" t="inlineStr">
        <is>
          <t>Usability Issue</t>
        </is>
      </c>
      <c r="I549" t="inlineStr">
        <is>
          <t>We can't combine region and deal size in the lead routing rules. It happens about 28 times a week for our team of 61. Let us know if you need examples.</t>
        </is>
      </c>
      <c r="J549" t="inlineStr">
        <is>
          <t>Neutral</t>
        </is>
      </c>
      <c r="K549" t="inlineStr">
        <is>
          <t>Low</t>
        </is>
      </c>
      <c r="L549" t="inlineStr">
        <is>
          <t>Minor Inconvenience</t>
        </is>
      </c>
      <c r="M549" t="inlineStr">
        <is>
          <t>lead_assign</t>
        </is>
      </c>
      <c r="N549" t="inlineStr">
        <is>
          <t>Lead routing is inflexible</t>
        </is>
      </c>
      <c r="O549" t="inlineStr">
        <is>
          <t>2026-02</t>
        </is>
      </c>
    </row>
    <row r="550">
      <c r="A550" t="inlineStr">
        <is>
          <t>FB-00549</t>
        </is>
      </c>
      <c r="B550" t="inlineStr">
        <is>
          <t>CUST-0175</t>
        </is>
      </c>
      <c r="C550" s="11" t="n">
        <v>46081</v>
      </c>
      <c r="D550" t="inlineStr">
        <is>
          <t>Support Ticket</t>
        </is>
      </c>
      <c r="E550" t="inlineStr">
        <is>
          <t>Professional</t>
        </is>
      </c>
      <c r="F550" t="inlineStr">
        <is>
          <t>Mid-Market</t>
        </is>
      </c>
      <c r="G550" t="inlineStr">
        <is>
          <t>Workflow Automation</t>
        </is>
      </c>
      <c r="H550" t="inlineStr">
        <is>
          <t>Feature Request</t>
        </is>
      </c>
      <c r="I550" t="inlineStr">
        <is>
          <t>Recent updates have been a nice improvement. Competitors ship automation recipes; we are rebuilding the same flows from scratch. It happens about 19 times a week for our team of 107.</t>
        </is>
      </c>
      <c r="J550" t="inlineStr">
        <is>
          <t>Positive</t>
        </is>
      </c>
      <c r="K550" t="inlineStr">
        <is>
          <t>Low</t>
        </is>
      </c>
      <c r="L550" t="inlineStr">
        <is>
          <t>Minor Inconvenience</t>
        </is>
      </c>
      <c r="M550" t="inlineStr">
        <is>
          <t>wf_templates</t>
        </is>
      </c>
      <c r="N550" t="inlineStr">
        <is>
          <t>Workflow templates</t>
        </is>
      </c>
      <c r="O550" t="inlineStr">
        <is>
          <t>2026-02</t>
        </is>
      </c>
    </row>
    <row r="551">
      <c r="A551" t="inlineStr">
        <is>
          <t>FB-00550</t>
        </is>
      </c>
      <c r="B551" t="inlineStr">
        <is>
          <t>CUST-0216</t>
        </is>
      </c>
      <c r="C551" s="11" t="n">
        <v>46081</v>
      </c>
      <c r="D551" t="inlineStr">
        <is>
          <t>In-App Feedback</t>
        </is>
      </c>
      <c r="E551" t="inlineStr">
        <is>
          <t>Starter</t>
        </is>
      </c>
      <c r="F551" t="inlineStr">
        <is>
          <t>Mid-Market</t>
        </is>
      </c>
      <c r="G551" t="inlineStr">
        <is>
          <t>Workflow Automation</t>
        </is>
      </c>
      <c r="H551" t="inlineStr">
        <is>
          <t>Usability Issue</t>
        </is>
      </c>
      <c r="I551" t="inlineStr">
        <is>
          <t>Not what we expected for the price. I can't tell what a branch does in the workflow editor without opening every node. We estimate we lose roughly 50 hours a month on this.</t>
        </is>
      </c>
      <c r="J551" t="inlineStr">
        <is>
          <t>Negative</t>
        </is>
      </c>
      <c r="K551" t="inlineStr">
        <is>
          <t>Low</t>
        </is>
      </c>
      <c r="L551" t="inlineStr">
        <is>
          <t>Workflow Slowdown</t>
        </is>
      </c>
      <c r="M551" t="inlineStr">
        <is>
          <t>wf_builder</t>
        </is>
      </c>
      <c r="N551" t="inlineStr">
        <is>
          <t>Confusing workflow builder</t>
        </is>
      </c>
      <c r="O551" t="inlineStr">
        <is>
          <t>2026-02</t>
        </is>
      </c>
    </row>
    <row r="552">
      <c r="A552" t="inlineStr">
        <is>
          <t>FB-00551</t>
        </is>
      </c>
      <c r="B552" t="inlineStr">
        <is>
          <t>CUST-0253</t>
        </is>
      </c>
      <c r="C552" s="11" t="n">
        <v>46081</v>
      </c>
      <c r="D552" t="inlineStr">
        <is>
          <t>In-App Feedback</t>
        </is>
      </c>
      <c r="E552" t="inlineStr">
        <is>
          <t>Professional</t>
        </is>
      </c>
      <c r="F552" t="inlineStr">
        <is>
          <t>SMB</t>
        </is>
      </c>
      <c r="G552" t="inlineStr">
        <is>
          <t>Lead Management</t>
        </is>
      </c>
      <c r="H552" t="inlineStr">
        <is>
          <t>Bug</t>
        </is>
      </c>
      <c r="I552" t="inlineStr">
        <is>
          <t>This has been a recurring problem for us. We are seeing duplicate lead records when a lead arrives from both the website and a trade-show list. It affects our weekly pipeline review process every cycle. We need a fix before renewal.</t>
        </is>
      </c>
      <c r="J552" t="inlineStr">
        <is>
          <t>Negative</t>
        </is>
      </c>
      <c r="K552" t="inlineStr">
        <is>
          <t>Low</t>
        </is>
      </c>
      <c r="L552" t="inlineStr">
        <is>
          <t>Workflow Slowdown</t>
        </is>
      </c>
      <c r="M552" t="inlineStr">
        <is>
          <t>lead_dup</t>
        </is>
      </c>
      <c r="N552" t="inlineStr">
        <is>
          <t>Duplicate leads created</t>
        </is>
      </c>
      <c r="O552" t="inlineStr">
        <is>
          <t>2026-02</t>
        </is>
      </c>
    </row>
    <row r="553">
      <c r="A553" t="inlineStr">
        <is>
          <t>FB-00552</t>
        </is>
      </c>
      <c r="B553" t="inlineStr">
        <is>
          <t>CUST-0204</t>
        </is>
      </c>
      <c r="C553" s="11" t="n">
        <v>46083</v>
      </c>
      <c r="D553" t="inlineStr">
        <is>
          <t>Customer Survey</t>
        </is>
      </c>
      <c r="E553" t="inlineStr">
        <is>
          <t>Enterprise</t>
        </is>
      </c>
      <c r="F553" t="inlineStr">
        <is>
          <t>Enterprise</t>
        </is>
      </c>
      <c r="G553" t="inlineStr">
        <is>
          <t>Reporting</t>
        </is>
      </c>
      <c r="H553" t="inlineStr">
        <is>
          <t>Bug</t>
        </is>
      </c>
      <c r="I553" t="inlineStr">
        <is>
          <t>Raising this again after our last business review. The Excel export times out for date ranges longer than a quarter. We estimate we lose roughly 5 hours a month on this. Please look into it soon.</t>
        </is>
      </c>
      <c r="J553" t="inlineStr">
        <is>
          <t>Negative</t>
        </is>
      </c>
      <c r="K553" t="inlineStr">
        <is>
          <t>Critical</t>
        </is>
      </c>
      <c r="L553" t="inlineStr">
        <is>
          <t>Revenue/Operations Risk</t>
        </is>
      </c>
      <c r="M553" t="inlineStr">
        <is>
          <t>rep_export</t>
        </is>
      </c>
      <c r="N553" t="inlineStr">
        <is>
          <t>Broken report exports</t>
        </is>
      </c>
      <c r="O553" t="inlineStr">
        <is>
          <t>2026-03</t>
        </is>
      </c>
    </row>
    <row r="554">
      <c r="A554" t="inlineStr">
        <is>
          <t>FB-00553</t>
        </is>
      </c>
      <c r="B554" t="inlineStr">
        <is>
          <t>CUST-0237</t>
        </is>
      </c>
      <c r="C554" s="11" t="n">
        <v>46083</v>
      </c>
      <c r="D554" t="inlineStr">
        <is>
          <t>Feature Request</t>
        </is>
      </c>
      <c r="E554" t="inlineStr">
        <is>
          <t>Enterprise</t>
        </is>
      </c>
      <c r="F554" t="inlineStr">
        <is>
          <t>Mid-Market</t>
        </is>
      </c>
      <c r="G554" t="inlineStr">
        <is>
          <t>Reporting</t>
        </is>
      </c>
      <c r="H554" t="inlineStr">
        <is>
          <t>Feature Request</t>
        </is>
      </c>
      <c r="I554" t="inlineStr">
        <is>
          <t>Noting this during onboarding. Requesting scheduled report emails so leadership gets numbers without logging in. So far 3 people on our side have reported it.</t>
        </is>
      </c>
      <c r="J554" t="inlineStr">
        <is>
          <t>Neutral</t>
        </is>
      </c>
      <c r="K554" t="inlineStr">
        <is>
          <t>High</t>
        </is>
      </c>
      <c r="L554" t="inlineStr">
        <is>
          <t>Blocks Key Task</t>
        </is>
      </c>
      <c r="M554" t="inlineStr">
        <is>
          <t>rep_custom</t>
        </is>
      </c>
      <c r="N554" t="inlineStr">
        <is>
          <t>Custom and scheduled reports</t>
        </is>
      </c>
      <c r="O554" t="inlineStr">
        <is>
          <t>2026-03</t>
        </is>
      </c>
    </row>
    <row r="555">
      <c r="A555" t="inlineStr">
        <is>
          <t>FB-00554</t>
        </is>
      </c>
      <c r="B555" t="inlineStr">
        <is>
          <t>CUST-0198</t>
        </is>
      </c>
      <c r="C555" s="11" t="n">
        <v>46083</v>
      </c>
      <c r="D555" t="inlineStr">
        <is>
          <t>Support Ticket</t>
        </is>
      </c>
      <c r="E555" t="inlineStr">
        <is>
          <t>Starter</t>
        </is>
      </c>
      <c r="F555" t="inlineStr">
        <is>
          <t>SMB</t>
        </is>
      </c>
      <c r="G555" t="inlineStr">
        <is>
          <t>User Interface</t>
        </is>
      </c>
      <c r="H555" t="inlineStr">
        <is>
          <t>Feature Request</t>
        </is>
      </c>
      <c r="I555" t="inlineStr">
        <is>
          <t>Great support experience recently. We lose notes whenever reps are away from a desk without offline mobile access. It happens about 19 times a week for our team of 99. Thanks to the team.</t>
        </is>
      </c>
      <c r="J555" t="inlineStr">
        <is>
          <t>Positive</t>
        </is>
      </c>
      <c r="K555" t="inlineStr">
        <is>
          <t>Low</t>
        </is>
      </c>
      <c r="L555" t="inlineStr">
        <is>
          <t>Workflow Slowdown</t>
        </is>
      </c>
      <c r="M555" t="inlineStr">
        <is>
          <t>ui_mobile</t>
        </is>
      </c>
      <c r="N555" t="inlineStr">
        <is>
          <t>Mobile app</t>
        </is>
      </c>
      <c r="O555" t="inlineStr">
        <is>
          <t>2026-03</t>
        </is>
      </c>
    </row>
    <row r="556">
      <c r="A556" t="inlineStr">
        <is>
          <t>FB-00555</t>
        </is>
      </c>
      <c r="B556" t="inlineStr">
        <is>
          <t>CUST-0188</t>
        </is>
      </c>
      <c r="C556" s="11" t="n">
        <v>46083</v>
      </c>
      <c r="D556" t="inlineStr">
        <is>
          <t>Customer Survey</t>
        </is>
      </c>
      <c r="E556" t="inlineStr">
        <is>
          <t>Enterprise</t>
        </is>
      </c>
      <c r="F556" t="inlineStr">
        <is>
          <t>Mid-Market</t>
        </is>
      </c>
      <c r="G556" t="inlineStr">
        <is>
          <t>Integrations</t>
        </is>
      </c>
      <c r="H556" t="inlineStr">
        <is>
          <t>Feature Request</t>
        </is>
      </c>
      <c r="I556" t="inlineStr">
        <is>
          <t>This has been a recurring problem for us. Requesting SCIM provisioning for our compliance audit. Our marketing ops owner flagged it while onboarding 65 new users.</t>
        </is>
      </c>
      <c r="J556" t="inlineStr">
        <is>
          <t>Negative</t>
        </is>
      </c>
      <c r="K556" t="inlineStr">
        <is>
          <t>Medium</t>
        </is>
      </c>
      <c r="L556" t="inlineStr">
        <is>
          <t>Blocks Key Task</t>
        </is>
      </c>
      <c r="M556" t="inlineStr">
        <is>
          <t>int_sso</t>
        </is>
      </c>
      <c r="N556" t="inlineStr">
        <is>
          <t>SSO and provisioning</t>
        </is>
      </c>
      <c r="O556" t="inlineStr">
        <is>
          <t>2026-03</t>
        </is>
      </c>
    </row>
    <row r="557">
      <c r="A557" t="inlineStr">
        <is>
          <t>FB-00556</t>
        </is>
      </c>
      <c r="B557" t="inlineStr">
        <is>
          <t>CUST-0373</t>
        </is>
      </c>
      <c r="C557" s="11" t="n">
        <v>46084</v>
      </c>
      <c r="D557" t="inlineStr">
        <is>
          <t>Support Ticket</t>
        </is>
      </c>
      <c r="E557" t="inlineStr">
        <is>
          <t>Starter</t>
        </is>
      </c>
      <c r="F557" t="inlineStr">
        <is>
          <t>SMB</t>
        </is>
      </c>
      <c r="G557" t="inlineStr">
        <is>
          <t>Contact Management</t>
        </is>
      </c>
      <c r="H557" t="inlineStr">
        <is>
          <t>Bug</t>
        </is>
      </c>
      <c r="I557" t="inlineStr">
        <is>
          <t>Escalating on behalf of our ops lead. The contact CSV import fails halfway through with a generic error and no row-level detail. We need a fix before renewal.</t>
        </is>
      </c>
      <c r="J557" t="inlineStr">
        <is>
          <t>Negative</t>
        </is>
      </c>
      <c r="K557" t="inlineStr">
        <is>
          <t>Medium</t>
        </is>
      </c>
      <c r="L557" t="inlineStr">
        <is>
          <t>Workflow Slowdown</t>
        </is>
      </c>
      <c r="M557" t="inlineStr">
        <is>
          <t>contact_import</t>
        </is>
      </c>
      <c r="N557" t="inlineStr">
        <is>
          <t>Unreliable contact imports</t>
        </is>
      </c>
      <c r="O557" t="inlineStr">
        <is>
          <t>2026-03</t>
        </is>
      </c>
    </row>
    <row r="558">
      <c r="A558" t="inlineStr">
        <is>
          <t>FB-00557</t>
        </is>
      </c>
      <c r="B558" t="inlineStr">
        <is>
          <t>CUST-0102</t>
        </is>
      </c>
      <c r="C558" s="11" t="n">
        <v>46084</v>
      </c>
      <c r="D558" t="inlineStr">
        <is>
          <t>Support Ticket</t>
        </is>
      </c>
      <c r="E558" t="inlineStr">
        <is>
          <t>Professional</t>
        </is>
      </c>
      <c r="F558" t="inlineStr">
        <is>
          <t>Mid-Market</t>
        </is>
      </c>
      <c r="G558" t="inlineStr">
        <is>
          <t>Workflow Automation</t>
        </is>
      </c>
      <c r="H558" t="inlineStr">
        <is>
          <t>Bug</t>
        </is>
      </c>
      <c r="I558" t="inlineStr">
        <is>
          <t>This has been a recurring problem for us. Since the last release we've had workflow runs failing silently and tasks are being created twice. We estimate we lose roughly 57 hours a month on this. Is there a workaround?</t>
        </is>
      </c>
      <c r="J558" t="inlineStr">
        <is>
          <t>Negative</t>
        </is>
      </c>
      <c r="K558" t="inlineStr">
        <is>
          <t>Critical</t>
        </is>
      </c>
      <c r="L558" t="inlineStr">
        <is>
          <t>Blocks Key Task</t>
        </is>
      </c>
      <c r="M558" t="inlineStr">
        <is>
          <t>wf_fail</t>
        </is>
      </c>
      <c r="N558" t="inlineStr">
        <is>
          <t>Workflows failing silently</t>
        </is>
      </c>
      <c r="O558" t="inlineStr">
        <is>
          <t>2026-03</t>
        </is>
      </c>
    </row>
    <row r="559">
      <c r="A559" t="inlineStr">
        <is>
          <t>FB-00558</t>
        </is>
      </c>
      <c r="B559" t="inlineStr">
        <is>
          <t>CUST-0376</t>
        </is>
      </c>
      <c r="C559" s="11" t="n">
        <v>46084</v>
      </c>
      <c r="D559" t="inlineStr">
        <is>
          <t>In-App Feedback</t>
        </is>
      </c>
      <c r="E559" t="inlineStr">
        <is>
          <t>Professional</t>
        </is>
      </c>
      <c r="F559" t="inlineStr">
        <is>
          <t>Enterprise</t>
        </is>
      </c>
      <c r="G559" t="inlineStr">
        <is>
          <t>Integrations</t>
        </is>
      </c>
      <c r="H559" t="inlineStr">
        <is>
          <t>Integration Issue</t>
        </is>
      </c>
      <c r="I559" t="inlineStr">
        <is>
          <t>Hard to debug: webhook delivery fail with vague error codes. So far 39 people on our side have reported it.</t>
        </is>
      </c>
      <c r="J559" t="inlineStr">
        <is>
          <t>Negative</t>
        </is>
      </c>
      <c r="K559" t="inlineStr">
        <is>
          <t>High</t>
        </is>
      </c>
      <c r="L559" t="inlineStr">
        <is>
          <t>Blocks Key Task</t>
        </is>
      </c>
      <c r="M559" t="inlineStr">
        <is>
          <t>int_api</t>
        </is>
      </c>
      <c r="N559" t="inlineStr">
        <is>
          <t>API limits and webhook failures</t>
        </is>
      </c>
      <c r="O559" t="inlineStr">
        <is>
          <t>2026-03</t>
        </is>
      </c>
    </row>
    <row r="560">
      <c r="A560" t="inlineStr">
        <is>
          <t>FB-00559</t>
        </is>
      </c>
      <c r="B560" t="inlineStr">
        <is>
          <t>CUST-0257</t>
        </is>
      </c>
      <c r="C560" s="11" t="n">
        <v>46085</v>
      </c>
      <c r="D560" t="inlineStr">
        <is>
          <t>In-App Feedback</t>
        </is>
      </c>
      <c r="E560" t="inlineStr">
        <is>
          <t>Enterprise</t>
        </is>
      </c>
      <c r="F560" t="inlineStr">
        <is>
          <t>Mid-Market</t>
        </is>
      </c>
      <c r="G560" t="inlineStr">
        <is>
          <t>Integrations</t>
        </is>
      </c>
      <c r="H560" t="inlineStr">
        <is>
          <t>Feature Request</t>
        </is>
      </c>
      <c r="I560" t="inlineStr">
        <is>
          <t>Overall we like the product. Requesting SCIM provisioning for our compliance audit. Our marketing ops owner flagged it while onboarding 80 new users. Happy to beta test.</t>
        </is>
      </c>
      <c r="J560" t="inlineStr">
        <is>
          <t>Positive</t>
        </is>
      </c>
      <c r="K560" t="inlineStr">
        <is>
          <t>Low</t>
        </is>
      </c>
      <c r="L560" t="inlineStr">
        <is>
          <t>Workflow Slowdown</t>
        </is>
      </c>
      <c r="M560" t="inlineStr">
        <is>
          <t>int_sso</t>
        </is>
      </c>
      <c r="N560" t="inlineStr">
        <is>
          <t>SSO and provisioning</t>
        </is>
      </c>
      <c r="O560" t="inlineStr">
        <is>
          <t>2026-03</t>
        </is>
      </c>
    </row>
    <row r="561">
      <c r="A561" t="inlineStr">
        <is>
          <t>FB-00560</t>
        </is>
      </c>
      <c r="B561" t="inlineStr">
        <is>
          <t>CUST-0278</t>
        </is>
      </c>
      <c r="C561" s="11" t="n">
        <v>46085</v>
      </c>
      <c r="D561" t="inlineStr">
        <is>
          <t>Customer Survey</t>
        </is>
      </c>
      <c r="E561" t="inlineStr">
        <is>
          <t>Professional</t>
        </is>
      </c>
      <c r="F561" t="inlineStr">
        <is>
          <t>Mid-Market</t>
        </is>
      </c>
      <c r="G561" t="inlineStr">
        <is>
          <t>Lead Management</t>
        </is>
      </c>
      <c r="H561" t="inlineStr">
        <is>
          <t>Bug</t>
        </is>
      </c>
      <c r="I561" t="inlineStr">
        <is>
          <t>Web form submissions keep creating duplicated leads, and reps end up calling the same prospect twice. It happens about 14 times a week for our team of 66. We need a fix before renewal.</t>
        </is>
      </c>
      <c r="J561" t="inlineStr">
        <is>
          <t>Negative</t>
        </is>
      </c>
      <c r="K561" t="inlineStr">
        <is>
          <t>Low</t>
        </is>
      </c>
      <c r="L561" t="inlineStr">
        <is>
          <t>Minor Inconvenience</t>
        </is>
      </c>
      <c r="M561" t="inlineStr">
        <is>
          <t>lead_dup</t>
        </is>
      </c>
      <c r="N561" t="inlineStr">
        <is>
          <t>Duplicate leads created</t>
        </is>
      </c>
      <c r="O561" t="inlineStr">
        <is>
          <t>2026-03</t>
        </is>
      </c>
    </row>
    <row r="562">
      <c r="A562" t="inlineStr">
        <is>
          <t>FB-00561</t>
        </is>
      </c>
      <c r="B562" t="inlineStr">
        <is>
          <t>CUST-0108</t>
        </is>
      </c>
      <c r="C562" s="11" t="n">
        <v>46085</v>
      </c>
      <c r="D562" t="inlineStr">
        <is>
          <t>Support Ticket</t>
        </is>
      </c>
      <c r="E562" t="inlineStr">
        <is>
          <t>Enterprise</t>
        </is>
      </c>
      <c r="F562" t="inlineStr">
        <is>
          <t>Mid-Market</t>
        </is>
      </c>
      <c r="G562" t="inlineStr">
        <is>
          <t>Workflow Automation</t>
        </is>
      </c>
      <c r="H562" t="inlineStr">
        <is>
          <t>Bug</t>
        </is>
      </c>
      <c r="I562" t="inlineStr">
        <is>
          <t>Sharing this from our team. We found workflow failures only because a customer complained. We estimate we lose roughly 4 hours a month on this.</t>
        </is>
      </c>
      <c r="J562" t="inlineStr">
        <is>
          <t>Neutral</t>
        </is>
      </c>
      <c r="K562" t="inlineStr">
        <is>
          <t>Medium</t>
        </is>
      </c>
      <c r="L562" t="inlineStr">
        <is>
          <t>Blocks Key Task</t>
        </is>
      </c>
      <c r="M562" t="inlineStr">
        <is>
          <t>wf_fail</t>
        </is>
      </c>
      <c r="N562" t="inlineStr">
        <is>
          <t>Workflows failing silently</t>
        </is>
      </c>
      <c r="O562" t="inlineStr">
        <is>
          <t>2026-03</t>
        </is>
      </c>
    </row>
    <row r="563">
      <c r="A563" t="inlineStr">
        <is>
          <t>FB-00562</t>
        </is>
      </c>
      <c r="B563" t="inlineStr">
        <is>
          <t>CUST-0202</t>
        </is>
      </c>
      <c r="C563" s="11" t="n">
        <v>46085</v>
      </c>
      <c r="D563" t="inlineStr">
        <is>
          <t>Feature Request</t>
        </is>
      </c>
      <c r="E563" t="inlineStr">
        <is>
          <t>Enterprise</t>
        </is>
      </c>
      <c r="F563" t="inlineStr">
        <is>
          <t>Enterprise</t>
        </is>
      </c>
      <c r="G563" t="inlineStr">
        <is>
          <t>Contact Management</t>
        </is>
      </c>
      <c r="H563" t="inlineStr">
        <is>
          <t>Feature Request</t>
        </is>
      </c>
      <c r="I563" t="inlineStr">
        <is>
          <t>Is there any plan for a bulk contact merge? Merging one record at a time is not realistic. We estimate we lose roughly 51 hours a month on this. Let us know if you need examples.</t>
        </is>
      </c>
      <c r="J563" t="inlineStr">
        <is>
          <t>Neutral</t>
        </is>
      </c>
      <c r="K563" t="inlineStr">
        <is>
          <t>Medium</t>
        </is>
      </c>
      <c r="L563" t="inlineStr">
        <is>
          <t>Minor Inconvenience</t>
        </is>
      </c>
      <c r="M563" t="inlineStr">
        <is>
          <t>contact_dedupe</t>
        </is>
      </c>
      <c r="N563" t="inlineStr">
        <is>
          <t>Bulk contact merge</t>
        </is>
      </c>
      <c r="O563" t="inlineStr">
        <is>
          <t>2026-03</t>
        </is>
      </c>
    </row>
    <row r="564">
      <c r="A564" t="inlineStr">
        <is>
          <t>FB-00563</t>
        </is>
      </c>
      <c r="B564" t="inlineStr">
        <is>
          <t>CUST-0084</t>
        </is>
      </c>
      <c r="C564" s="11" t="n">
        <v>46085</v>
      </c>
      <c r="D564" t="inlineStr">
        <is>
          <t>Feature Request</t>
        </is>
      </c>
      <c r="E564" t="inlineStr">
        <is>
          <t>Enterprise</t>
        </is>
      </c>
      <c r="F564" t="inlineStr">
        <is>
          <t>Enterprise</t>
        </is>
      </c>
      <c r="G564" t="inlineStr">
        <is>
          <t>Workflow Automation</t>
        </is>
      </c>
      <c r="H564" t="inlineStr">
        <is>
          <t>Feature Request</t>
        </is>
      </c>
      <c r="I564" t="inlineStr">
        <is>
          <t>Great support experience recently. We'd adopt automation faster with workflow templates we could customize. It affects our renewal process every cycle. Thanks to the team.</t>
        </is>
      </c>
      <c r="J564" t="inlineStr">
        <is>
          <t>Positive</t>
        </is>
      </c>
      <c r="K564" t="inlineStr">
        <is>
          <t>Low</t>
        </is>
      </c>
      <c r="L564" t="inlineStr">
        <is>
          <t>Minor Inconvenience</t>
        </is>
      </c>
      <c r="M564" t="inlineStr">
        <is>
          <t>wf_templates</t>
        </is>
      </c>
      <c r="N564" t="inlineStr">
        <is>
          <t>Workflow templates</t>
        </is>
      </c>
      <c r="O564" t="inlineStr">
        <is>
          <t>2026-03</t>
        </is>
      </c>
    </row>
    <row r="565">
      <c r="A565" t="inlineStr">
        <is>
          <t>FB-00564</t>
        </is>
      </c>
      <c r="B565" t="inlineStr">
        <is>
          <t>CUST-0203</t>
        </is>
      </c>
      <c r="C565" s="11" t="n">
        <v>46086</v>
      </c>
      <c r="D565" t="inlineStr">
        <is>
          <t>In-App Feedback</t>
        </is>
      </c>
      <c r="E565" t="inlineStr">
        <is>
          <t>Professional</t>
        </is>
      </c>
      <c r="F565" t="inlineStr">
        <is>
          <t>Mid-Market</t>
        </is>
      </c>
      <c r="G565" t="inlineStr">
        <is>
          <t>Contact Management</t>
        </is>
      </c>
      <c r="H565" t="inlineStr">
        <is>
          <t>Performance Issue</t>
        </is>
      </c>
      <c r="I565" t="inlineStr">
        <is>
          <t>We avoid contact search during calls because it takes too long. So far 41 people on our side have reported it. Please look into it soon.</t>
        </is>
      </c>
      <c r="J565" t="inlineStr">
        <is>
          <t>Negative</t>
        </is>
      </c>
      <c r="K565" t="inlineStr">
        <is>
          <t>Critical</t>
        </is>
      </c>
      <c r="L565" t="inlineStr">
        <is>
          <t>Blocks Key Task</t>
        </is>
      </c>
      <c r="M565" t="inlineStr">
        <is>
          <t>contact_search</t>
        </is>
      </c>
      <c r="N565" t="inlineStr">
        <is>
          <t>Slow contact search</t>
        </is>
      </c>
      <c r="O565" t="inlineStr">
        <is>
          <t>2026-03</t>
        </is>
      </c>
    </row>
    <row r="566">
      <c r="A566" t="inlineStr">
        <is>
          <t>FB-00565</t>
        </is>
      </c>
      <c r="B566" t="inlineStr">
        <is>
          <t>CUST-0378</t>
        </is>
      </c>
      <c r="C566" s="11" t="n">
        <v>46087</v>
      </c>
      <c r="D566" t="inlineStr">
        <is>
          <t>Customer Survey</t>
        </is>
      </c>
      <c r="E566" t="inlineStr">
        <is>
          <t>Starter</t>
        </is>
      </c>
      <c r="F566" t="inlineStr">
        <is>
          <t>SMB</t>
        </is>
      </c>
      <c r="G566" t="inlineStr">
        <is>
          <t>Contact Management</t>
        </is>
      </c>
      <c r="H566" t="inlineStr">
        <is>
          <t>Bug</t>
        </is>
      </c>
      <c r="I566" t="inlineStr">
        <is>
          <t>Feedback from our monthly review. Our spreadsheet import scrambles phone and email columns even after we map them correctly. We estimate we lose roughly 12 hours a month on this.</t>
        </is>
      </c>
      <c r="J566" t="inlineStr">
        <is>
          <t>Neutral</t>
        </is>
      </c>
      <c r="K566" t="inlineStr">
        <is>
          <t>Medium</t>
        </is>
      </c>
      <c r="L566" t="inlineStr">
        <is>
          <t>Workflow Slowdown</t>
        </is>
      </c>
      <c r="M566" t="inlineStr">
        <is>
          <t>contact_import</t>
        </is>
      </c>
      <c r="N566" t="inlineStr">
        <is>
          <t>Unreliable contact imports</t>
        </is>
      </c>
      <c r="O566" t="inlineStr">
        <is>
          <t>2026-03</t>
        </is>
      </c>
    </row>
    <row r="567">
      <c r="A567" t="inlineStr">
        <is>
          <t>FB-00566</t>
        </is>
      </c>
      <c r="B567" t="inlineStr">
        <is>
          <t>CUST-0082</t>
        </is>
      </c>
      <c r="C567" s="11" t="n">
        <v>46087</v>
      </c>
      <c r="D567" t="inlineStr">
        <is>
          <t>Feature Request</t>
        </is>
      </c>
      <c r="E567" t="inlineStr">
        <is>
          <t>Starter</t>
        </is>
      </c>
      <c r="F567" t="inlineStr">
        <is>
          <t>SMB</t>
        </is>
      </c>
      <c r="G567" t="inlineStr">
        <is>
          <t>Workflow Automation</t>
        </is>
      </c>
      <c r="H567" t="inlineStr">
        <is>
          <t>Feature Request</t>
        </is>
      </c>
      <c r="I567" t="inlineStr">
        <is>
          <t>Great support experience recently. Adding multi-level approvals is a blocker for our finance team. It affects our lead handoff process every cycle. Thanks to the team.</t>
        </is>
      </c>
      <c r="J567" t="inlineStr">
        <is>
          <t>Positive</t>
        </is>
      </c>
      <c r="K567" t="inlineStr">
        <is>
          <t>Low</t>
        </is>
      </c>
      <c r="L567" t="inlineStr">
        <is>
          <t>Minor Inconvenience</t>
        </is>
      </c>
      <c r="M567" t="inlineStr">
        <is>
          <t>wf_approval</t>
        </is>
      </c>
      <c r="N567" t="inlineStr">
        <is>
          <t>Approval steps in workflows</t>
        </is>
      </c>
      <c r="O567" t="inlineStr">
        <is>
          <t>2026-03</t>
        </is>
      </c>
    </row>
    <row r="568">
      <c r="A568" t="inlineStr">
        <is>
          <t>FB-00567</t>
        </is>
      </c>
      <c r="B568" t="inlineStr">
        <is>
          <t>CUST-0158</t>
        </is>
      </c>
      <c r="C568" s="11" t="n">
        <v>46087</v>
      </c>
      <c r="D568" t="inlineStr">
        <is>
          <t>Customer Survey</t>
        </is>
      </c>
      <c r="E568" t="inlineStr">
        <is>
          <t>Starter</t>
        </is>
      </c>
      <c r="F568" t="inlineStr">
        <is>
          <t>SMB</t>
        </is>
      </c>
      <c r="G568" t="inlineStr">
        <is>
          <t>Lead Management</t>
        </is>
      </c>
      <c r="H568" t="inlineStr">
        <is>
          <t>Usability Issue</t>
        </is>
      </c>
      <c r="I568" t="inlineStr">
        <is>
          <t>FYI for the product team. It is hard to understand how round-robin lead assignment decide who owns a lead. It affects our onboarding process every cycle. Let us know if you need examples.</t>
        </is>
      </c>
      <c r="J568" t="inlineStr">
        <is>
          <t>Neutral</t>
        </is>
      </c>
      <c r="K568" t="inlineStr">
        <is>
          <t>Medium</t>
        </is>
      </c>
      <c r="L568" t="inlineStr">
        <is>
          <t>Blocks Key Task</t>
        </is>
      </c>
      <c r="M568" t="inlineStr">
        <is>
          <t>lead_assign</t>
        </is>
      </c>
      <c r="N568" t="inlineStr">
        <is>
          <t>Lead routing is inflexible</t>
        </is>
      </c>
      <c r="O568" t="inlineStr">
        <is>
          <t>2026-03</t>
        </is>
      </c>
    </row>
    <row r="569">
      <c r="A569" t="inlineStr">
        <is>
          <t>FB-00568</t>
        </is>
      </c>
      <c r="B569" t="inlineStr">
        <is>
          <t>CUST-0314</t>
        </is>
      </c>
      <c r="C569" s="11" t="n">
        <v>46087</v>
      </c>
      <c r="D569" t="inlineStr">
        <is>
          <t>Feature Request</t>
        </is>
      </c>
      <c r="E569" t="inlineStr">
        <is>
          <t>Enterprise</t>
        </is>
      </c>
      <c r="F569" t="inlineStr">
        <is>
          <t>Mid-Market</t>
        </is>
      </c>
      <c r="G569" t="inlineStr">
        <is>
          <t>Reporting</t>
        </is>
      </c>
      <c r="H569" t="inlineStr">
        <is>
          <t>Feature Request</t>
        </is>
      </c>
      <c r="I569" t="inlineStr">
        <is>
          <t>FYI for the product team. We need quota tracking by team and region for quarterly planning. Our marketing ops owner flagged it while onboarding 118 new users. Happy to join a feedback call.</t>
        </is>
      </c>
      <c r="J569" t="inlineStr">
        <is>
          <t>Neutral</t>
        </is>
      </c>
      <c r="K569" t="inlineStr">
        <is>
          <t>Low</t>
        </is>
      </c>
      <c r="L569" t="inlineStr">
        <is>
          <t>Minor Inconvenience</t>
        </is>
      </c>
      <c r="M569" t="inlineStr">
        <is>
          <t>rep_forecast</t>
        </is>
      </c>
      <c r="N569" t="inlineStr">
        <is>
          <t>Sales forecasting</t>
        </is>
      </c>
      <c r="O569" t="inlineStr">
        <is>
          <t>2026-03</t>
        </is>
      </c>
    </row>
    <row r="570">
      <c r="A570" t="inlineStr">
        <is>
          <t>FB-00569</t>
        </is>
      </c>
      <c r="B570" t="inlineStr">
        <is>
          <t>CUST-0378</t>
        </is>
      </c>
      <c r="C570" s="11" t="n">
        <v>46087</v>
      </c>
      <c r="D570" t="inlineStr">
        <is>
          <t>Feature Request</t>
        </is>
      </c>
      <c r="E570" t="inlineStr">
        <is>
          <t>Starter</t>
        </is>
      </c>
      <c r="F570" t="inlineStr">
        <is>
          <t>SMB</t>
        </is>
      </c>
      <c r="G570" t="inlineStr">
        <is>
          <t>Lead Management</t>
        </is>
      </c>
      <c r="H570" t="inlineStr">
        <is>
          <t>Feature Request</t>
        </is>
      </c>
      <c r="I570" t="inlineStr">
        <is>
          <t>Happy with most of the product. Right now reps rank leads by gut feel; lead scoring rules would fix that. We estimate we lose roughly 15 hours a month on this. Thanks to the team.</t>
        </is>
      </c>
      <c r="J570" t="inlineStr">
        <is>
          <t>Positive</t>
        </is>
      </c>
      <c r="K570" t="inlineStr">
        <is>
          <t>Low</t>
        </is>
      </c>
      <c r="L570" t="inlineStr">
        <is>
          <t>Minor Inconvenience</t>
        </is>
      </c>
      <c r="M570" t="inlineStr">
        <is>
          <t>lead_score</t>
        </is>
      </c>
      <c r="N570" t="inlineStr">
        <is>
          <t>Automated lead scoring</t>
        </is>
      </c>
      <c r="O570" t="inlineStr">
        <is>
          <t>2026-03</t>
        </is>
      </c>
    </row>
    <row r="571">
      <c r="A571" t="inlineStr">
        <is>
          <t>FB-00570</t>
        </is>
      </c>
      <c r="B571" t="inlineStr">
        <is>
          <t>CUST-0297</t>
        </is>
      </c>
      <c r="C571" s="11" t="n">
        <v>46088</v>
      </c>
      <c r="D571" t="inlineStr">
        <is>
          <t>Feature Request</t>
        </is>
      </c>
      <c r="E571" t="inlineStr">
        <is>
          <t>Professional</t>
        </is>
      </c>
      <c r="F571" t="inlineStr">
        <is>
          <t>Mid-Market</t>
        </is>
      </c>
      <c r="G571" t="inlineStr">
        <is>
          <t>Reporting</t>
        </is>
      </c>
      <c r="H571" t="inlineStr">
        <is>
          <t>Feature Request</t>
        </is>
      </c>
      <c r="I571" t="inlineStr">
        <is>
          <t>Without a custom report builder we export raw data and rebuild everything elsewhere. It affects our renewal process every cycle.</t>
        </is>
      </c>
      <c r="J571" t="inlineStr">
        <is>
          <t>Positive</t>
        </is>
      </c>
      <c r="K571" t="inlineStr">
        <is>
          <t>Low</t>
        </is>
      </c>
      <c r="L571" t="inlineStr">
        <is>
          <t>Minor Inconvenience</t>
        </is>
      </c>
      <c r="M571" t="inlineStr">
        <is>
          <t>rep_custom</t>
        </is>
      </c>
      <c r="N571" t="inlineStr">
        <is>
          <t>Custom and scheduled reports</t>
        </is>
      </c>
      <c r="O571" t="inlineStr">
        <is>
          <t>2026-03</t>
        </is>
      </c>
    </row>
    <row r="572">
      <c r="A572" t="inlineStr">
        <is>
          <t>FB-00571</t>
        </is>
      </c>
      <c r="B572" t="inlineStr">
        <is>
          <t>CUST-0145</t>
        </is>
      </c>
      <c r="C572" s="11" t="n">
        <v>46088</v>
      </c>
      <c r="D572" t="inlineStr">
        <is>
          <t>Support Ticket</t>
        </is>
      </c>
      <c r="E572" t="inlineStr">
        <is>
          <t>Professional</t>
        </is>
      </c>
      <c r="F572" t="inlineStr">
        <is>
          <t>SMB</t>
        </is>
      </c>
      <c r="G572" t="inlineStr">
        <is>
          <t>Reporting</t>
        </is>
      </c>
      <c r="H572" t="inlineStr">
        <is>
          <t>Performance Issue</t>
        </is>
      </c>
      <c r="I572" t="inlineStr">
        <is>
          <t>Dashboard loading got noticeably worse over the last few months. It happens about 31 times a week for our team of 107. Is there a workaround?</t>
        </is>
      </c>
      <c r="J572" t="inlineStr">
        <is>
          <t>Negative</t>
        </is>
      </c>
      <c r="K572" t="inlineStr">
        <is>
          <t>Low</t>
        </is>
      </c>
      <c r="L572" t="inlineStr">
        <is>
          <t>Minor Inconvenience</t>
        </is>
      </c>
      <c r="M572" t="inlineStr">
        <is>
          <t>rep_slow</t>
        </is>
      </c>
      <c r="N572" t="inlineStr">
        <is>
          <t>Slow dashboards</t>
        </is>
      </c>
      <c r="O572" t="inlineStr">
        <is>
          <t>2026-03</t>
        </is>
      </c>
    </row>
    <row r="573">
      <c r="A573" t="inlineStr">
        <is>
          <t>FB-00572</t>
        </is>
      </c>
      <c r="B573" t="inlineStr">
        <is>
          <t>CUST-0220</t>
        </is>
      </c>
      <c r="C573" s="11" t="n">
        <v>46088</v>
      </c>
      <c r="D573" t="inlineStr">
        <is>
          <t>Customer Survey</t>
        </is>
      </c>
      <c r="E573" t="inlineStr">
        <is>
          <t>Professional</t>
        </is>
      </c>
      <c r="F573" t="inlineStr">
        <is>
          <t>Mid-Market</t>
        </is>
      </c>
      <c r="G573" t="inlineStr">
        <is>
          <t>User Interface</t>
        </is>
      </c>
      <c r="H573" t="inlineStr">
        <is>
          <t>Usability Issue</t>
        </is>
      </c>
      <c r="I573" t="inlineStr">
        <is>
          <t>Quick note from our admin. The page layout is cluttered and I can never find the setting I need. It happens about 28 times a week for our team of 112.</t>
        </is>
      </c>
      <c r="J573" t="inlineStr">
        <is>
          <t>Neutral</t>
        </is>
      </c>
      <c r="K573" t="inlineStr">
        <is>
          <t>High</t>
        </is>
      </c>
      <c r="L573" t="inlineStr">
        <is>
          <t>Workflow Slowdown</t>
        </is>
      </c>
      <c r="M573" t="inlineStr">
        <is>
          <t>ui_nav</t>
        </is>
      </c>
      <c r="N573" t="inlineStr">
        <is>
          <t>Cluttered navigation</t>
        </is>
      </c>
      <c r="O573" t="inlineStr">
        <is>
          <t>2026-03</t>
        </is>
      </c>
    </row>
    <row r="574">
      <c r="A574" t="inlineStr">
        <is>
          <t>FB-00573</t>
        </is>
      </c>
      <c r="B574" t="inlineStr">
        <is>
          <t>CUST-0099</t>
        </is>
      </c>
      <c r="C574" s="11" t="n">
        <v>46088</v>
      </c>
      <c r="D574" t="inlineStr">
        <is>
          <t>Feature Request</t>
        </is>
      </c>
      <c r="E574" t="inlineStr">
        <is>
          <t>Starter</t>
        </is>
      </c>
      <c r="F574" t="inlineStr">
        <is>
          <t>Mid-Market</t>
        </is>
      </c>
      <c r="G574" t="inlineStr">
        <is>
          <t>Contact Management</t>
        </is>
      </c>
      <c r="H574" t="inlineStr">
        <is>
          <t>Feature Request</t>
        </is>
      </c>
      <c r="I574" t="inlineStr">
        <is>
          <t>Please build contact de-duplication tooling with a preview of what will be combined.</t>
        </is>
      </c>
      <c r="J574" t="inlineStr">
        <is>
          <t>Neutral</t>
        </is>
      </c>
      <c r="K574" t="inlineStr">
        <is>
          <t>Medium</t>
        </is>
      </c>
      <c r="L574" t="inlineStr">
        <is>
          <t>Minor Inconvenience</t>
        </is>
      </c>
      <c r="M574" t="inlineStr">
        <is>
          <t>contact_dedupe</t>
        </is>
      </c>
      <c r="N574" t="inlineStr">
        <is>
          <t>Bulk contact merge</t>
        </is>
      </c>
      <c r="O574" t="inlineStr">
        <is>
          <t>2026-03</t>
        </is>
      </c>
    </row>
    <row r="575">
      <c r="A575" t="inlineStr">
        <is>
          <t>FB-00574</t>
        </is>
      </c>
      <c r="B575" t="inlineStr">
        <is>
          <t>CUST-0380</t>
        </is>
      </c>
      <c r="C575" s="11" t="n">
        <v>46089</v>
      </c>
      <c r="D575" t="inlineStr">
        <is>
          <t>Support Ticket</t>
        </is>
      </c>
      <c r="E575" t="inlineStr">
        <is>
          <t>Professional</t>
        </is>
      </c>
      <c r="F575" t="inlineStr">
        <is>
          <t>Mid-Market</t>
        </is>
      </c>
      <c r="G575" t="inlineStr">
        <is>
          <t>Workflow Automation</t>
        </is>
      </c>
      <c r="H575" t="inlineStr">
        <is>
          <t>Bug</t>
        </is>
      </c>
      <c r="I575" t="inlineStr">
        <is>
          <t>Feedback from our monthly review. Several workflow runs failing silently left deals stuck in the wrong stage. It happens about 30 times a week for our team of 32. Let us know if you need examples.</t>
        </is>
      </c>
      <c r="J575" t="inlineStr">
        <is>
          <t>Neutral</t>
        </is>
      </c>
      <c r="K575" t="inlineStr">
        <is>
          <t>High</t>
        </is>
      </c>
      <c r="L575" t="inlineStr">
        <is>
          <t>Revenue/Operations Risk</t>
        </is>
      </c>
      <c r="M575" t="inlineStr">
        <is>
          <t>wf_fail</t>
        </is>
      </c>
      <c r="N575" t="inlineStr">
        <is>
          <t>Workflows failing silently</t>
        </is>
      </c>
      <c r="O575" t="inlineStr">
        <is>
          <t>2026-03</t>
        </is>
      </c>
    </row>
    <row r="576">
      <c r="A576" t="inlineStr">
        <is>
          <t>FB-00575</t>
        </is>
      </c>
      <c r="B576" t="inlineStr">
        <is>
          <t>CUST-0334</t>
        </is>
      </c>
      <c r="C576" s="11" t="n">
        <v>46089</v>
      </c>
      <c r="D576" t="inlineStr">
        <is>
          <t>Support Ticket</t>
        </is>
      </c>
      <c r="E576" t="inlineStr">
        <is>
          <t>Enterprise</t>
        </is>
      </c>
      <c r="F576" t="inlineStr">
        <is>
          <t>SMB</t>
        </is>
      </c>
      <c r="G576" t="inlineStr">
        <is>
          <t>Lead Management</t>
        </is>
      </c>
      <c r="H576" t="inlineStr">
        <is>
          <t>Performance Issue</t>
        </is>
      </c>
      <c r="I576" t="inlineStr">
        <is>
          <t>Not what we expected for the price. Reps have stopped using the board because of lead view load times. Our RevOps lead flagged it while onboarding 34 new users. We need a fix before renewal.</t>
        </is>
      </c>
      <c r="J576" t="inlineStr">
        <is>
          <t>Negative</t>
        </is>
      </c>
      <c r="K576" t="inlineStr">
        <is>
          <t>Critical</t>
        </is>
      </c>
      <c r="L576" t="inlineStr">
        <is>
          <t>Revenue/Operations Risk</t>
        </is>
      </c>
      <c r="M576" t="inlineStr">
        <is>
          <t>lead_slow</t>
        </is>
      </c>
      <c r="N576" t="inlineStr">
        <is>
          <t>Slow lead lists and pipeline board</t>
        </is>
      </c>
      <c r="O576" t="inlineStr">
        <is>
          <t>2026-03</t>
        </is>
      </c>
    </row>
    <row r="577">
      <c r="A577" t="inlineStr">
        <is>
          <t>FB-00576</t>
        </is>
      </c>
      <c r="B577" t="inlineStr">
        <is>
          <t>CUST-0136</t>
        </is>
      </c>
      <c r="C577" s="11" t="n">
        <v>46089</v>
      </c>
      <c r="D577" t="inlineStr">
        <is>
          <t>Feature Request</t>
        </is>
      </c>
      <c r="E577" t="inlineStr">
        <is>
          <t>Starter</t>
        </is>
      </c>
      <c r="F577" t="inlineStr">
        <is>
          <t>SMB</t>
        </is>
      </c>
      <c r="G577" t="inlineStr">
        <is>
          <t>Lead Management</t>
        </is>
      </c>
      <c r="H577" t="inlineStr">
        <is>
          <t>Feature Request</t>
        </is>
      </c>
      <c r="I577" t="inlineStr">
        <is>
          <t>Not what we expected for the price. Right now reps rank leads by gut feel; a lead score model would fix that.</t>
        </is>
      </c>
      <c r="J577" t="inlineStr">
        <is>
          <t>Negative</t>
        </is>
      </c>
      <c r="K577" t="inlineStr">
        <is>
          <t>Low</t>
        </is>
      </c>
      <c r="L577" t="inlineStr">
        <is>
          <t>Minor Inconvenience</t>
        </is>
      </c>
      <c r="M577" t="inlineStr">
        <is>
          <t>lead_score</t>
        </is>
      </c>
      <c r="N577" t="inlineStr">
        <is>
          <t>Automated lead scoring</t>
        </is>
      </c>
      <c r="O577" t="inlineStr">
        <is>
          <t>2026-03</t>
        </is>
      </c>
    </row>
    <row r="578">
      <c r="A578" t="inlineStr">
        <is>
          <t>FB-00577</t>
        </is>
      </c>
      <c r="B578" t="inlineStr">
        <is>
          <t>CUST-0029</t>
        </is>
      </c>
      <c r="C578" s="11" t="n">
        <v>46089</v>
      </c>
      <c r="D578" t="inlineStr">
        <is>
          <t>In-App Feedback</t>
        </is>
      </c>
      <c r="E578" t="inlineStr">
        <is>
          <t>Professional</t>
        </is>
      </c>
      <c r="F578" t="inlineStr">
        <is>
          <t>Enterprise</t>
        </is>
      </c>
      <c r="G578" t="inlineStr">
        <is>
          <t>Contact Management</t>
        </is>
      </c>
      <c r="H578" t="inlineStr">
        <is>
          <t>Bug</t>
        </is>
      </c>
      <c r="I578" t="inlineStr">
        <is>
          <t>Raising this again after our last business review. The contact CSV import fails halfway through with a generic error and no row-level detail. We need a fix before renewal.</t>
        </is>
      </c>
      <c r="J578" t="inlineStr">
        <is>
          <t>Negative</t>
        </is>
      </c>
      <c r="K578" t="inlineStr">
        <is>
          <t>High</t>
        </is>
      </c>
      <c r="L578" t="inlineStr">
        <is>
          <t>Blocks Key Task</t>
        </is>
      </c>
      <c r="M578" t="inlineStr">
        <is>
          <t>contact_import</t>
        </is>
      </c>
      <c r="N578" t="inlineStr">
        <is>
          <t>Unreliable contact imports</t>
        </is>
      </c>
      <c r="O578" t="inlineStr">
        <is>
          <t>2026-03</t>
        </is>
      </c>
    </row>
    <row r="579">
      <c r="A579" t="inlineStr">
        <is>
          <t>FB-00578</t>
        </is>
      </c>
      <c r="B579" t="inlineStr">
        <is>
          <t>CUST-0216</t>
        </is>
      </c>
      <c r="C579" s="11" t="n">
        <v>46089</v>
      </c>
      <c r="D579" t="inlineStr">
        <is>
          <t>In-App Feedback</t>
        </is>
      </c>
      <c r="E579" t="inlineStr">
        <is>
          <t>Starter</t>
        </is>
      </c>
      <c r="F579" t="inlineStr">
        <is>
          <t>Mid-Market</t>
        </is>
      </c>
      <c r="G579" t="inlineStr">
        <is>
          <t>Reporting</t>
        </is>
      </c>
      <c r="H579" t="inlineStr">
        <is>
          <t>Performance Issue</t>
        </is>
      </c>
      <c r="I579" t="inlineStr">
        <is>
          <t>Escalating on behalf of our ops lead. Report load time got noticeably worse over the last few months.</t>
        </is>
      </c>
      <c r="J579" t="inlineStr">
        <is>
          <t>Negative</t>
        </is>
      </c>
      <c r="K579" t="inlineStr">
        <is>
          <t>Medium</t>
        </is>
      </c>
      <c r="L579" t="inlineStr">
        <is>
          <t>Workflow Slowdown</t>
        </is>
      </c>
      <c r="M579" t="inlineStr">
        <is>
          <t>rep_slow</t>
        </is>
      </c>
      <c r="N579" t="inlineStr">
        <is>
          <t>Slow dashboards</t>
        </is>
      </c>
      <c r="O579" t="inlineStr">
        <is>
          <t>2026-03</t>
        </is>
      </c>
    </row>
    <row r="580">
      <c r="A580" t="inlineStr">
        <is>
          <t>FB-00579</t>
        </is>
      </c>
      <c r="B580" t="inlineStr">
        <is>
          <t>CUST-0195</t>
        </is>
      </c>
      <c r="C580" s="11" t="n">
        <v>46089</v>
      </c>
      <c r="D580" t="inlineStr">
        <is>
          <t>Feature Request</t>
        </is>
      </c>
      <c r="E580" t="inlineStr">
        <is>
          <t>Professional</t>
        </is>
      </c>
      <c r="F580" t="inlineStr">
        <is>
          <t>SMB</t>
        </is>
      </c>
      <c r="G580" t="inlineStr">
        <is>
          <t>Integrations</t>
        </is>
      </c>
      <c r="H580" t="inlineStr">
        <is>
          <t>Feature Request</t>
        </is>
      </c>
      <c r="I580" t="inlineStr">
        <is>
          <t>Noting this during onboarding. Please build a marketing automation connector; our team copies data across systems daily. It happens about 32 times a week for our team of 33.</t>
        </is>
      </c>
      <c r="J580" t="inlineStr">
        <is>
          <t>Neutral</t>
        </is>
      </c>
      <c r="K580" t="inlineStr">
        <is>
          <t>Medium</t>
        </is>
      </c>
      <c r="L580" t="inlineStr">
        <is>
          <t>Workflow Slowdown</t>
        </is>
      </c>
      <c r="M580" t="inlineStr">
        <is>
          <t>int_native</t>
        </is>
      </c>
      <c r="N580" t="inlineStr">
        <is>
          <t>Native integrations</t>
        </is>
      </c>
      <c r="O580" t="inlineStr">
        <is>
          <t>2026-03</t>
        </is>
      </c>
    </row>
    <row r="581">
      <c r="A581" t="inlineStr">
        <is>
          <t>FB-00580</t>
        </is>
      </c>
      <c r="B581" t="inlineStr">
        <is>
          <t>CUST-0117</t>
        </is>
      </c>
      <c r="C581" s="11" t="n">
        <v>46090</v>
      </c>
      <c r="D581" t="inlineStr">
        <is>
          <t>Feature Request</t>
        </is>
      </c>
      <c r="E581" t="inlineStr">
        <is>
          <t>Professional</t>
        </is>
      </c>
      <c r="F581" t="inlineStr">
        <is>
          <t>Mid-Market</t>
        </is>
      </c>
      <c r="G581" t="inlineStr">
        <is>
          <t>Integrations</t>
        </is>
      </c>
      <c r="H581" t="inlineStr">
        <is>
          <t>Feature Request</t>
        </is>
      </c>
      <c r="I581" t="inlineStr">
        <is>
          <t>FYI for the product team. Our security team requires SCIM provisioning before we can expand seats. We estimate we lose roughly 46 hours a month on this. Happy to join a feedback call.</t>
        </is>
      </c>
      <c r="J581" t="inlineStr">
        <is>
          <t>Neutral</t>
        </is>
      </c>
      <c r="K581" t="inlineStr">
        <is>
          <t>Low</t>
        </is>
      </c>
      <c r="L581" t="inlineStr">
        <is>
          <t>Workflow Slowdown</t>
        </is>
      </c>
      <c r="M581" t="inlineStr">
        <is>
          <t>int_sso</t>
        </is>
      </c>
      <c r="N581" t="inlineStr">
        <is>
          <t>SSO and provisioning</t>
        </is>
      </c>
      <c r="O581" t="inlineStr">
        <is>
          <t>2026-03</t>
        </is>
      </c>
    </row>
    <row r="582">
      <c r="A582" t="inlineStr">
        <is>
          <t>FB-00581</t>
        </is>
      </c>
      <c r="B582" t="inlineStr">
        <is>
          <t>CUST-0338</t>
        </is>
      </c>
      <c r="C582" s="11" t="n">
        <v>46090</v>
      </c>
      <c r="D582" t="inlineStr">
        <is>
          <t>Support Ticket</t>
        </is>
      </c>
      <c r="E582" t="inlineStr">
        <is>
          <t>Professional</t>
        </is>
      </c>
      <c r="F582" t="inlineStr">
        <is>
          <t>Mid-Market</t>
        </is>
      </c>
      <c r="G582" t="inlineStr">
        <is>
          <t>Workflow Automation</t>
        </is>
      </c>
      <c r="H582" t="inlineStr">
        <is>
          <t>Bug</t>
        </is>
      </c>
      <c r="I582" t="inlineStr">
        <is>
          <t>Since the last release we've had workflow runs failing silently and tasks are being created twice. Our sales manager flagged it while onboarding 30 new users. Happy to join a feedback call.</t>
        </is>
      </c>
      <c r="J582" t="inlineStr">
        <is>
          <t>Neutral</t>
        </is>
      </c>
      <c r="K582" t="inlineStr">
        <is>
          <t>Medium</t>
        </is>
      </c>
      <c r="L582" t="inlineStr">
        <is>
          <t>Unknown</t>
        </is>
      </c>
      <c r="M582" t="inlineStr">
        <is>
          <t>wf_fail</t>
        </is>
      </c>
      <c r="N582" t="inlineStr">
        <is>
          <t>Workflows failing silently</t>
        </is>
      </c>
      <c r="O582" t="inlineStr">
        <is>
          <t>2026-03</t>
        </is>
      </c>
    </row>
    <row r="583">
      <c r="A583" t="inlineStr">
        <is>
          <t>FB-00582</t>
        </is>
      </c>
      <c r="B583" t="inlineStr">
        <is>
          <t>CUST-0204</t>
        </is>
      </c>
      <c r="C583" s="11" t="n">
        <v>46091</v>
      </c>
      <c r="D583" t="inlineStr">
        <is>
          <t>Support Ticket</t>
        </is>
      </c>
      <c r="E583" t="inlineStr">
        <is>
          <t>Enterprise</t>
        </is>
      </c>
      <c r="F583" t="inlineStr">
        <is>
          <t>Enterprise</t>
        </is>
      </c>
      <c r="G583" t="inlineStr">
        <is>
          <t>Workflow Automation</t>
        </is>
      </c>
      <c r="H583" t="inlineStr">
        <is>
          <t>Usability Issue</t>
        </is>
      </c>
      <c r="I583" t="inlineStr">
        <is>
          <t>Sharing this from our team. I can't tell what a branch does in the workflow editor without opening every node. Our marketing ops owner flagged it while onboarding 107 new users.</t>
        </is>
      </c>
      <c r="J583" t="inlineStr">
        <is>
          <t>Neutral</t>
        </is>
      </c>
      <c r="K583" t="inlineStr">
        <is>
          <t>Medium</t>
        </is>
      </c>
      <c r="L583" t="inlineStr">
        <is>
          <t>Workflow Slowdown</t>
        </is>
      </c>
      <c r="M583" t="inlineStr">
        <is>
          <t>wf_builder</t>
        </is>
      </c>
      <c r="N583" t="inlineStr">
        <is>
          <t>Confusing workflow builder</t>
        </is>
      </c>
      <c r="O583" t="inlineStr">
        <is>
          <t>2026-03</t>
        </is>
      </c>
    </row>
    <row r="584">
      <c r="A584" t="inlineStr">
        <is>
          <t>FB-00583</t>
        </is>
      </c>
      <c r="B584" t="inlineStr">
        <is>
          <t>CUST-0288</t>
        </is>
      </c>
      <c r="C584" s="11" t="n">
        <v>46091</v>
      </c>
      <c r="D584" t="inlineStr">
        <is>
          <t>Feature Request</t>
        </is>
      </c>
      <c r="E584" t="inlineStr">
        <is>
          <t>Professional</t>
        </is>
      </c>
      <c r="F584" t="inlineStr">
        <is>
          <t>Mid-Market</t>
        </is>
      </c>
      <c r="G584" t="inlineStr">
        <is>
          <t>Contact Management</t>
        </is>
      </c>
      <c r="H584" t="inlineStr">
        <is>
          <t>Feature Request</t>
        </is>
      </c>
      <c r="I584" t="inlineStr">
        <is>
          <t>FYI for the product team. Requesting an account hierarchy view so account managers can see who reports to whom. It affects our renewal process every cycle.</t>
        </is>
      </c>
      <c r="J584" t="inlineStr">
        <is>
          <t>Neutral</t>
        </is>
      </c>
      <c r="K584" t="inlineStr">
        <is>
          <t>Medium</t>
        </is>
      </c>
      <c r="L584" t="inlineStr">
        <is>
          <t>Workflow Slowdown</t>
        </is>
      </c>
      <c r="M584" t="inlineStr">
        <is>
          <t>contact_custom</t>
        </is>
      </c>
      <c r="N584" t="inlineStr">
        <is>
          <t>Custom fields and hierarchy</t>
        </is>
      </c>
      <c r="O584" t="inlineStr">
        <is>
          <t>2026-03</t>
        </is>
      </c>
    </row>
    <row r="585">
      <c r="A585" t="inlineStr">
        <is>
          <t>FB-00584</t>
        </is>
      </c>
      <c r="B585" t="inlineStr">
        <is>
          <t>CUST-0035</t>
        </is>
      </c>
      <c r="C585" s="11" t="n">
        <v>46091</v>
      </c>
      <c r="D585" t="inlineStr">
        <is>
          <t>In-App Feedback</t>
        </is>
      </c>
      <c r="E585" t="inlineStr">
        <is>
          <t>Professional</t>
        </is>
      </c>
      <c r="F585" t="inlineStr">
        <is>
          <t>Enterprise</t>
        </is>
      </c>
      <c r="G585" t="inlineStr">
        <is>
          <t>Reporting</t>
        </is>
      </c>
      <c r="H585" t="inlineStr">
        <is>
          <t>Performance Issue</t>
        </is>
      </c>
      <c r="I585" t="inlineStr">
        <is>
          <t>Our report load time spins for a minute before showing any chart. It affects our month-end reporting process every cycle.</t>
        </is>
      </c>
      <c r="J585" t="inlineStr">
        <is>
          <t>Negative</t>
        </is>
      </c>
      <c r="K585" t="inlineStr">
        <is>
          <t>Medium</t>
        </is>
      </c>
      <c r="L585" t="inlineStr">
        <is>
          <t>Unknown</t>
        </is>
      </c>
      <c r="M585" t="inlineStr">
        <is>
          <t>rep_slow</t>
        </is>
      </c>
      <c r="N585" t="inlineStr">
        <is>
          <t>Slow dashboards</t>
        </is>
      </c>
      <c r="O585" t="inlineStr">
        <is>
          <t>2026-03</t>
        </is>
      </c>
    </row>
    <row r="586">
      <c r="A586" t="inlineStr">
        <is>
          <t>FB-00585</t>
        </is>
      </c>
      <c r="B586" t="inlineStr">
        <is>
          <t>CUST-0035</t>
        </is>
      </c>
      <c r="C586" s="11" t="n">
        <v>46091</v>
      </c>
      <c r="D586" t="inlineStr">
        <is>
          <t>Customer Survey</t>
        </is>
      </c>
      <c r="E586" t="inlineStr">
        <is>
          <t>Professional</t>
        </is>
      </c>
      <c r="F586" t="inlineStr">
        <is>
          <t>Enterprise</t>
        </is>
      </c>
      <c r="G586" t="inlineStr">
        <is>
          <t>Workflow Automation</t>
        </is>
      </c>
      <c r="H586" t="inlineStr">
        <is>
          <t>Feature Request</t>
        </is>
      </c>
      <c r="I586" t="inlineStr">
        <is>
          <t>A library of prebuilt automations would cut our setup time. It affects our quarterly planning process every cycle.</t>
        </is>
      </c>
      <c r="J586" t="inlineStr">
        <is>
          <t>Neutral</t>
        </is>
      </c>
      <c r="K586" t="inlineStr">
        <is>
          <t>Low</t>
        </is>
      </c>
      <c r="L586" t="inlineStr">
        <is>
          <t>Minor Inconvenience</t>
        </is>
      </c>
      <c r="M586" t="inlineStr">
        <is>
          <t>wf_templates</t>
        </is>
      </c>
      <c r="N586" t="inlineStr">
        <is>
          <t>Workflow templates</t>
        </is>
      </c>
      <c r="O586" t="inlineStr">
        <is>
          <t>2026-03</t>
        </is>
      </c>
    </row>
    <row r="587">
      <c r="A587" t="inlineStr">
        <is>
          <t>FB-00586</t>
        </is>
      </c>
      <c r="B587" t="inlineStr">
        <is>
          <t>CUST-0028</t>
        </is>
      </c>
      <c r="C587" s="11" t="n">
        <v>46092</v>
      </c>
      <c r="D587" t="inlineStr">
        <is>
          <t>Feature Request</t>
        </is>
      </c>
      <c r="E587" t="inlineStr">
        <is>
          <t>Enterprise</t>
        </is>
      </c>
      <c r="F587" t="inlineStr">
        <is>
          <t>Enterprise</t>
        </is>
      </c>
      <c r="G587" t="inlineStr">
        <is>
          <t>Lead Management</t>
        </is>
      </c>
      <c r="H587" t="inlineStr">
        <is>
          <t>Feature Request</t>
        </is>
      </c>
      <c r="I587" t="inlineStr">
        <is>
          <t>Not what we expected for the price. We need a lead score model so reps can focus on the prospects most likely to close. Please look into it soon.</t>
        </is>
      </c>
      <c r="J587" t="inlineStr">
        <is>
          <t>Negative</t>
        </is>
      </c>
      <c r="K587" t="inlineStr">
        <is>
          <t>Low</t>
        </is>
      </c>
      <c r="L587" t="inlineStr">
        <is>
          <t>Minor Inconvenience</t>
        </is>
      </c>
      <c r="M587" t="inlineStr">
        <is>
          <t>lead_score</t>
        </is>
      </c>
      <c r="N587" t="inlineStr">
        <is>
          <t>Automated lead scoring</t>
        </is>
      </c>
      <c r="O587" t="inlineStr">
        <is>
          <t>2026-03</t>
        </is>
      </c>
    </row>
    <row r="588">
      <c r="A588" t="inlineStr">
        <is>
          <t>FB-00587</t>
        </is>
      </c>
      <c r="B588" t="inlineStr">
        <is>
          <t>CUST-0320</t>
        </is>
      </c>
      <c r="C588" s="11" t="n">
        <v>46092</v>
      </c>
      <c r="D588" t="inlineStr">
        <is>
          <t>Support Ticket</t>
        </is>
      </c>
      <c r="E588" t="inlineStr">
        <is>
          <t>Professional</t>
        </is>
      </c>
      <c r="F588" t="inlineStr">
        <is>
          <t>Mid-Market</t>
        </is>
      </c>
      <c r="G588" t="inlineStr">
        <is>
          <t>Integrations</t>
        </is>
      </c>
      <c r="H588" t="inlineStr">
        <is>
          <t>Integration Issue</t>
        </is>
      </c>
      <c r="I588" t="inlineStr">
        <is>
          <t>Raising this again after our last business review. Hard to debug: webhook delivery fail with vague error codes. Our customer success lead flagged it while onboarding 64 new users. We need a fix before renewal.</t>
        </is>
      </c>
      <c r="J588" t="inlineStr">
        <is>
          <t>Negative</t>
        </is>
      </c>
      <c r="K588" t="inlineStr">
        <is>
          <t>High</t>
        </is>
      </c>
      <c r="L588" t="inlineStr">
        <is>
          <t>Blocks Key Task</t>
        </is>
      </c>
      <c r="M588" t="inlineStr">
        <is>
          <t>int_api</t>
        </is>
      </c>
      <c r="N588" t="inlineStr">
        <is>
          <t>API limits and webhook failures</t>
        </is>
      </c>
      <c r="O588" t="inlineStr">
        <is>
          <t>2026-03</t>
        </is>
      </c>
    </row>
    <row r="589">
      <c r="A589" t="inlineStr">
        <is>
          <t>FB-00588</t>
        </is>
      </c>
      <c r="B589" t="inlineStr">
        <is>
          <t>CUST-0012</t>
        </is>
      </c>
      <c r="C589" s="11" t="n">
        <v>46092</v>
      </c>
      <c r="D589" t="inlineStr">
        <is>
          <t>In-App Feedback</t>
        </is>
      </c>
      <c r="E589" t="inlineStr">
        <is>
          <t>Enterprise</t>
        </is>
      </c>
      <c r="F589" t="inlineStr">
        <is>
          <t>Enterprise</t>
        </is>
      </c>
      <c r="G589" t="inlineStr">
        <is>
          <t>Lead Management</t>
        </is>
      </c>
      <c r="H589" t="inlineStr">
        <is>
          <t>Performance Issue</t>
        </is>
      </c>
      <c r="I589" t="inlineStr">
        <is>
          <t>The lead list loading gets very slow once we pass a few thousand open leads. It affects our quarterly planning process every cycle. Support suggested logging it here.</t>
        </is>
      </c>
      <c r="J589" t="inlineStr">
        <is>
          <t>Negative</t>
        </is>
      </c>
      <c r="K589" t="inlineStr">
        <is>
          <t>Medium</t>
        </is>
      </c>
      <c r="L589" t="inlineStr">
        <is>
          <t>Workflow Slowdown</t>
        </is>
      </c>
      <c r="M589" t="inlineStr">
        <is>
          <t>lead_slow</t>
        </is>
      </c>
      <c r="N589" t="inlineStr">
        <is>
          <t>Slow lead lists and pipeline board</t>
        </is>
      </c>
      <c r="O589" t="inlineStr">
        <is>
          <t>2026-03</t>
        </is>
      </c>
    </row>
    <row r="590">
      <c r="A590" t="inlineStr">
        <is>
          <t>FB-00589</t>
        </is>
      </c>
      <c r="B590" t="inlineStr">
        <is>
          <t>CUST-0012</t>
        </is>
      </c>
      <c r="C590" s="11" t="n">
        <v>46092</v>
      </c>
      <c r="D590" t="inlineStr">
        <is>
          <t>Feature Request</t>
        </is>
      </c>
      <c r="E590" t="inlineStr">
        <is>
          <t>Enterprise</t>
        </is>
      </c>
      <c r="F590" t="inlineStr">
        <is>
          <t>Enterprise</t>
        </is>
      </c>
      <c r="G590" t="inlineStr">
        <is>
          <t>Workflow Automation</t>
        </is>
      </c>
      <c r="H590" t="inlineStr">
        <is>
          <t>Feature Request</t>
        </is>
      </c>
      <c r="I590" t="inlineStr">
        <is>
          <t>Adding approval steps is a blocker for our finance team. It happens about 14 times a week for our team of 110.</t>
        </is>
      </c>
      <c r="J590" t="inlineStr">
        <is>
          <t>Neutral</t>
        </is>
      </c>
      <c r="K590" t="inlineStr">
        <is>
          <t>Low</t>
        </is>
      </c>
      <c r="L590" t="inlineStr">
        <is>
          <t>Minor Inconvenience</t>
        </is>
      </c>
      <c r="M590" t="inlineStr">
        <is>
          <t>wf_approval</t>
        </is>
      </c>
      <c r="N590" t="inlineStr">
        <is>
          <t>Approval steps in workflows</t>
        </is>
      </c>
      <c r="O590" t="inlineStr">
        <is>
          <t>2026-03</t>
        </is>
      </c>
    </row>
    <row r="591">
      <c r="A591" t="inlineStr">
        <is>
          <t>FB-00590</t>
        </is>
      </c>
      <c r="B591" t="inlineStr">
        <is>
          <t>CUST-0140</t>
        </is>
      </c>
      <c r="C591" s="11" t="n">
        <v>46092</v>
      </c>
      <c r="D591" t="inlineStr">
        <is>
          <t>Support Ticket</t>
        </is>
      </c>
      <c r="E591" t="inlineStr">
        <is>
          <t>Professional</t>
        </is>
      </c>
      <c r="F591" t="inlineStr">
        <is>
          <t>Mid-Market</t>
        </is>
      </c>
      <c r="G591" t="inlineStr">
        <is>
          <t>Workflow Automation</t>
        </is>
      </c>
      <c r="H591" t="inlineStr">
        <is>
          <t>Usability Issue</t>
        </is>
      </c>
      <c r="I591" t="inlineStr">
        <is>
          <t>Our new admins struggle with the automation canvas; there is no guidance or validation. We estimate we lose roughly 34 hours a month on this. Support suggested logging it here.</t>
        </is>
      </c>
      <c r="J591" t="inlineStr">
        <is>
          <t>Negative</t>
        </is>
      </c>
      <c r="K591" t="inlineStr">
        <is>
          <t>Medium</t>
        </is>
      </c>
      <c r="L591" t="inlineStr">
        <is>
          <t>Workflow Slowdown</t>
        </is>
      </c>
      <c r="M591" t="inlineStr">
        <is>
          <t>wf_builder</t>
        </is>
      </c>
      <c r="N591" t="inlineStr">
        <is>
          <t>Confusing workflow builder</t>
        </is>
      </c>
      <c r="O591" t="inlineStr">
        <is>
          <t>2026-03</t>
        </is>
      </c>
    </row>
    <row r="592">
      <c r="A592" t="inlineStr">
        <is>
          <t>FB-00591</t>
        </is>
      </c>
      <c r="B592" t="inlineStr">
        <is>
          <t>CUST-0181</t>
        </is>
      </c>
      <c r="C592" s="11" t="n">
        <v>46092</v>
      </c>
      <c r="D592" t="inlineStr">
        <is>
          <t>In-App Feedback</t>
        </is>
      </c>
      <c r="E592" t="inlineStr">
        <is>
          <t>Starter</t>
        </is>
      </c>
      <c r="F592" t="inlineStr">
        <is>
          <t>SMB</t>
        </is>
      </c>
      <c r="G592" t="inlineStr">
        <is>
          <t>User Interface</t>
        </is>
      </c>
      <c r="H592" t="inlineStr">
        <is>
          <t>Usability Issue</t>
        </is>
      </c>
      <c r="I592" t="inlineStr">
        <is>
          <t>FYI for the product team. The navigation menu is cluttered and I can never find the setting I need. So far 59 people on our side have reported it.</t>
        </is>
      </c>
      <c r="J592" t="inlineStr">
        <is>
          <t>Neutral</t>
        </is>
      </c>
      <c r="K592" t="inlineStr">
        <is>
          <t>Low</t>
        </is>
      </c>
      <c r="L592" t="inlineStr">
        <is>
          <t>Workflow Slowdown</t>
        </is>
      </c>
      <c r="M592" t="inlineStr">
        <is>
          <t>ui_nav</t>
        </is>
      </c>
      <c r="N592" t="inlineStr">
        <is>
          <t>Cluttered navigation</t>
        </is>
      </c>
      <c r="O592" t="inlineStr">
        <is>
          <t>2026-03</t>
        </is>
      </c>
    </row>
    <row r="593">
      <c r="A593" t="inlineStr">
        <is>
          <t>FB-00592</t>
        </is>
      </c>
      <c r="B593" t="inlineStr">
        <is>
          <t>CUST-0069</t>
        </is>
      </c>
      <c r="C593" s="11" t="n">
        <v>46092</v>
      </c>
      <c r="D593" t="inlineStr">
        <is>
          <t>Support Ticket</t>
        </is>
      </c>
      <c r="E593" t="inlineStr">
        <is>
          <t>Starter</t>
        </is>
      </c>
      <c r="F593" t="inlineStr">
        <is>
          <t>Mid-Market</t>
        </is>
      </c>
      <c r="G593" t="inlineStr">
        <is>
          <t>Integrations</t>
        </is>
      </c>
      <c r="H593" t="inlineStr">
        <is>
          <t>Feature Request</t>
        </is>
      </c>
      <c r="I593" t="inlineStr">
        <is>
          <t>Happy with most of the product. We would pay for a native Slack integration instead of maintaining Zapier chains. Thanks to the team.</t>
        </is>
      </c>
      <c r="J593" t="inlineStr">
        <is>
          <t>Positive</t>
        </is>
      </c>
      <c r="K593" t="inlineStr">
        <is>
          <t>Low</t>
        </is>
      </c>
      <c r="L593" t="inlineStr">
        <is>
          <t>Workflow Slowdown</t>
        </is>
      </c>
      <c r="M593" t="inlineStr">
        <is>
          <t>int_native</t>
        </is>
      </c>
      <c r="N593" t="inlineStr">
        <is>
          <t>Native integrations</t>
        </is>
      </c>
      <c r="O593" t="inlineStr">
        <is>
          <t>2026-03</t>
        </is>
      </c>
    </row>
    <row r="594">
      <c r="A594" t="inlineStr">
        <is>
          <t>FB-00593</t>
        </is>
      </c>
      <c r="B594" t="inlineStr">
        <is>
          <t>CUST-0108</t>
        </is>
      </c>
      <c r="C594" s="11" t="n">
        <v>46092</v>
      </c>
      <c r="D594" t="inlineStr">
        <is>
          <t>Feature Request</t>
        </is>
      </c>
      <c r="E594" t="inlineStr">
        <is>
          <t>Enterprise</t>
        </is>
      </c>
      <c r="F594" t="inlineStr">
        <is>
          <t>Mid-Market</t>
        </is>
      </c>
      <c r="G594" t="inlineStr">
        <is>
          <t>Contact Management</t>
        </is>
      </c>
      <c r="H594" t="inlineStr">
        <is>
          <t>Feature Request</t>
        </is>
      </c>
      <c r="I594" t="inlineStr">
        <is>
          <t>Is there any plan for a tool to merge duplicate contacts? Merging one record at a time is not realistic. It happens about 29 times a week for our team of 18. Keep up the good work.</t>
        </is>
      </c>
      <c r="J594" t="inlineStr">
        <is>
          <t>Positive</t>
        </is>
      </c>
      <c r="K594" t="inlineStr">
        <is>
          <t>Low</t>
        </is>
      </c>
      <c r="L594" t="inlineStr">
        <is>
          <t>Minor Inconvenience</t>
        </is>
      </c>
      <c r="M594" t="inlineStr">
        <is>
          <t>contact_dedupe</t>
        </is>
      </c>
      <c r="N594" t="inlineStr">
        <is>
          <t>Bulk contact merge</t>
        </is>
      </c>
      <c r="O594" t="inlineStr">
        <is>
          <t>2026-03</t>
        </is>
      </c>
    </row>
    <row r="595">
      <c r="A595" t="inlineStr">
        <is>
          <t>FB-00594</t>
        </is>
      </c>
      <c r="B595" t="inlineStr">
        <is>
          <t>CUST-0152</t>
        </is>
      </c>
      <c r="C595" s="11" t="n">
        <v>46092</v>
      </c>
      <c r="D595" t="inlineStr">
        <is>
          <t>Support Ticket</t>
        </is>
      </c>
      <c r="E595" t="inlineStr">
        <is>
          <t>Enterprise</t>
        </is>
      </c>
      <c r="F595" t="inlineStr">
        <is>
          <t>Enterprise</t>
        </is>
      </c>
      <c r="G595" t="inlineStr">
        <is>
          <t>Reporting</t>
        </is>
      </c>
      <c r="H595" t="inlineStr">
        <is>
          <t>Bug</t>
        </is>
      </c>
      <c r="I595" t="inlineStr">
        <is>
          <t>Raising this again after our last business review. The CSV export of reports cuts off rows after a few thousand records. It happens about 9 times a week for our team of 95.</t>
        </is>
      </c>
      <c r="J595" t="inlineStr">
        <is>
          <t>Negative</t>
        </is>
      </c>
      <c r="K595" t="inlineStr">
        <is>
          <t>Low</t>
        </is>
      </c>
      <c r="L595" t="inlineStr">
        <is>
          <t>Workflow Slowdown</t>
        </is>
      </c>
      <c r="M595" t="inlineStr">
        <is>
          <t>rep_export</t>
        </is>
      </c>
      <c r="N595" t="inlineStr">
        <is>
          <t>Broken report exports</t>
        </is>
      </c>
      <c r="O595" t="inlineStr">
        <is>
          <t>2026-03</t>
        </is>
      </c>
    </row>
    <row r="596">
      <c r="A596" t="inlineStr">
        <is>
          <t>FB-00595</t>
        </is>
      </c>
      <c r="B596" t="inlineStr">
        <is>
          <t>CUST-0296</t>
        </is>
      </c>
      <c r="C596" s="11" t="n">
        <v>46093</v>
      </c>
      <c r="D596" t="inlineStr">
        <is>
          <t>In-App Feedback</t>
        </is>
      </c>
      <c r="E596" t="inlineStr">
        <is>
          <t>Professional</t>
        </is>
      </c>
      <c r="F596" t="inlineStr">
        <is>
          <t>SMB</t>
        </is>
      </c>
      <c r="G596" t="inlineStr">
        <is>
          <t>Contact Management</t>
        </is>
      </c>
      <c r="H596" t="inlineStr">
        <is>
          <t>Feature Request</t>
        </is>
      </c>
      <c r="I596" t="inlineStr">
        <is>
          <t>Please build a tool to merge duplicate contacts with a preview of what will be combined. We need a fix before renewal.</t>
        </is>
      </c>
      <c r="J596" t="inlineStr">
        <is>
          <t>Negative</t>
        </is>
      </c>
      <c r="K596" t="inlineStr">
        <is>
          <t>Medium</t>
        </is>
      </c>
      <c r="L596" t="inlineStr">
        <is>
          <t>Blocks Key Task</t>
        </is>
      </c>
      <c r="M596" t="inlineStr">
        <is>
          <t>contact_dedupe</t>
        </is>
      </c>
      <c r="N596" t="inlineStr">
        <is>
          <t>Bulk contact merge</t>
        </is>
      </c>
      <c r="O596" t="inlineStr">
        <is>
          <t>2026-03</t>
        </is>
      </c>
    </row>
    <row r="597">
      <c r="A597" t="inlineStr">
        <is>
          <t>FB-00596</t>
        </is>
      </c>
      <c r="B597" t="inlineStr">
        <is>
          <t>CUST-0054</t>
        </is>
      </c>
      <c r="C597" s="11" t="n">
        <v>46093</v>
      </c>
      <c r="D597" t="inlineStr">
        <is>
          <t>Feature Request</t>
        </is>
      </c>
      <c r="E597" t="inlineStr">
        <is>
          <t>Enterprise</t>
        </is>
      </c>
      <c r="F597" t="inlineStr">
        <is>
          <t>Enterprise</t>
        </is>
      </c>
      <c r="G597" t="inlineStr">
        <is>
          <t>Reporting</t>
        </is>
      </c>
      <c r="H597" t="inlineStr">
        <is>
          <t>Feature Request</t>
        </is>
      </c>
      <c r="I597" t="inlineStr">
        <is>
          <t>Please add a custom report builder; today an analyst rebuilds the same report every week. Happy to join a feedback call.</t>
        </is>
      </c>
      <c r="J597" t="inlineStr">
        <is>
          <t>Neutral</t>
        </is>
      </c>
      <c r="K597" t="inlineStr">
        <is>
          <t>Medium</t>
        </is>
      </c>
      <c r="L597" t="inlineStr">
        <is>
          <t>Minor Inconvenience</t>
        </is>
      </c>
      <c r="M597" t="inlineStr">
        <is>
          <t>rep_custom</t>
        </is>
      </c>
      <c r="N597" t="inlineStr">
        <is>
          <t>Custom and scheduled reports</t>
        </is>
      </c>
      <c r="O597" t="inlineStr">
        <is>
          <t>2026-03</t>
        </is>
      </c>
    </row>
    <row r="598">
      <c r="A598" t="inlineStr">
        <is>
          <t>FB-00597</t>
        </is>
      </c>
      <c r="B598" t="inlineStr">
        <is>
          <t>CUST-0209</t>
        </is>
      </c>
      <c r="C598" s="11" t="n">
        <v>46093</v>
      </c>
      <c r="D598" t="inlineStr">
        <is>
          <t>Customer Survey</t>
        </is>
      </c>
      <c r="E598" t="inlineStr">
        <is>
          <t>Professional</t>
        </is>
      </c>
      <c r="F598" t="inlineStr">
        <is>
          <t>Enterprise</t>
        </is>
      </c>
      <c r="G598" t="inlineStr">
        <is>
          <t>User Interface</t>
        </is>
      </c>
      <c r="H598" t="inlineStr">
        <is>
          <t>Usability Issue</t>
        </is>
      </c>
      <c r="I598" t="inlineStr">
        <is>
          <t>The settings navigation is cluttered and I can never find the setting I need. We need a fix before renewal.</t>
        </is>
      </c>
      <c r="J598" t="inlineStr">
        <is>
          <t>Negative</t>
        </is>
      </c>
      <c r="K598" t="inlineStr">
        <is>
          <t>Medium</t>
        </is>
      </c>
      <c r="L598" t="inlineStr">
        <is>
          <t>Workflow Slowdown</t>
        </is>
      </c>
      <c r="M598" t="inlineStr">
        <is>
          <t>ui_nav</t>
        </is>
      </c>
      <c r="N598" t="inlineStr">
        <is>
          <t>Cluttered navigation</t>
        </is>
      </c>
      <c r="O598" t="inlineStr">
        <is>
          <t>2026-03</t>
        </is>
      </c>
    </row>
    <row r="599">
      <c r="A599" t="inlineStr">
        <is>
          <t>FB-00598</t>
        </is>
      </c>
      <c r="B599" t="inlineStr">
        <is>
          <t>CUST-0284</t>
        </is>
      </c>
      <c r="C599" s="11" t="n">
        <v>46094</v>
      </c>
      <c r="D599" t="inlineStr">
        <is>
          <t>Support Ticket</t>
        </is>
      </c>
      <c r="E599" t="inlineStr">
        <is>
          <t>Enterprise</t>
        </is>
      </c>
      <c r="F599" t="inlineStr">
        <is>
          <t>Enterprise</t>
        </is>
      </c>
      <c r="G599" t="inlineStr">
        <is>
          <t>Lead Management</t>
        </is>
      </c>
      <c r="H599" t="inlineStr">
        <is>
          <t>Bug</t>
        </is>
      </c>
      <c r="I599" t="inlineStr">
        <is>
          <t>Happy with most of the product. We are seeing duplicate lead records when a lead arrives from both the website and a trade-show list. Keep up the good work.</t>
        </is>
      </c>
      <c r="J599" t="inlineStr">
        <is>
          <t>Positive</t>
        </is>
      </c>
      <c r="K599" t="inlineStr">
        <is>
          <t>Medium</t>
        </is>
      </c>
      <c r="L599" t="inlineStr">
        <is>
          <t>Minor Inconvenience</t>
        </is>
      </c>
      <c r="M599" t="inlineStr">
        <is>
          <t>lead_dup</t>
        </is>
      </c>
      <c r="N599" t="inlineStr">
        <is>
          <t>Duplicate leads created</t>
        </is>
      </c>
      <c r="O599" t="inlineStr">
        <is>
          <t>2026-03</t>
        </is>
      </c>
    </row>
    <row r="600">
      <c r="A600" t="inlineStr">
        <is>
          <t>FB-00599</t>
        </is>
      </c>
      <c r="B600" t="inlineStr">
        <is>
          <t>CUST-0152</t>
        </is>
      </c>
      <c r="C600" s="11" t="n">
        <v>46094</v>
      </c>
      <c r="D600" t="inlineStr">
        <is>
          <t>Support Ticket</t>
        </is>
      </c>
      <c r="E600" t="inlineStr">
        <is>
          <t>Enterprise</t>
        </is>
      </c>
      <c r="F600" t="inlineStr">
        <is>
          <t>Enterprise</t>
        </is>
      </c>
      <c r="G600" t="inlineStr">
        <is>
          <t>Integrations</t>
        </is>
      </c>
      <c r="H600" t="inlineStr">
        <is>
          <t>Integration Issue</t>
        </is>
      </c>
      <c r="I600" t="inlineStr">
        <is>
          <t>This has been a recurring problem for us. Our integration partner flagged API rate limits as a risk for the project. It happens about 9 times a week for our team of 83.</t>
        </is>
      </c>
      <c r="J600" t="inlineStr">
        <is>
          <t>Negative</t>
        </is>
      </c>
      <c r="K600" t="inlineStr">
        <is>
          <t>High</t>
        </is>
      </c>
      <c r="L600" t="inlineStr">
        <is>
          <t>Workflow Slowdown</t>
        </is>
      </c>
      <c r="M600" t="inlineStr">
        <is>
          <t>int_api</t>
        </is>
      </c>
      <c r="N600" t="inlineStr">
        <is>
          <t>API limits and webhook failures</t>
        </is>
      </c>
      <c r="O600" t="inlineStr">
        <is>
          <t>2026-03</t>
        </is>
      </c>
    </row>
    <row r="601">
      <c r="A601" t="inlineStr">
        <is>
          <t>FB-00600</t>
        </is>
      </c>
      <c r="B601" t="inlineStr">
        <is>
          <t>CUST-0129</t>
        </is>
      </c>
      <c r="C601" s="11" t="n">
        <v>46094</v>
      </c>
      <c r="D601" t="inlineStr">
        <is>
          <t>Support Ticket</t>
        </is>
      </c>
      <c r="E601" t="inlineStr">
        <is>
          <t>Professional</t>
        </is>
      </c>
      <c r="F601" t="inlineStr">
        <is>
          <t>Enterprise</t>
        </is>
      </c>
      <c r="G601" t="inlineStr">
        <is>
          <t>Integrations</t>
        </is>
      </c>
      <c r="H601" t="inlineStr">
        <is>
          <t>Integration Issue</t>
        </is>
      </c>
      <c r="I601" t="inlineStr">
        <is>
          <t>Quick note from our admin. Our Outlook calendar sync keeps disconnecting and activities are missing from the contact timeline. It happens about 36 times a week for our team of 103. Happy to join a feedback call.</t>
        </is>
      </c>
      <c r="J601" t="inlineStr">
        <is>
          <t>Neutral</t>
        </is>
      </c>
      <c r="K601" t="inlineStr">
        <is>
          <t>Low</t>
        </is>
      </c>
      <c r="L601" t="inlineStr">
        <is>
          <t>Minor Inconvenience</t>
        </is>
      </c>
      <c r="M601" t="inlineStr">
        <is>
          <t>int_email</t>
        </is>
      </c>
      <c r="N601" t="inlineStr">
        <is>
          <t>Email and calendar sync drops</t>
        </is>
      </c>
      <c r="O601" t="inlineStr">
        <is>
          <t>2026-03</t>
        </is>
      </c>
    </row>
    <row r="602">
      <c r="A602" t="inlineStr">
        <is>
          <t>FB-00601</t>
        </is>
      </c>
      <c r="B602" t="inlineStr">
        <is>
          <t>CUST-0195</t>
        </is>
      </c>
      <c r="C602" s="11" t="n">
        <v>46094</v>
      </c>
      <c r="D602" t="inlineStr">
        <is>
          <t>Support Ticket</t>
        </is>
      </c>
      <c r="E602" t="inlineStr">
        <is>
          <t>Professional</t>
        </is>
      </c>
      <c r="F602" t="inlineStr">
        <is>
          <t>SMB</t>
        </is>
      </c>
      <c r="G602" t="inlineStr">
        <is>
          <t>Reporting</t>
        </is>
      </c>
      <c r="H602" t="inlineStr">
        <is>
          <t>Bug</t>
        </is>
      </c>
      <c r="I602" t="inlineStr">
        <is>
          <t>The CSV export of reports cuts off rows after a few thousand records. Happy to join a feedback call.</t>
        </is>
      </c>
      <c r="J602" t="inlineStr">
        <is>
          <t>Neutral</t>
        </is>
      </c>
      <c r="K602" t="inlineStr">
        <is>
          <t>Medium</t>
        </is>
      </c>
      <c r="L602" t="inlineStr">
        <is>
          <t>Workflow Slowdown</t>
        </is>
      </c>
      <c r="M602" t="inlineStr">
        <is>
          <t>rep_export</t>
        </is>
      </c>
      <c r="N602" t="inlineStr">
        <is>
          <t>Broken report exports</t>
        </is>
      </c>
      <c r="O602" t="inlineStr">
        <is>
          <t>2026-03</t>
        </is>
      </c>
    </row>
    <row r="603">
      <c r="A603" t="inlineStr">
        <is>
          <t>FB-00602</t>
        </is>
      </c>
      <c r="B603" t="inlineStr">
        <is>
          <t>CUST-0226</t>
        </is>
      </c>
      <c r="C603" s="11" t="n">
        <v>46095</v>
      </c>
      <c r="D603" t="inlineStr">
        <is>
          <t>Feature Request</t>
        </is>
      </c>
      <c r="E603" t="inlineStr">
        <is>
          <t>Professional</t>
        </is>
      </c>
      <c r="F603" t="inlineStr">
        <is>
          <t>Enterprise</t>
        </is>
      </c>
      <c r="G603" t="inlineStr">
        <is>
          <t>Reporting</t>
        </is>
      </c>
      <c r="H603" t="inlineStr">
        <is>
          <t>Feature Request</t>
        </is>
      </c>
      <c r="I603" t="inlineStr">
        <is>
          <t>Great support experience recently. Please add report scheduling; today an analyst rebuilds the same report every week. It happens about 8 times a week for our team of 40. Keep up the good work.</t>
        </is>
      </c>
      <c r="J603" t="inlineStr">
        <is>
          <t>Positive</t>
        </is>
      </c>
      <c r="K603" t="inlineStr">
        <is>
          <t>Medium</t>
        </is>
      </c>
      <c r="L603" t="inlineStr">
        <is>
          <t>Blocks Key Task</t>
        </is>
      </c>
      <c r="M603" t="inlineStr">
        <is>
          <t>rep_custom</t>
        </is>
      </c>
      <c r="N603" t="inlineStr">
        <is>
          <t>Custom and scheduled reports</t>
        </is>
      </c>
      <c r="O603" t="inlineStr">
        <is>
          <t>2026-03</t>
        </is>
      </c>
    </row>
    <row r="604">
      <c r="A604" t="inlineStr">
        <is>
          <t>FB-00603</t>
        </is>
      </c>
      <c r="B604" t="inlineStr">
        <is>
          <t>CUST-0136</t>
        </is>
      </c>
      <c r="C604" s="11" t="n">
        <v>46095</v>
      </c>
      <c r="D604" t="inlineStr">
        <is>
          <t>In-App Feedback</t>
        </is>
      </c>
      <c r="E604" t="inlineStr">
        <is>
          <t>Starter</t>
        </is>
      </c>
      <c r="F604" t="inlineStr">
        <is>
          <t>SMB</t>
        </is>
      </c>
      <c r="G604" t="inlineStr">
        <is>
          <t>Integrations</t>
        </is>
      </c>
      <c r="H604" t="inlineStr">
        <is>
          <t>Integration Issue</t>
        </is>
      </c>
      <c r="I604" t="inlineStr">
        <is>
          <t>Our team keeps running into this. Our Outlook calendar sync keeps disconnecting and activities are missing from the contact timeline. It happens about 33 times a week for our team of 83. We need a fix before renewal.</t>
        </is>
      </c>
      <c r="J604" t="inlineStr">
        <is>
          <t>Negative</t>
        </is>
      </c>
      <c r="K604" t="inlineStr">
        <is>
          <t>Medium</t>
        </is>
      </c>
      <c r="L604" t="inlineStr">
        <is>
          <t>Revenue/Operations Risk</t>
        </is>
      </c>
      <c r="M604" t="inlineStr">
        <is>
          <t>int_email</t>
        </is>
      </c>
      <c r="N604" t="inlineStr">
        <is>
          <t>Email and calendar sync drops</t>
        </is>
      </c>
      <c r="O604" t="inlineStr">
        <is>
          <t>2026-03</t>
        </is>
      </c>
    </row>
    <row r="605">
      <c r="A605" t="inlineStr">
        <is>
          <t>FB-00604</t>
        </is>
      </c>
      <c r="B605" t="inlineStr">
        <is>
          <t>CUST-0018</t>
        </is>
      </c>
      <c r="C605" s="11" t="n">
        <v>46095</v>
      </c>
      <c r="D605" t="inlineStr">
        <is>
          <t>Support Ticket</t>
        </is>
      </c>
      <c r="E605" t="inlineStr">
        <is>
          <t>Professional</t>
        </is>
      </c>
      <c r="F605" t="inlineStr">
        <is>
          <t>SMB</t>
        </is>
      </c>
      <c r="G605" t="inlineStr">
        <is>
          <t>Reporting</t>
        </is>
      </c>
      <c r="H605" t="inlineStr">
        <is>
          <t>Bug</t>
        </is>
      </c>
      <c r="I605" t="inlineStr">
        <is>
          <t>Finance can't rely on the CSV export of reports; totals don't match the screen. We need a fix before renewal.</t>
        </is>
      </c>
      <c r="J605" t="inlineStr">
        <is>
          <t>Negative</t>
        </is>
      </c>
      <c r="K605" t="inlineStr">
        <is>
          <t>Low</t>
        </is>
      </c>
      <c r="L605" t="inlineStr">
        <is>
          <t>Minor Inconvenience</t>
        </is>
      </c>
      <c r="M605" t="inlineStr">
        <is>
          <t>rep_export</t>
        </is>
      </c>
      <c r="N605" t="inlineStr">
        <is>
          <t>Broken report exports</t>
        </is>
      </c>
      <c r="O605" t="inlineStr">
        <is>
          <t>2026-03</t>
        </is>
      </c>
    </row>
    <row r="606">
      <c r="A606" t="inlineStr">
        <is>
          <t>FB-00605</t>
        </is>
      </c>
      <c r="B606" t="inlineStr">
        <is>
          <t>CUST-0168</t>
        </is>
      </c>
      <c r="C606" s="11" t="n">
        <v>46095</v>
      </c>
      <c r="D606" t="inlineStr">
        <is>
          <t>Support Ticket</t>
        </is>
      </c>
      <c r="E606" t="inlineStr">
        <is>
          <t>Professional</t>
        </is>
      </c>
      <c r="F606" t="inlineStr">
        <is>
          <t>Mid-Market</t>
        </is>
      </c>
      <c r="G606" t="inlineStr">
        <is>
          <t>Integrations</t>
        </is>
      </c>
      <c r="H606" t="inlineStr">
        <is>
          <t>Integration Issue</t>
        </is>
      </c>
      <c r="I606" t="inlineStr">
        <is>
          <t>The Outlook calendar sync duplicates meetings and misses replies. We estimate we lose roughly 10 hours a month on this. We need a fix before renewal.</t>
        </is>
      </c>
      <c r="J606" t="inlineStr">
        <is>
          <t>Negative</t>
        </is>
      </c>
      <c r="K606" t="inlineStr">
        <is>
          <t>High</t>
        </is>
      </c>
      <c r="L606" t="inlineStr">
        <is>
          <t>Blocks Key Task</t>
        </is>
      </c>
      <c r="M606" t="inlineStr">
        <is>
          <t>int_email</t>
        </is>
      </c>
      <c r="N606" t="inlineStr">
        <is>
          <t>Email and calendar sync drops</t>
        </is>
      </c>
      <c r="O606" t="inlineStr">
        <is>
          <t>2026-03</t>
        </is>
      </c>
    </row>
    <row r="607">
      <c r="A607" t="inlineStr">
        <is>
          <t>FB-00606</t>
        </is>
      </c>
      <c r="B607" t="inlineStr">
        <is>
          <t>CUST-0116</t>
        </is>
      </c>
      <c r="C607" s="11" t="n">
        <v>46095</v>
      </c>
      <c r="D607" t="inlineStr">
        <is>
          <t>Customer Survey</t>
        </is>
      </c>
      <c r="E607" t="inlineStr">
        <is>
          <t>Professional</t>
        </is>
      </c>
      <c r="F607" t="inlineStr">
        <is>
          <t>SMB</t>
        </is>
      </c>
      <c r="G607" t="inlineStr">
        <is>
          <t>Workflow Automation</t>
        </is>
      </c>
      <c r="H607" t="inlineStr">
        <is>
          <t>Usability Issue</t>
        </is>
      </c>
      <c r="I607" t="inlineStr">
        <is>
          <t>Not what we expected for the price. I can't tell what a branch does in the automation canvas without opening every node. So far 110 people on our side have reported it.</t>
        </is>
      </c>
      <c r="J607" t="inlineStr">
        <is>
          <t>Negative</t>
        </is>
      </c>
      <c r="K607" t="inlineStr">
        <is>
          <t>Low</t>
        </is>
      </c>
      <c r="L607" t="inlineStr">
        <is>
          <t>Minor Inconvenience</t>
        </is>
      </c>
      <c r="M607" t="inlineStr">
        <is>
          <t>wf_builder</t>
        </is>
      </c>
      <c r="N607" t="inlineStr">
        <is>
          <t>Confusing workflow builder</t>
        </is>
      </c>
      <c r="O607" t="inlineStr">
        <is>
          <t>2026-03</t>
        </is>
      </c>
    </row>
    <row r="608">
      <c r="A608" t="inlineStr">
        <is>
          <t>FB-00607</t>
        </is>
      </c>
      <c r="B608" t="inlineStr">
        <is>
          <t>CUST-0034</t>
        </is>
      </c>
      <c r="C608" s="11" t="n">
        <v>46096</v>
      </c>
      <c r="D608" t="inlineStr">
        <is>
          <t>In-App Feedback</t>
        </is>
      </c>
      <c r="E608" t="inlineStr">
        <is>
          <t>Professional</t>
        </is>
      </c>
      <c r="F608" t="inlineStr">
        <is>
          <t>Mid-Market</t>
        </is>
      </c>
      <c r="G608" t="inlineStr">
        <is>
          <t>Integrations</t>
        </is>
      </c>
      <c r="H608" t="inlineStr">
        <is>
          <t>Integration Issue</t>
        </is>
      </c>
      <c r="I608" t="inlineStr">
        <is>
          <t>FYI for the product team. After the token expires, Gmail sync stops with no warning. So far 42 people on our side have reported it.</t>
        </is>
      </c>
      <c r="J608" t="inlineStr">
        <is>
          <t>Neutral</t>
        </is>
      </c>
      <c r="K608" t="inlineStr">
        <is>
          <t>High</t>
        </is>
      </c>
      <c r="L608" t="inlineStr">
        <is>
          <t>Minor Inconvenience</t>
        </is>
      </c>
      <c r="M608" t="inlineStr">
        <is>
          <t>int_email</t>
        </is>
      </c>
      <c r="N608" t="inlineStr">
        <is>
          <t>Email and calendar sync drops</t>
        </is>
      </c>
      <c r="O608" t="inlineStr">
        <is>
          <t>2026-03</t>
        </is>
      </c>
    </row>
    <row r="609">
      <c r="A609" t="inlineStr">
        <is>
          <t>FB-00608</t>
        </is>
      </c>
      <c r="B609" t="inlineStr">
        <is>
          <t>CUST-0227</t>
        </is>
      </c>
      <c r="C609" s="11" t="n">
        <v>46096</v>
      </c>
      <c r="D609" t="inlineStr">
        <is>
          <t>Feature Request</t>
        </is>
      </c>
      <c r="E609" t="inlineStr">
        <is>
          <t>Enterprise</t>
        </is>
      </c>
      <c r="F609" t="inlineStr">
        <is>
          <t>Enterprise</t>
        </is>
      </c>
      <c r="G609" t="inlineStr">
        <is>
          <t>Workflow Automation</t>
        </is>
      </c>
      <c r="H609" t="inlineStr">
        <is>
          <t>Usability Issue</t>
        </is>
      </c>
      <c r="I609" t="inlineStr">
        <is>
          <t>Quick note from our admin. Our new admins struggle with the workflow editor; there is no guidance or validation. So far 38 people on our side have reported it.</t>
        </is>
      </c>
      <c r="J609" t="inlineStr">
        <is>
          <t>Neutral</t>
        </is>
      </c>
      <c r="K609" t="inlineStr">
        <is>
          <t>Medium</t>
        </is>
      </c>
      <c r="L609" t="inlineStr">
        <is>
          <t>Minor Inconvenience</t>
        </is>
      </c>
      <c r="M609" t="inlineStr">
        <is>
          <t>wf_builder</t>
        </is>
      </c>
      <c r="N609" t="inlineStr">
        <is>
          <t>Confusing workflow builder</t>
        </is>
      </c>
      <c r="O609" t="inlineStr">
        <is>
          <t>2026-03</t>
        </is>
      </c>
    </row>
    <row r="610">
      <c r="A610" t="inlineStr">
        <is>
          <t>FB-00609</t>
        </is>
      </c>
      <c r="B610" t="inlineStr">
        <is>
          <t>CUST-0187</t>
        </is>
      </c>
      <c r="C610" s="11" t="n">
        <v>46096</v>
      </c>
      <c r="D610" t="inlineStr">
        <is>
          <t>Support Ticket</t>
        </is>
      </c>
      <c r="E610" t="inlineStr">
        <is>
          <t>Enterprise</t>
        </is>
      </c>
      <c r="F610" t="inlineStr">
        <is>
          <t>Mid-Market</t>
        </is>
      </c>
      <c r="G610" t="inlineStr">
        <is>
          <t>Integrations</t>
        </is>
      </c>
      <c r="H610" t="inlineStr">
        <is>
          <t>Integration Issue</t>
        </is>
      </c>
      <c r="I610" t="inlineStr">
        <is>
          <t>Not what we expected for the price. We keep hitting webhook delivery during nightly syncs with our data warehouse. We estimate we lose roughly 27 hours a month on this. We need a fix before renewal.</t>
        </is>
      </c>
      <c r="J610" t="inlineStr">
        <is>
          <t>Negative</t>
        </is>
      </c>
      <c r="K610" t="inlineStr">
        <is>
          <t>High</t>
        </is>
      </c>
      <c r="L610" t="inlineStr">
        <is>
          <t>Blocks Key Task</t>
        </is>
      </c>
      <c r="M610" t="inlineStr">
        <is>
          <t>int_api</t>
        </is>
      </c>
      <c r="N610" t="inlineStr">
        <is>
          <t>API limits and webhook failures</t>
        </is>
      </c>
      <c r="O610" t="inlineStr">
        <is>
          <t>2026-03</t>
        </is>
      </c>
    </row>
    <row r="611">
      <c r="A611" t="inlineStr">
        <is>
          <t>FB-00610</t>
        </is>
      </c>
      <c r="B611" t="inlineStr">
        <is>
          <t>CUST-0229</t>
        </is>
      </c>
      <c r="C611" s="11" t="n">
        <v>46096</v>
      </c>
      <c r="D611" t="inlineStr">
        <is>
          <t>Customer Survey</t>
        </is>
      </c>
      <c r="E611" t="inlineStr">
        <is>
          <t>Starter</t>
        </is>
      </c>
      <c r="F611" t="inlineStr">
        <is>
          <t>Mid-Market</t>
        </is>
      </c>
      <c r="G611" t="inlineStr">
        <is>
          <t>Contact Management</t>
        </is>
      </c>
      <c r="H611" t="inlineStr">
        <is>
          <t>Performance Issue</t>
        </is>
      </c>
      <c r="I611" t="inlineStr">
        <is>
          <t>Our team keeps running into this. We avoid contact list filtering during calls because it takes too long. So far 45 people on our side have reported it. Please look into it soon.</t>
        </is>
      </c>
      <c r="J611" t="inlineStr">
        <is>
          <t>Negative</t>
        </is>
      </c>
      <c r="K611" t="inlineStr">
        <is>
          <t>Medium</t>
        </is>
      </c>
      <c r="L611" t="inlineStr">
        <is>
          <t>Minor Inconvenience</t>
        </is>
      </c>
      <c r="M611" t="inlineStr">
        <is>
          <t>contact_search</t>
        </is>
      </c>
      <c r="N611" t="inlineStr">
        <is>
          <t>Slow contact search</t>
        </is>
      </c>
      <c r="O611" t="inlineStr">
        <is>
          <t>2026-03</t>
        </is>
      </c>
    </row>
    <row r="612">
      <c r="A612" t="inlineStr">
        <is>
          <t>FB-00611</t>
        </is>
      </c>
      <c r="B612" t="inlineStr">
        <is>
          <t>CUST-0054</t>
        </is>
      </c>
      <c r="C612" s="11" t="n">
        <v>46096</v>
      </c>
      <c r="D612" t="inlineStr">
        <is>
          <t>Support Ticket</t>
        </is>
      </c>
      <c r="E612" t="inlineStr">
        <is>
          <t>Enterprise</t>
        </is>
      </c>
      <c r="F612" t="inlineStr">
        <is>
          <t>Enterprise</t>
        </is>
      </c>
      <c r="G612" t="inlineStr">
        <is>
          <t>Integrations</t>
        </is>
      </c>
      <c r="H612" t="inlineStr">
        <is>
          <t>Integration Issue</t>
        </is>
      </c>
      <c r="I612" t="inlineStr">
        <is>
          <t>Noting this during onboarding. We keep hitting webhook delivery during nightly syncs with our data warehouse.</t>
        </is>
      </c>
      <c r="J612" t="inlineStr">
        <is>
          <t>Neutral</t>
        </is>
      </c>
      <c r="K612" t="inlineStr">
        <is>
          <t>Medium</t>
        </is>
      </c>
      <c r="L612" t="inlineStr">
        <is>
          <t>Minor Inconvenience</t>
        </is>
      </c>
      <c r="M612" t="inlineStr">
        <is>
          <t>int_api</t>
        </is>
      </c>
      <c r="N612" t="inlineStr">
        <is>
          <t>API limits and webhook failures</t>
        </is>
      </c>
      <c r="O612" t="inlineStr">
        <is>
          <t>2026-03</t>
        </is>
      </c>
    </row>
    <row r="613">
      <c r="A613" t="inlineStr">
        <is>
          <t>FB-00612</t>
        </is>
      </c>
      <c r="B613" t="inlineStr">
        <is>
          <t>CUST-0293</t>
        </is>
      </c>
      <c r="C613" s="11" t="n">
        <v>46096</v>
      </c>
      <c r="D613" t="inlineStr">
        <is>
          <t>Feature Request</t>
        </is>
      </c>
      <c r="E613" t="inlineStr">
        <is>
          <t>Enterprise</t>
        </is>
      </c>
      <c r="F613" t="inlineStr">
        <is>
          <t>Enterprise</t>
        </is>
      </c>
      <c r="G613" t="inlineStr">
        <is>
          <t>Workflow Automation</t>
        </is>
      </c>
      <c r="H613" t="inlineStr">
        <is>
          <t>Feature Request</t>
        </is>
      </c>
      <c r="I613" t="inlineStr">
        <is>
          <t>Happy with most of the product. Requesting approval steps; today approvals happen over chat. We estimate we lose roughly 10 hours a month on this.</t>
        </is>
      </c>
      <c r="J613" t="inlineStr">
        <is>
          <t>Positive</t>
        </is>
      </c>
      <c r="K613" t="inlineStr">
        <is>
          <t>High</t>
        </is>
      </c>
      <c r="L613" t="inlineStr">
        <is>
          <t>Blocks Key Task</t>
        </is>
      </c>
      <c r="M613" t="inlineStr">
        <is>
          <t>wf_approval</t>
        </is>
      </c>
      <c r="N613" t="inlineStr">
        <is>
          <t>Approval steps in workflows</t>
        </is>
      </c>
      <c r="O613" t="inlineStr">
        <is>
          <t>2026-03</t>
        </is>
      </c>
    </row>
    <row r="614">
      <c r="A614" t="inlineStr">
        <is>
          <t>FB-00613</t>
        </is>
      </c>
      <c r="B614" t="inlineStr">
        <is>
          <t>CUST-0054</t>
        </is>
      </c>
      <c r="C614" s="11" t="n">
        <v>46097</v>
      </c>
      <c r="D614" t="inlineStr">
        <is>
          <t>Support Ticket</t>
        </is>
      </c>
      <c r="E614" t="inlineStr">
        <is>
          <t>Enterprise</t>
        </is>
      </c>
      <c r="F614" t="inlineStr">
        <is>
          <t>Enterprise</t>
        </is>
      </c>
      <c r="G614" t="inlineStr">
        <is>
          <t>Integrations</t>
        </is>
      </c>
      <c r="H614" t="inlineStr">
        <is>
          <t>Integration Issue</t>
        </is>
      </c>
      <c r="I614" t="inlineStr">
        <is>
          <t>Frustrated with this one. Reps no longer trust Outlook calendar sync, so they log activity by hand. Is there a workaround?</t>
        </is>
      </c>
      <c r="J614" t="inlineStr">
        <is>
          <t>Negative</t>
        </is>
      </c>
      <c r="K614" t="inlineStr">
        <is>
          <t>Medium</t>
        </is>
      </c>
      <c r="L614" t="inlineStr">
        <is>
          <t>Minor Inconvenience</t>
        </is>
      </c>
      <c r="M614" t="inlineStr">
        <is>
          <t>int_email</t>
        </is>
      </c>
      <c r="N614" t="inlineStr">
        <is>
          <t>Email and calendar sync drops</t>
        </is>
      </c>
      <c r="O614" t="inlineStr">
        <is>
          <t>2026-03</t>
        </is>
      </c>
    </row>
    <row r="615">
      <c r="A615" t="inlineStr">
        <is>
          <t>FB-00614</t>
        </is>
      </c>
      <c r="B615" t="inlineStr">
        <is>
          <t>CUST-0264</t>
        </is>
      </c>
      <c r="C615" s="11" t="n">
        <v>46097</v>
      </c>
      <c r="D615" t="inlineStr">
        <is>
          <t>Customer Survey</t>
        </is>
      </c>
      <c r="E615" t="inlineStr">
        <is>
          <t>Professional</t>
        </is>
      </c>
      <c r="F615" t="inlineStr">
        <is>
          <t>Mid-Market</t>
        </is>
      </c>
      <c r="G615" t="inlineStr">
        <is>
          <t>Workflow Automation</t>
        </is>
      </c>
      <c r="H615" t="inlineStr">
        <is>
          <t>Feature Request</t>
        </is>
      </c>
      <c r="I615" t="inlineStr">
        <is>
          <t>Happy with most of the product. We'd adopt automation faster with workflow templates we could customize. Happy to beta test.</t>
        </is>
      </c>
      <c r="J615" t="inlineStr">
        <is>
          <t>Positive</t>
        </is>
      </c>
      <c r="K615" t="inlineStr">
        <is>
          <t>Low</t>
        </is>
      </c>
      <c r="L615" t="inlineStr">
        <is>
          <t>Minor Inconvenience</t>
        </is>
      </c>
      <c r="M615" t="inlineStr">
        <is>
          <t>wf_templates</t>
        </is>
      </c>
      <c r="N615" t="inlineStr">
        <is>
          <t>Workflow templates</t>
        </is>
      </c>
      <c r="O615" t="inlineStr">
        <is>
          <t>2026-03</t>
        </is>
      </c>
    </row>
    <row r="616">
      <c r="A616" t="inlineStr">
        <is>
          <t>FB-00615</t>
        </is>
      </c>
      <c r="B616" t="inlineStr">
        <is>
          <t>CUST-0243</t>
        </is>
      </c>
      <c r="C616" s="11" t="n">
        <v>46097</v>
      </c>
      <c r="D616" t="inlineStr">
        <is>
          <t>Support Ticket</t>
        </is>
      </c>
      <c r="E616" t="inlineStr">
        <is>
          <t>Professional</t>
        </is>
      </c>
      <c r="F616" t="inlineStr">
        <is>
          <t>SMB</t>
        </is>
      </c>
      <c r="G616" t="inlineStr">
        <is>
          <t>Lead Management</t>
        </is>
      </c>
      <c r="H616" t="inlineStr">
        <is>
          <t>Performance Issue</t>
        </is>
      </c>
      <c r="I616" t="inlineStr">
        <is>
          <t>Reps have stopped using the board because of pipeline board loading. It affects our quarterly planning process every cycle. Please look into it soon.</t>
        </is>
      </c>
      <c r="J616" t="inlineStr">
        <is>
          <t>Negative</t>
        </is>
      </c>
      <c r="K616" t="inlineStr">
        <is>
          <t>Medium</t>
        </is>
      </c>
      <c r="L616" t="inlineStr">
        <is>
          <t>Workflow Slowdown</t>
        </is>
      </c>
      <c r="M616" t="inlineStr">
        <is>
          <t>lead_slow</t>
        </is>
      </c>
      <c r="N616" t="inlineStr">
        <is>
          <t>Slow lead lists and pipeline board</t>
        </is>
      </c>
      <c r="O616" t="inlineStr">
        <is>
          <t>2026-03</t>
        </is>
      </c>
    </row>
    <row r="617">
      <c r="A617" t="inlineStr">
        <is>
          <t>FB-00616</t>
        </is>
      </c>
      <c r="B617" t="inlineStr">
        <is>
          <t>CUST-0010</t>
        </is>
      </c>
      <c r="C617" s="11" t="n">
        <v>46097</v>
      </c>
      <c r="D617" t="inlineStr">
        <is>
          <t>In-App Feedback</t>
        </is>
      </c>
      <c r="E617" t="inlineStr">
        <is>
          <t>Professional</t>
        </is>
      </c>
      <c r="F617" t="inlineStr">
        <is>
          <t>SMB</t>
        </is>
      </c>
      <c r="G617" t="inlineStr">
        <is>
          <t>Integrations</t>
        </is>
      </c>
      <c r="H617" t="inlineStr">
        <is>
          <t>Integration Issue</t>
        </is>
      </c>
      <c r="I617" t="inlineStr">
        <is>
          <t>After the token expires, Gmail sync stops with no warning. So far 64 people on our side have reported it. Let us know if you need examples.</t>
        </is>
      </c>
      <c r="J617" t="inlineStr">
        <is>
          <t>Neutral</t>
        </is>
      </c>
      <c r="K617" t="inlineStr">
        <is>
          <t>Low</t>
        </is>
      </c>
      <c r="L617" t="inlineStr">
        <is>
          <t>Workflow Slowdown</t>
        </is>
      </c>
      <c r="M617" t="inlineStr">
        <is>
          <t>int_email</t>
        </is>
      </c>
      <c r="N617" t="inlineStr">
        <is>
          <t>Email and calendar sync drops</t>
        </is>
      </c>
      <c r="O617" t="inlineStr">
        <is>
          <t>2026-03</t>
        </is>
      </c>
    </row>
    <row r="618">
      <c r="A618" t="inlineStr">
        <is>
          <t>FB-00617</t>
        </is>
      </c>
      <c r="B618" t="inlineStr">
        <is>
          <t>CUST-0117</t>
        </is>
      </c>
      <c r="C618" s="11" t="n">
        <v>46097</v>
      </c>
      <c r="D618" t="inlineStr">
        <is>
          <t>Feature Request</t>
        </is>
      </c>
      <c r="E618" t="inlineStr">
        <is>
          <t>Professional</t>
        </is>
      </c>
      <c r="F618" t="inlineStr">
        <is>
          <t>Mid-Market</t>
        </is>
      </c>
      <c r="G618" t="inlineStr">
        <is>
          <t>Reporting</t>
        </is>
      </c>
      <c r="H618" t="inlineStr">
        <is>
          <t>Feature Request</t>
        </is>
      </c>
      <c r="I618" t="inlineStr">
        <is>
          <t>Quick note from our admin. We need scheduled report emails so non-technical managers can create their own views. It happens about 3 times a week for our team of 49.</t>
        </is>
      </c>
      <c r="J618" t="inlineStr">
        <is>
          <t>Neutral</t>
        </is>
      </c>
      <c r="K618" t="inlineStr">
        <is>
          <t>Low</t>
        </is>
      </c>
      <c r="L618" t="inlineStr">
        <is>
          <t>Minor Inconvenience</t>
        </is>
      </c>
      <c r="M618" t="inlineStr">
        <is>
          <t>rep_custom</t>
        </is>
      </c>
      <c r="N618" t="inlineStr">
        <is>
          <t>Custom and scheduled reports</t>
        </is>
      </c>
      <c r="O618" t="inlineStr">
        <is>
          <t>2026-03</t>
        </is>
      </c>
    </row>
    <row r="619">
      <c r="A619" t="inlineStr">
        <is>
          <t>FB-00618</t>
        </is>
      </c>
      <c r="B619" t="inlineStr">
        <is>
          <t>CUST-0314</t>
        </is>
      </c>
      <c r="C619" s="11" t="n">
        <v>46098</v>
      </c>
      <c r="D619" t="inlineStr">
        <is>
          <t>In-App Feedback</t>
        </is>
      </c>
      <c r="E619" t="inlineStr">
        <is>
          <t>Enterprise</t>
        </is>
      </c>
      <c r="F619" t="inlineStr">
        <is>
          <t>Mid-Market</t>
        </is>
      </c>
      <c r="G619" t="inlineStr">
        <is>
          <t>Contact Management</t>
        </is>
      </c>
      <c r="H619" t="inlineStr">
        <is>
          <t>Feature Request</t>
        </is>
      </c>
      <c r="I619" t="inlineStr">
        <is>
          <t>Feedback from our monthly review. Please extend an account hierarchy view; the current limit is too small for our use case. So far 94 people on our side have reported it. Let us know if you need examples.</t>
        </is>
      </c>
      <c r="J619" t="inlineStr">
        <is>
          <t>Neutral</t>
        </is>
      </c>
      <c r="K619" t="inlineStr">
        <is>
          <t>Low</t>
        </is>
      </c>
      <c r="L619" t="inlineStr">
        <is>
          <t>Workflow Slowdown</t>
        </is>
      </c>
      <c r="M619" t="inlineStr">
        <is>
          <t>contact_custom</t>
        </is>
      </c>
      <c r="N619" t="inlineStr">
        <is>
          <t>Custom fields and hierarchy</t>
        </is>
      </c>
      <c r="O619" t="inlineStr">
        <is>
          <t>2026-03</t>
        </is>
      </c>
    </row>
    <row r="620">
      <c r="A620" t="inlineStr">
        <is>
          <t>FB-00619</t>
        </is>
      </c>
      <c r="B620" t="inlineStr">
        <is>
          <t>CUST-0220</t>
        </is>
      </c>
      <c r="C620" s="11" t="n">
        <v>46098</v>
      </c>
      <c r="D620" t="inlineStr">
        <is>
          <t>Support Ticket</t>
        </is>
      </c>
      <c r="E620" t="inlineStr">
        <is>
          <t>Professional</t>
        </is>
      </c>
      <c r="F620" t="inlineStr">
        <is>
          <t>Mid-Market</t>
        </is>
      </c>
      <c r="G620" t="inlineStr">
        <is>
          <t>Lead Management</t>
        </is>
      </c>
      <c r="H620" t="inlineStr">
        <is>
          <t>Bug</t>
        </is>
      </c>
      <c r="I620" t="inlineStr">
        <is>
          <t>Our team keeps running into this. Web form submissions keep creating duplicate lead records, and reps end up calling the same prospect twice. Is there a workaround?</t>
        </is>
      </c>
      <c r="J620" t="inlineStr">
        <is>
          <t>Negative</t>
        </is>
      </c>
      <c r="K620" t="inlineStr">
        <is>
          <t>Medium</t>
        </is>
      </c>
      <c r="L620" t="inlineStr">
        <is>
          <t>Workflow Slowdown</t>
        </is>
      </c>
      <c r="M620" t="inlineStr">
        <is>
          <t>lead_dup</t>
        </is>
      </c>
      <c r="N620" t="inlineStr">
        <is>
          <t>Duplicate leads created</t>
        </is>
      </c>
      <c r="O620" t="inlineStr">
        <is>
          <t>2026-03</t>
        </is>
      </c>
    </row>
    <row r="621">
      <c r="A621" t="inlineStr">
        <is>
          <t>FB-00620</t>
        </is>
      </c>
      <c r="B621" t="inlineStr">
        <is>
          <t>CUST-0312</t>
        </is>
      </c>
      <c r="C621" s="11" t="n">
        <v>46098</v>
      </c>
      <c r="D621" t="inlineStr">
        <is>
          <t>Support Ticket</t>
        </is>
      </c>
      <c r="E621" t="inlineStr">
        <is>
          <t>Professional</t>
        </is>
      </c>
      <c r="F621" t="inlineStr">
        <is>
          <t>Mid-Market</t>
        </is>
      </c>
      <c r="G621" t="inlineStr">
        <is>
          <t>Lead Management</t>
        </is>
      </c>
      <c r="H621" t="inlineStr">
        <is>
          <t>Bug</t>
        </is>
      </c>
      <c r="I621" t="inlineStr">
        <is>
          <t>After every list import we find duplicated leads that have to be cleaned up by hand. It happens about 14 times a week for our team of 55. Please look into it soon.</t>
        </is>
      </c>
      <c r="J621" t="inlineStr">
        <is>
          <t>Negative</t>
        </is>
      </c>
      <c r="K621" t="inlineStr">
        <is>
          <t>Medium</t>
        </is>
      </c>
      <c r="L621" t="inlineStr">
        <is>
          <t>Workflow Slowdown</t>
        </is>
      </c>
      <c r="M621" t="inlineStr">
        <is>
          <t>lead_dup</t>
        </is>
      </c>
      <c r="N621" t="inlineStr">
        <is>
          <t>Duplicate leads created</t>
        </is>
      </c>
      <c r="O621" t="inlineStr">
        <is>
          <t>2026-03</t>
        </is>
      </c>
    </row>
    <row r="622">
      <c r="A622" t="inlineStr">
        <is>
          <t>FB-00621</t>
        </is>
      </c>
      <c r="B622" t="inlineStr">
        <is>
          <t>CUST-0369</t>
        </is>
      </c>
      <c r="C622" s="11" t="n">
        <v>46099</v>
      </c>
      <c r="D622" t="inlineStr">
        <is>
          <t>Customer Survey</t>
        </is>
      </c>
      <c r="E622" t="inlineStr">
        <is>
          <t>Professional</t>
        </is>
      </c>
      <c r="F622" t="inlineStr">
        <is>
          <t>Mid-Market</t>
        </is>
      </c>
      <c r="G622" t="inlineStr">
        <is>
          <t>Contact Management</t>
        </is>
      </c>
      <c r="H622" t="inlineStr">
        <is>
          <t>Feature Request</t>
        </is>
      </c>
      <c r="I622" t="inlineStr">
        <is>
          <t>Contact de-duplication tooling that keeps activity history would save our ops team hours. Our finance analyst flagged it while onboarding 91 new users.</t>
        </is>
      </c>
      <c r="J622" t="inlineStr">
        <is>
          <t>Neutral</t>
        </is>
      </c>
      <c r="K622" t="inlineStr">
        <is>
          <t>Medium</t>
        </is>
      </c>
      <c r="L622" t="inlineStr">
        <is>
          <t>Blocks Key Task</t>
        </is>
      </c>
      <c r="M622" t="inlineStr">
        <is>
          <t>contact_dedupe</t>
        </is>
      </c>
      <c r="N622" t="inlineStr">
        <is>
          <t>Bulk contact merge</t>
        </is>
      </c>
      <c r="O622" t="inlineStr">
        <is>
          <t>2026-03</t>
        </is>
      </c>
    </row>
    <row r="623">
      <c r="A623" t="inlineStr">
        <is>
          <t>FB-00622</t>
        </is>
      </c>
      <c r="B623" t="inlineStr">
        <is>
          <t>CUST-0116</t>
        </is>
      </c>
      <c r="C623" s="11" t="n">
        <v>46099</v>
      </c>
      <c r="D623" t="inlineStr">
        <is>
          <t>Support Ticket</t>
        </is>
      </c>
      <c r="E623" t="inlineStr">
        <is>
          <t>Professional</t>
        </is>
      </c>
      <c r="F623" t="inlineStr">
        <is>
          <t>SMB</t>
        </is>
      </c>
      <c r="G623" t="inlineStr">
        <is>
          <t>Lead Management</t>
        </is>
      </c>
      <c r="H623" t="inlineStr">
        <is>
          <t>Performance Issue</t>
        </is>
      </c>
      <c r="I623" t="inlineStr">
        <is>
          <t>Raising this again after our last business review. Our pipeline board loading regularly exceeds ten seconds on Monday mornings. It affects our lead handoff process every cycle. We need a fix before renewal.</t>
        </is>
      </c>
      <c r="J623" t="inlineStr">
        <is>
          <t>Negative</t>
        </is>
      </c>
      <c r="K623" t="inlineStr">
        <is>
          <t>Critical</t>
        </is>
      </c>
      <c r="L623" t="inlineStr">
        <is>
          <t>Revenue/Operations Risk</t>
        </is>
      </c>
      <c r="M623" t="inlineStr">
        <is>
          <t>lead_slow</t>
        </is>
      </c>
      <c r="N623" t="inlineStr">
        <is>
          <t>Slow lead lists and pipeline board</t>
        </is>
      </c>
      <c r="O623" t="inlineStr">
        <is>
          <t>2026-03</t>
        </is>
      </c>
    </row>
    <row r="624">
      <c r="A624" t="inlineStr">
        <is>
          <t>FB-00623</t>
        </is>
      </c>
      <c r="B624" t="inlineStr">
        <is>
          <t>CUST-0243</t>
        </is>
      </c>
      <c r="C624" s="11" t="n">
        <v>46100</v>
      </c>
      <c r="D624" t="inlineStr">
        <is>
          <t>Support Ticket</t>
        </is>
      </c>
      <c r="E624" t="inlineStr">
        <is>
          <t>Professional</t>
        </is>
      </c>
      <c r="F624" t="inlineStr">
        <is>
          <t>SMB</t>
        </is>
      </c>
      <c r="G624" t="inlineStr">
        <is>
          <t>Workflow Automation</t>
        </is>
      </c>
      <c r="H624" t="inlineStr">
        <is>
          <t>Bug</t>
        </is>
      </c>
      <c r="I624" t="inlineStr">
        <is>
          <t>Several workflow failures left deals stuck in the wrong stage.</t>
        </is>
      </c>
      <c r="J624" t="inlineStr">
        <is>
          <t>Neutral</t>
        </is>
      </c>
      <c r="K624" t="inlineStr">
        <is>
          <t>Medium</t>
        </is>
      </c>
      <c r="L624" t="inlineStr">
        <is>
          <t>Revenue/Operations Risk</t>
        </is>
      </c>
      <c r="M624" t="inlineStr">
        <is>
          <t>wf_fail</t>
        </is>
      </c>
      <c r="N624" t="inlineStr">
        <is>
          <t>Workflows failing silently</t>
        </is>
      </c>
      <c r="O624" t="inlineStr">
        <is>
          <t>2026-03</t>
        </is>
      </c>
    </row>
    <row r="625">
      <c r="A625" t="inlineStr">
        <is>
          <t>FB-00624</t>
        </is>
      </c>
      <c r="B625" t="inlineStr">
        <is>
          <t>CUST-0365</t>
        </is>
      </c>
      <c r="C625" s="11" t="n">
        <v>46100</v>
      </c>
      <c r="D625" t="inlineStr">
        <is>
          <t>In-App Feedback</t>
        </is>
      </c>
      <c r="E625" t="inlineStr">
        <is>
          <t>Starter</t>
        </is>
      </c>
      <c r="F625" t="inlineStr">
        <is>
          <t>SMB</t>
        </is>
      </c>
      <c r="G625" t="inlineStr">
        <is>
          <t>Workflow Automation</t>
        </is>
      </c>
      <c r="H625" t="inlineStr">
        <is>
          <t>Usability Issue</t>
        </is>
      </c>
      <c r="I625" t="inlineStr">
        <is>
          <t>FYI for the product team. I can't tell what a branch does in the workflow editor without opening every node. Let us know if you need examples.</t>
        </is>
      </c>
      <c r="J625" t="inlineStr">
        <is>
          <t>Neutral</t>
        </is>
      </c>
      <c r="K625" t="inlineStr">
        <is>
          <t>Medium</t>
        </is>
      </c>
      <c r="L625" t="inlineStr">
        <is>
          <t>Minor Inconvenience</t>
        </is>
      </c>
      <c r="M625" t="inlineStr">
        <is>
          <t>wf_builder</t>
        </is>
      </c>
      <c r="N625" t="inlineStr">
        <is>
          <t>Confusing workflow builder</t>
        </is>
      </c>
      <c r="O625" t="inlineStr">
        <is>
          <t>2026-03</t>
        </is>
      </c>
    </row>
    <row r="626">
      <c r="A626" t="inlineStr">
        <is>
          <t>FB-00625</t>
        </is>
      </c>
      <c r="B626" t="inlineStr">
        <is>
          <t>CUST-0176</t>
        </is>
      </c>
      <c r="C626" s="11" t="n">
        <v>46100</v>
      </c>
      <c r="D626" t="inlineStr">
        <is>
          <t>Support Ticket</t>
        </is>
      </c>
      <c r="E626" t="inlineStr">
        <is>
          <t>Starter</t>
        </is>
      </c>
      <c r="F626" t="inlineStr">
        <is>
          <t>SMB</t>
        </is>
      </c>
      <c r="G626" t="inlineStr">
        <is>
          <t>Contact Management</t>
        </is>
      </c>
      <c r="H626" t="inlineStr">
        <is>
          <t>Bug</t>
        </is>
      </c>
      <c r="I626" t="inlineStr">
        <is>
          <t>The spreadsheet import rejects files with accented characters in names. So far 47 people on our side have reported it. Is there a workaround?</t>
        </is>
      </c>
      <c r="J626" t="inlineStr">
        <is>
          <t>Negative</t>
        </is>
      </c>
      <c r="K626" t="inlineStr">
        <is>
          <t>Low</t>
        </is>
      </c>
      <c r="L626" t="inlineStr">
        <is>
          <t>Minor Inconvenience</t>
        </is>
      </c>
      <c r="M626" t="inlineStr">
        <is>
          <t>contact_import</t>
        </is>
      </c>
      <c r="N626" t="inlineStr">
        <is>
          <t>Unreliable contact imports</t>
        </is>
      </c>
      <c r="O626" t="inlineStr">
        <is>
          <t>2026-03</t>
        </is>
      </c>
    </row>
    <row r="627">
      <c r="A627" t="inlineStr">
        <is>
          <t>FB-00626</t>
        </is>
      </c>
      <c r="B627" t="inlineStr">
        <is>
          <t>CUST-0365</t>
        </is>
      </c>
      <c r="C627" s="11" t="n">
        <v>46100</v>
      </c>
      <c r="D627" t="inlineStr">
        <is>
          <t>In-App Feedback</t>
        </is>
      </c>
      <c r="E627" t="inlineStr">
        <is>
          <t>Starter</t>
        </is>
      </c>
      <c r="F627" t="inlineStr">
        <is>
          <t>SMB</t>
        </is>
      </c>
      <c r="G627" t="inlineStr">
        <is>
          <t>User Interface</t>
        </is>
      </c>
      <c r="H627" t="inlineStr">
        <is>
          <t>Usability Issue</t>
        </is>
      </c>
      <c r="I627" t="inlineStr">
        <is>
          <t>Escalating on behalf of our ops lead. New hires get lost in the page layout; it takes weeks to learn. It happens about 36 times a week for our team of 28. We need a fix before renewal.</t>
        </is>
      </c>
      <c r="J627" t="inlineStr">
        <is>
          <t>Negative</t>
        </is>
      </c>
      <c r="K627" t="inlineStr">
        <is>
          <t>Low</t>
        </is>
      </c>
      <c r="L627" t="inlineStr">
        <is>
          <t>Workflow Slowdown</t>
        </is>
      </c>
      <c r="M627" t="inlineStr">
        <is>
          <t>ui_nav</t>
        </is>
      </c>
      <c r="N627" t="inlineStr">
        <is>
          <t>Cluttered navigation</t>
        </is>
      </c>
      <c r="O627" t="inlineStr">
        <is>
          <t>2026-03</t>
        </is>
      </c>
    </row>
    <row r="628">
      <c r="A628" t="inlineStr">
        <is>
          <t>FB-00627</t>
        </is>
      </c>
      <c r="B628" t="inlineStr">
        <is>
          <t>CUST-0140</t>
        </is>
      </c>
      <c r="C628" s="11" t="n">
        <v>46100</v>
      </c>
      <c r="D628" t="inlineStr">
        <is>
          <t>Support Ticket</t>
        </is>
      </c>
      <c r="E628" t="inlineStr">
        <is>
          <t>Professional</t>
        </is>
      </c>
      <c r="F628" t="inlineStr">
        <is>
          <t>Mid-Market</t>
        </is>
      </c>
      <c r="G628" t="inlineStr">
        <is>
          <t>Integrations</t>
        </is>
      </c>
      <c r="H628" t="inlineStr">
        <is>
          <t>Integration Issue</t>
        </is>
      </c>
      <c r="I628" t="inlineStr">
        <is>
          <t>Our team keeps running into this. The Gmail sync duplicates meetings and misses replies. Is there a workaround?</t>
        </is>
      </c>
      <c r="J628" t="inlineStr">
        <is>
          <t>Negative</t>
        </is>
      </c>
      <c r="K628" t="inlineStr">
        <is>
          <t>Medium</t>
        </is>
      </c>
      <c r="L628" t="inlineStr">
        <is>
          <t>Blocks Key Task</t>
        </is>
      </c>
      <c r="M628" t="inlineStr">
        <is>
          <t>int_email</t>
        </is>
      </c>
      <c r="N628" t="inlineStr">
        <is>
          <t>Email and calendar sync drops</t>
        </is>
      </c>
      <c r="O628" t="inlineStr">
        <is>
          <t>2026-03</t>
        </is>
      </c>
    </row>
    <row r="629">
      <c r="A629" t="inlineStr">
        <is>
          <t>FB-00628</t>
        </is>
      </c>
      <c r="B629" t="inlineStr">
        <is>
          <t>CUST-0010</t>
        </is>
      </c>
      <c r="C629" s="11" t="n">
        <v>46100</v>
      </c>
      <c r="D629" t="inlineStr">
        <is>
          <t>In-App Feedback</t>
        </is>
      </c>
      <c r="E629" t="inlineStr">
        <is>
          <t>Professional</t>
        </is>
      </c>
      <c r="F629" t="inlineStr">
        <is>
          <t>SMB</t>
        </is>
      </c>
      <c r="G629" t="inlineStr">
        <is>
          <t>Reporting</t>
        </is>
      </c>
      <c r="H629" t="inlineStr">
        <is>
          <t>Performance Issue</t>
        </is>
      </c>
      <c r="I629" t="inlineStr">
        <is>
          <t>Frustrated with this one. Report load time got noticeably worse over the last few months. Our RevOps lead flagged it while onboarding 97 new users.</t>
        </is>
      </c>
      <c r="J629" t="inlineStr">
        <is>
          <t>Negative</t>
        </is>
      </c>
      <c r="K629" t="inlineStr">
        <is>
          <t>Medium</t>
        </is>
      </c>
      <c r="L629" t="inlineStr">
        <is>
          <t>Workflow Slowdown</t>
        </is>
      </c>
      <c r="M629" t="inlineStr">
        <is>
          <t>rep_slow</t>
        </is>
      </c>
      <c r="N629" t="inlineStr">
        <is>
          <t>Slow dashboards</t>
        </is>
      </c>
      <c r="O629" t="inlineStr">
        <is>
          <t>2026-03</t>
        </is>
      </c>
    </row>
    <row r="630">
      <c r="A630" t="inlineStr">
        <is>
          <t>FB-00629</t>
        </is>
      </c>
      <c r="B630" t="inlineStr">
        <is>
          <t>CUST-0352</t>
        </is>
      </c>
      <c r="C630" s="11" t="n">
        <v>46100</v>
      </c>
      <c r="D630" t="inlineStr">
        <is>
          <t>Customer Survey</t>
        </is>
      </c>
      <c r="E630" t="inlineStr">
        <is>
          <t>Starter</t>
        </is>
      </c>
      <c r="F630" t="inlineStr">
        <is>
          <t>SMB</t>
        </is>
      </c>
      <c r="G630" t="inlineStr">
        <is>
          <t>Workflow Automation</t>
        </is>
      </c>
      <c r="H630" t="inlineStr">
        <is>
          <t>Usability Issue</t>
        </is>
      </c>
      <c r="I630" t="inlineStr">
        <is>
          <t>Our team keeps running into this. Our new admins struggle with the workflow builder; there is no guidance or validation. So far 56 people on our side have reported it.</t>
        </is>
      </c>
      <c r="J630" t="inlineStr">
        <is>
          <t>Negative</t>
        </is>
      </c>
      <c r="K630" t="inlineStr">
        <is>
          <t>Medium</t>
        </is>
      </c>
      <c r="L630" t="inlineStr">
        <is>
          <t>Workflow Slowdown</t>
        </is>
      </c>
      <c r="M630" t="inlineStr">
        <is>
          <t>wf_builder</t>
        </is>
      </c>
      <c r="N630" t="inlineStr">
        <is>
          <t>Confusing workflow builder</t>
        </is>
      </c>
      <c r="O630" t="inlineStr">
        <is>
          <t>2026-03</t>
        </is>
      </c>
    </row>
    <row r="631">
      <c r="A631" t="inlineStr">
        <is>
          <t>FB-00630</t>
        </is>
      </c>
      <c r="B631" t="inlineStr">
        <is>
          <t>CUST-0334</t>
        </is>
      </c>
      <c r="C631" s="11" t="n">
        <v>46100</v>
      </c>
      <c r="D631" t="inlineStr">
        <is>
          <t>Customer Survey</t>
        </is>
      </c>
      <c r="E631" t="inlineStr">
        <is>
          <t>Enterprise</t>
        </is>
      </c>
      <c r="F631" t="inlineStr">
        <is>
          <t>SMB</t>
        </is>
      </c>
      <c r="G631" t="inlineStr">
        <is>
          <t>Workflow Automation</t>
        </is>
      </c>
      <c r="H631" t="inlineStr">
        <is>
          <t>Feature Request</t>
        </is>
      </c>
      <c r="I631" t="inlineStr">
        <is>
          <t>Adding a discount approval flow is a blocker for our finance team. It happens about 12 times a week for our team of 47. Let us know if you need examples.</t>
        </is>
      </c>
      <c r="J631" t="inlineStr">
        <is>
          <t>Neutral</t>
        </is>
      </c>
      <c r="K631" t="inlineStr">
        <is>
          <t>High</t>
        </is>
      </c>
      <c r="L631" t="inlineStr">
        <is>
          <t>Workflow Slowdown</t>
        </is>
      </c>
      <c r="M631" t="inlineStr">
        <is>
          <t>wf_approval</t>
        </is>
      </c>
      <c r="N631" t="inlineStr">
        <is>
          <t>Approval steps in workflows</t>
        </is>
      </c>
      <c r="O631" t="inlineStr">
        <is>
          <t>2026-03</t>
        </is>
      </c>
    </row>
    <row r="632">
      <c r="A632" t="inlineStr">
        <is>
          <t>FB-00631</t>
        </is>
      </c>
      <c r="B632" t="inlineStr">
        <is>
          <t>CUST-0063</t>
        </is>
      </c>
      <c r="C632" s="11" t="n">
        <v>46100</v>
      </c>
      <c r="D632" t="inlineStr">
        <is>
          <t>In-App Feedback</t>
        </is>
      </c>
      <c r="E632" t="inlineStr">
        <is>
          <t>Starter</t>
        </is>
      </c>
      <c r="F632" t="inlineStr">
        <is>
          <t>SMB</t>
        </is>
      </c>
      <c r="G632" t="inlineStr">
        <is>
          <t>Contact Management</t>
        </is>
      </c>
      <c r="H632" t="inlineStr">
        <is>
          <t>Feature Request</t>
        </is>
      </c>
      <c r="I632" t="inlineStr">
        <is>
          <t>A tool to merge duplicate contacts that keeps activity history would save our ops team hours. Our RevOps lead flagged it while onboarding 106 new users. Happy to join a feedback call.</t>
        </is>
      </c>
      <c r="J632" t="inlineStr">
        <is>
          <t>Neutral</t>
        </is>
      </c>
      <c r="K632" t="inlineStr">
        <is>
          <t>Low</t>
        </is>
      </c>
      <c r="L632" t="inlineStr">
        <is>
          <t>Minor Inconvenience</t>
        </is>
      </c>
      <c r="M632" t="inlineStr">
        <is>
          <t>contact_dedupe</t>
        </is>
      </c>
      <c r="N632" t="inlineStr">
        <is>
          <t>Bulk contact merge</t>
        </is>
      </c>
      <c r="O632" t="inlineStr">
        <is>
          <t>2026-03</t>
        </is>
      </c>
    </row>
    <row r="633">
      <c r="A633" t="inlineStr">
        <is>
          <t>FB-00632</t>
        </is>
      </c>
      <c r="B633" t="inlineStr">
        <is>
          <t>CUST-0325</t>
        </is>
      </c>
      <c r="C633" s="11" t="n">
        <v>46101</v>
      </c>
      <c r="D633" t="inlineStr">
        <is>
          <t>Feature Request</t>
        </is>
      </c>
      <c r="E633" t="inlineStr">
        <is>
          <t>Starter</t>
        </is>
      </c>
      <c r="F633" t="inlineStr">
        <is>
          <t>SMB</t>
        </is>
      </c>
      <c r="G633" t="inlineStr">
        <is>
          <t>User Interface</t>
        </is>
      </c>
      <c r="H633" t="inlineStr">
        <is>
          <t>Feature Request</t>
        </is>
      </c>
      <c r="I633" t="inlineStr">
        <is>
          <t>We lose notes whenever reps are away from a desk without a mobile app. So far 30 people on our side have reported it.</t>
        </is>
      </c>
      <c r="J633" t="inlineStr">
        <is>
          <t>Positive</t>
        </is>
      </c>
      <c r="K633" t="inlineStr">
        <is>
          <t>Low</t>
        </is>
      </c>
      <c r="L633" t="inlineStr">
        <is>
          <t>Workflow Slowdown</t>
        </is>
      </c>
      <c r="M633" t="inlineStr">
        <is>
          <t>ui_mobile</t>
        </is>
      </c>
      <c r="N633" t="inlineStr">
        <is>
          <t>Mobile app</t>
        </is>
      </c>
      <c r="O633" t="inlineStr">
        <is>
          <t>2026-03</t>
        </is>
      </c>
    </row>
    <row r="634">
      <c r="A634" t="inlineStr">
        <is>
          <t>FB-00633</t>
        </is>
      </c>
      <c r="B634" t="inlineStr">
        <is>
          <t>CUST-0254</t>
        </is>
      </c>
      <c r="C634" s="11" t="n">
        <v>46101</v>
      </c>
      <c r="D634" t="inlineStr">
        <is>
          <t>Feature Request</t>
        </is>
      </c>
      <c r="E634" t="inlineStr">
        <is>
          <t>Professional</t>
        </is>
      </c>
      <c r="F634" t="inlineStr">
        <is>
          <t>SMB</t>
        </is>
      </c>
      <c r="G634" t="inlineStr">
        <is>
          <t>Reporting</t>
        </is>
      </c>
      <c r="H634" t="inlineStr">
        <is>
          <t>Feature Request</t>
        </is>
      </c>
      <c r="I634" t="inlineStr">
        <is>
          <t>Recent updates have been a nice improvement. Requesting a custom report builder so leadership gets numbers without logging in. It happens about 25 times a week for our team of 41.</t>
        </is>
      </c>
      <c r="J634" t="inlineStr">
        <is>
          <t>Positive</t>
        </is>
      </c>
      <c r="K634" t="inlineStr">
        <is>
          <t>Medium</t>
        </is>
      </c>
      <c r="L634" t="inlineStr">
        <is>
          <t>Workflow Slowdown</t>
        </is>
      </c>
      <c r="M634" t="inlineStr">
        <is>
          <t>rep_custom</t>
        </is>
      </c>
      <c r="N634" t="inlineStr">
        <is>
          <t>Custom and scheduled reports</t>
        </is>
      </c>
      <c r="O634" t="inlineStr">
        <is>
          <t>2026-03</t>
        </is>
      </c>
    </row>
    <row r="635">
      <c r="A635" t="inlineStr">
        <is>
          <t>FB-00634</t>
        </is>
      </c>
      <c r="B635" t="inlineStr">
        <is>
          <t>CUST-0385</t>
        </is>
      </c>
      <c r="C635" s="11" t="n">
        <v>46101</v>
      </c>
      <c r="D635" t="inlineStr">
        <is>
          <t>Feature Request</t>
        </is>
      </c>
      <c r="E635" t="inlineStr">
        <is>
          <t>Starter</t>
        </is>
      </c>
      <c r="F635" t="inlineStr">
        <is>
          <t>SMB</t>
        </is>
      </c>
      <c r="G635" t="inlineStr">
        <is>
          <t>Workflow Automation</t>
        </is>
      </c>
      <c r="H635" t="inlineStr">
        <is>
          <t>Feature Request</t>
        </is>
      </c>
      <c r="I635" t="inlineStr">
        <is>
          <t>Overall we like the product. Please provide prebuilt automations for common processes like onboarding and renewals. Our finance analyst flagged it while onboarding 79 new users. Keep up the good work.</t>
        </is>
      </c>
      <c r="J635" t="inlineStr">
        <is>
          <t>Positive</t>
        </is>
      </c>
      <c r="K635" t="inlineStr">
        <is>
          <t>Low</t>
        </is>
      </c>
      <c r="L635" t="inlineStr">
        <is>
          <t>Minor Inconvenience</t>
        </is>
      </c>
      <c r="M635" t="inlineStr">
        <is>
          <t>wf_templates</t>
        </is>
      </c>
      <c r="N635" t="inlineStr">
        <is>
          <t>Workflow templates</t>
        </is>
      </c>
      <c r="O635" t="inlineStr">
        <is>
          <t>2026-03</t>
        </is>
      </c>
    </row>
    <row r="636">
      <c r="A636" t="inlineStr">
        <is>
          <t>FB-00635</t>
        </is>
      </c>
      <c r="B636" t="inlineStr">
        <is>
          <t>CUST-0322</t>
        </is>
      </c>
      <c r="C636" s="11" t="n">
        <v>46102</v>
      </c>
      <c r="D636" t="inlineStr">
        <is>
          <t>In-App Feedback</t>
        </is>
      </c>
      <c r="E636" t="inlineStr">
        <is>
          <t>Starter</t>
        </is>
      </c>
      <c r="F636" t="inlineStr">
        <is>
          <t>SMB</t>
        </is>
      </c>
      <c r="G636" t="inlineStr">
        <is>
          <t>Lead Management</t>
        </is>
      </c>
      <c r="H636" t="inlineStr">
        <is>
          <t>Feature Request</t>
        </is>
      </c>
      <c r="I636" t="inlineStr">
        <is>
          <t>Would love to see automated lead scoring that marketing and sales can both tune. We estimate we lose roughly 32 hours a month on this. Happy to join a feedback call.</t>
        </is>
      </c>
      <c r="J636" t="inlineStr">
        <is>
          <t>Neutral</t>
        </is>
      </c>
      <c r="K636" t="inlineStr">
        <is>
          <t>Low</t>
        </is>
      </c>
      <c r="L636" t="inlineStr">
        <is>
          <t>Minor Inconvenience</t>
        </is>
      </c>
      <c r="M636" t="inlineStr">
        <is>
          <t>lead_score</t>
        </is>
      </c>
      <c r="N636" t="inlineStr">
        <is>
          <t>Automated lead scoring</t>
        </is>
      </c>
      <c r="O636" t="inlineStr">
        <is>
          <t>2026-03</t>
        </is>
      </c>
    </row>
    <row r="637">
      <c r="A637" t="inlineStr">
        <is>
          <t>FB-00636</t>
        </is>
      </c>
      <c r="B637" t="inlineStr">
        <is>
          <t>CUST-0196</t>
        </is>
      </c>
      <c r="C637" s="11" t="n">
        <v>46102</v>
      </c>
      <c r="D637" t="inlineStr">
        <is>
          <t>In-App Feedback</t>
        </is>
      </c>
      <c r="E637" t="inlineStr">
        <is>
          <t>Enterprise</t>
        </is>
      </c>
      <c r="F637" t="inlineStr">
        <is>
          <t>Enterprise</t>
        </is>
      </c>
      <c r="G637" t="inlineStr">
        <is>
          <t>Reporting</t>
        </is>
      </c>
      <c r="H637" t="inlineStr">
        <is>
          <t>Feature Request</t>
        </is>
      </c>
      <c r="I637" t="inlineStr">
        <is>
          <t>Please add report scheduling; today an analyst rebuilds the same report every week. Our RevOps lead flagged it while onboarding 84 new users. Happy to beta test.</t>
        </is>
      </c>
      <c r="J637" t="inlineStr">
        <is>
          <t>Positive</t>
        </is>
      </c>
      <c r="K637" t="inlineStr">
        <is>
          <t>Medium</t>
        </is>
      </c>
      <c r="L637" t="inlineStr">
        <is>
          <t>Minor Inconvenience</t>
        </is>
      </c>
      <c r="M637" t="inlineStr">
        <is>
          <t>rep_custom</t>
        </is>
      </c>
      <c r="N637" t="inlineStr">
        <is>
          <t>Custom and scheduled reports</t>
        </is>
      </c>
      <c r="O637" t="inlineStr">
        <is>
          <t>2026-03</t>
        </is>
      </c>
    </row>
    <row r="638">
      <c r="A638" t="inlineStr">
        <is>
          <t>FB-00637</t>
        </is>
      </c>
      <c r="B638" t="inlineStr">
        <is>
          <t>CUST-0394</t>
        </is>
      </c>
      <c r="C638" s="11" t="n">
        <v>46102</v>
      </c>
      <c r="D638" t="inlineStr">
        <is>
          <t>Feature Request</t>
        </is>
      </c>
      <c r="E638" t="inlineStr">
        <is>
          <t>Enterprise</t>
        </is>
      </c>
      <c r="F638" t="inlineStr">
        <is>
          <t>Enterprise</t>
        </is>
      </c>
      <c r="G638" t="inlineStr">
        <is>
          <t>Contact Management</t>
        </is>
      </c>
      <c r="H638" t="inlineStr">
        <is>
          <t>Feature Request</t>
        </is>
      </c>
      <c r="I638" t="inlineStr">
        <is>
          <t>Recent updates have been a nice improvement. We need a contact relationship hierarchy to reflect parent companies and subsidiaries. Our marketing ops owner flagged it while onboarding 58 new users. Thanks to the team.</t>
        </is>
      </c>
      <c r="J638" t="inlineStr">
        <is>
          <t>Positive</t>
        </is>
      </c>
      <c r="K638" t="inlineStr">
        <is>
          <t>Low</t>
        </is>
      </c>
      <c r="L638" t="inlineStr">
        <is>
          <t>Minor Inconvenience</t>
        </is>
      </c>
      <c r="M638" t="inlineStr">
        <is>
          <t>contact_custom</t>
        </is>
      </c>
      <c r="N638" t="inlineStr">
        <is>
          <t>Custom fields and hierarchy</t>
        </is>
      </c>
      <c r="O638" t="inlineStr">
        <is>
          <t>2026-03</t>
        </is>
      </c>
    </row>
    <row r="639">
      <c r="A639" t="inlineStr">
        <is>
          <t>FB-00638</t>
        </is>
      </c>
      <c r="B639" t="inlineStr">
        <is>
          <t>CUST-0032</t>
        </is>
      </c>
      <c r="C639" s="11" t="n">
        <v>46102</v>
      </c>
      <c r="D639" t="inlineStr">
        <is>
          <t>Support Ticket</t>
        </is>
      </c>
      <c r="E639" t="inlineStr">
        <is>
          <t>Starter</t>
        </is>
      </c>
      <c r="F639" t="inlineStr">
        <is>
          <t>SMB</t>
        </is>
      </c>
      <c r="G639" t="inlineStr">
        <is>
          <t>User Interface</t>
        </is>
      </c>
      <c r="H639" t="inlineStr">
        <is>
          <t>Performance Issue</t>
        </is>
      </c>
      <c r="I639" t="inlineStr">
        <is>
          <t>Since the redesign there is more slow page transitions on older laptops. It happens about 10 times a week for our team of 94. We need a fix before renewal.</t>
        </is>
      </c>
      <c r="J639" t="inlineStr">
        <is>
          <t>Negative</t>
        </is>
      </c>
      <c r="K639" t="inlineStr">
        <is>
          <t>Critical</t>
        </is>
      </c>
      <c r="L639" t="inlineStr">
        <is>
          <t>Revenue/Operations Risk</t>
        </is>
      </c>
      <c r="M639" t="inlineStr">
        <is>
          <t>ui_perf</t>
        </is>
      </c>
      <c r="N639" t="inlineStr">
        <is>
          <t>Laggy pages</t>
        </is>
      </c>
      <c r="O639" t="inlineStr">
        <is>
          <t>2026-03</t>
        </is>
      </c>
    </row>
    <row r="640">
      <c r="A640" t="inlineStr">
        <is>
          <t>FB-00639</t>
        </is>
      </c>
      <c r="B640" t="inlineStr">
        <is>
          <t>CUST-0234</t>
        </is>
      </c>
      <c r="C640" s="11" t="n">
        <v>46102</v>
      </c>
      <c r="D640" t="inlineStr">
        <is>
          <t>Feature Request</t>
        </is>
      </c>
      <c r="E640" t="inlineStr">
        <is>
          <t>Enterprise</t>
        </is>
      </c>
      <c r="F640" t="inlineStr">
        <is>
          <t>SMB</t>
        </is>
      </c>
      <c r="G640" t="inlineStr">
        <is>
          <t>Lead Management</t>
        </is>
      </c>
      <c r="H640" t="inlineStr">
        <is>
          <t>Feature Request</t>
        </is>
      </c>
      <c r="I640" t="inlineStr">
        <is>
          <t>Please add automated lead scoring based on engagement, company size and recent activity. It affects our month-end reporting process every cycle. Thanks to the team.</t>
        </is>
      </c>
      <c r="J640" t="inlineStr">
        <is>
          <t>Positive</t>
        </is>
      </c>
      <c r="K640" t="inlineStr">
        <is>
          <t>Low</t>
        </is>
      </c>
      <c r="L640" t="inlineStr">
        <is>
          <t>Minor Inconvenience</t>
        </is>
      </c>
      <c r="M640" t="inlineStr">
        <is>
          <t>lead_score</t>
        </is>
      </c>
      <c r="N640" t="inlineStr">
        <is>
          <t>Automated lead scoring</t>
        </is>
      </c>
      <c r="O640" t="inlineStr">
        <is>
          <t>2026-03</t>
        </is>
      </c>
    </row>
    <row r="641">
      <c r="A641" t="inlineStr">
        <is>
          <t>FB-00640</t>
        </is>
      </c>
      <c r="B641" t="inlineStr">
        <is>
          <t>CUST-0229</t>
        </is>
      </c>
      <c r="C641" s="11" t="n">
        <v>46103</v>
      </c>
      <c r="D641" t="inlineStr">
        <is>
          <t>Customer Survey</t>
        </is>
      </c>
      <c r="E641" t="inlineStr">
        <is>
          <t>Starter</t>
        </is>
      </c>
      <c r="F641" t="inlineStr">
        <is>
          <t>Mid-Market</t>
        </is>
      </c>
      <c r="G641" t="inlineStr">
        <is>
          <t>Contact Management</t>
        </is>
      </c>
      <c r="H641" t="inlineStr">
        <is>
          <t>Feature Request</t>
        </is>
      </c>
      <c r="I641" t="inlineStr">
        <is>
          <t>Sharing this from our team. Please extend custom contact fields; the current limit is too small for our use case. Our customer success lead flagged it while onboarding 21 new users. Let us know if you need examples.</t>
        </is>
      </c>
      <c r="J641" t="inlineStr">
        <is>
          <t>Neutral</t>
        </is>
      </c>
      <c r="K641" t="inlineStr">
        <is>
          <t>High</t>
        </is>
      </c>
      <c r="L641" t="inlineStr">
        <is>
          <t>Blocks Key Task</t>
        </is>
      </c>
      <c r="M641" t="inlineStr">
        <is>
          <t>contact_custom</t>
        </is>
      </c>
      <c r="N641" t="inlineStr">
        <is>
          <t>Custom fields and hierarchy</t>
        </is>
      </c>
      <c r="O641" t="inlineStr">
        <is>
          <t>2026-03</t>
        </is>
      </c>
    </row>
    <row r="642">
      <c r="A642" t="inlineStr">
        <is>
          <t>FB-00641</t>
        </is>
      </c>
      <c r="B642" t="inlineStr">
        <is>
          <t>CUST-0008</t>
        </is>
      </c>
      <c r="C642" s="11" t="n">
        <v>46103</v>
      </c>
      <c r="D642" t="inlineStr">
        <is>
          <t>Support Ticket</t>
        </is>
      </c>
      <c r="E642" t="inlineStr">
        <is>
          <t>Professional</t>
        </is>
      </c>
      <c r="F642" t="inlineStr">
        <is>
          <t>Mid-Market</t>
        </is>
      </c>
      <c r="G642" t="inlineStr">
        <is>
          <t>Contact Management</t>
        </is>
      </c>
      <c r="H642" t="inlineStr">
        <is>
          <t>Performance Issue</t>
        </is>
      </c>
      <c r="I642" t="inlineStr">
        <is>
          <t>Raising this again after our last business review. The contact list filtering times out on our largest accounts. We estimate we lose roughly 49 hours a month on this. Support suggested logging it here.</t>
        </is>
      </c>
      <c r="J642" t="inlineStr">
        <is>
          <t>Negative</t>
        </is>
      </c>
      <c r="K642" t="inlineStr">
        <is>
          <t>Medium</t>
        </is>
      </c>
      <c r="L642" t="inlineStr">
        <is>
          <t>Workflow Slowdown</t>
        </is>
      </c>
      <c r="M642" t="inlineStr">
        <is>
          <t>contact_search</t>
        </is>
      </c>
      <c r="N642" t="inlineStr">
        <is>
          <t>Slow contact search</t>
        </is>
      </c>
      <c r="O642" t="inlineStr">
        <is>
          <t>2026-03</t>
        </is>
      </c>
    </row>
    <row r="643">
      <c r="A643" t="inlineStr">
        <is>
          <t>FB-00642</t>
        </is>
      </c>
      <c r="B643" t="inlineStr">
        <is>
          <t>CUST-0100</t>
        </is>
      </c>
      <c r="C643" s="11" t="n">
        <v>46103</v>
      </c>
      <c r="D643" t="inlineStr">
        <is>
          <t>In-App Feedback</t>
        </is>
      </c>
      <c r="E643" t="inlineStr">
        <is>
          <t>Professional</t>
        </is>
      </c>
      <c r="F643" t="inlineStr">
        <is>
          <t>Mid-Market</t>
        </is>
      </c>
      <c r="G643" t="inlineStr">
        <is>
          <t>User Interface</t>
        </is>
      </c>
      <c r="H643" t="inlineStr">
        <is>
          <t>Performance Issue</t>
        </is>
      </c>
      <c r="I643" t="inlineStr">
        <is>
          <t>Page lag makes data entry frustrating during live calls.</t>
        </is>
      </c>
      <c r="J643" t="inlineStr">
        <is>
          <t>Neutral</t>
        </is>
      </c>
      <c r="K643" t="inlineStr">
        <is>
          <t>Medium</t>
        </is>
      </c>
      <c r="L643" t="inlineStr">
        <is>
          <t>Minor Inconvenience</t>
        </is>
      </c>
      <c r="M643" t="inlineStr">
        <is>
          <t>ui_perf</t>
        </is>
      </c>
      <c r="N643" t="inlineStr">
        <is>
          <t>Laggy pages</t>
        </is>
      </c>
      <c r="O643" t="inlineStr">
        <is>
          <t>2026-03</t>
        </is>
      </c>
    </row>
    <row r="644">
      <c r="A644" t="inlineStr">
        <is>
          <t>FB-00643</t>
        </is>
      </c>
      <c r="B644" t="inlineStr">
        <is>
          <t>CUST-0252</t>
        </is>
      </c>
      <c r="C644" s="11" t="n">
        <v>46103</v>
      </c>
      <c r="D644" t="inlineStr">
        <is>
          <t>Support Ticket</t>
        </is>
      </c>
      <c r="E644" t="inlineStr">
        <is>
          <t>Starter</t>
        </is>
      </c>
      <c r="F644" t="inlineStr">
        <is>
          <t>SMB</t>
        </is>
      </c>
      <c r="G644" t="inlineStr">
        <is>
          <t>Lead Management</t>
        </is>
      </c>
      <c r="H644" t="inlineStr">
        <is>
          <t>Bug</t>
        </is>
      </c>
      <c r="I644" t="inlineStr">
        <is>
          <t>Happy with most of the product. Web form submissions keep creating lead de-duplication failures, and reps end up calling the same prospect twice. Thanks to the team.</t>
        </is>
      </c>
      <c r="J644" t="inlineStr">
        <is>
          <t>Positive</t>
        </is>
      </c>
      <c r="K644" t="inlineStr">
        <is>
          <t>Low</t>
        </is>
      </c>
      <c r="L644" t="inlineStr">
        <is>
          <t>Minor Inconvenience</t>
        </is>
      </c>
      <c r="M644" t="inlineStr">
        <is>
          <t>lead_dup</t>
        </is>
      </c>
      <c r="N644" t="inlineStr">
        <is>
          <t>Duplicate leads created</t>
        </is>
      </c>
      <c r="O644" t="inlineStr">
        <is>
          <t>2026-03</t>
        </is>
      </c>
    </row>
    <row r="645">
      <c r="A645" t="inlineStr">
        <is>
          <t>FB-00644</t>
        </is>
      </c>
      <c r="B645" t="inlineStr">
        <is>
          <t>CUST-0381</t>
        </is>
      </c>
      <c r="C645" s="11" t="n">
        <v>46103</v>
      </c>
      <c r="D645" t="inlineStr">
        <is>
          <t>Support Ticket</t>
        </is>
      </c>
      <c r="E645" t="inlineStr">
        <is>
          <t>Professional</t>
        </is>
      </c>
      <c r="F645" t="inlineStr">
        <is>
          <t>Mid-Market</t>
        </is>
      </c>
      <c r="G645" t="inlineStr">
        <is>
          <t>Integrations</t>
        </is>
      </c>
      <c r="H645" t="inlineStr">
        <is>
          <t>Feature Request</t>
        </is>
      </c>
      <c r="I645" t="inlineStr">
        <is>
          <t>Frustrated with this one. Lack of a native Slack integration is a gap versus other CRMs we evaluated. Our finance analyst flagged it while onboarding 81 new users. Support suggested logging it here.</t>
        </is>
      </c>
      <c r="J645" t="inlineStr">
        <is>
          <t>Negative</t>
        </is>
      </c>
      <c r="K645" t="inlineStr">
        <is>
          <t>Medium</t>
        </is>
      </c>
      <c r="L645" t="inlineStr">
        <is>
          <t>Minor Inconvenience</t>
        </is>
      </c>
      <c r="M645" t="inlineStr">
        <is>
          <t>int_native</t>
        </is>
      </c>
      <c r="N645" t="inlineStr">
        <is>
          <t>Native integrations</t>
        </is>
      </c>
      <c r="O645" t="inlineStr">
        <is>
          <t>2026-03</t>
        </is>
      </c>
    </row>
    <row r="646">
      <c r="A646" t="inlineStr">
        <is>
          <t>FB-00645</t>
        </is>
      </c>
      <c r="B646" t="inlineStr">
        <is>
          <t>CUST-0360</t>
        </is>
      </c>
      <c r="C646" s="11" t="n">
        <v>46103</v>
      </c>
      <c r="D646" t="inlineStr">
        <is>
          <t>Feature Request</t>
        </is>
      </c>
      <c r="E646" t="inlineStr">
        <is>
          <t>Enterprise</t>
        </is>
      </c>
      <c r="F646" t="inlineStr">
        <is>
          <t>Enterprise</t>
        </is>
      </c>
      <c r="G646" t="inlineStr">
        <is>
          <t>Contact Management</t>
        </is>
      </c>
      <c r="H646" t="inlineStr">
        <is>
          <t>Feature Request</t>
        </is>
      </c>
      <c r="I646" t="inlineStr">
        <is>
          <t>Quick note from our admin. Please build a bulk contact merge with a preview of what will be combined. Let us know if you need examples.</t>
        </is>
      </c>
      <c r="J646" t="inlineStr">
        <is>
          <t>Neutral</t>
        </is>
      </c>
      <c r="K646" t="inlineStr">
        <is>
          <t>Medium</t>
        </is>
      </c>
      <c r="L646" t="inlineStr">
        <is>
          <t>Blocks Key Task</t>
        </is>
      </c>
      <c r="M646" t="inlineStr">
        <is>
          <t>contact_dedupe</t>
        </is>
      </c>
      <c r="N646" t="inlineStr">
        <is>
          <t>Bulk contact merge</t>
        </is>
      </c>
      <c r="O646" t="inlineStr">
        <is>
          <t>2026-03</t>
        </is>
      </c>
    </row>
    <row r="647">
      <c r="A647" t="inlineStr">
        <is>
          <t>FB-00646</t>
        </is>
      </c>
      <c r="B647" t="inlineStr">
        <is>
          <t>CUST-0145</t>
        </is>
      </c>
      <c r="C647" s="11" t="n">
        <v>46104</v>
      </c>
      <c r="D647" t="inlineStr">
        <is>
          <t>Feature Request</t>
        </is>
      </c>
      <c r="E647" t="inlineStr">
        <is>
          <t>Professional</t>
        </is>
      </c>
      <c r="F647" t="inlineStr">
        <is>
          <t>SMB</t>
        </is>
      </c>
      <c r="G647" t="inlineStr">
        <is>
          <t>Contact Management</t>
        </is>
      </c>
      <c r="H647" t="inlineStr">
        <is>
          <t>Feature Request</t>
        </is>
      </c>
      <c r="I647" t="inlineStr">
        <is>
          <t>Please build contact de-duplication tooling with a preview of what will be combined. Our RevOps lead flagged it while onboarding 118 new users. Let us know if you need examples.</t>
        </is>
      </c>
      <c r="J647" t="inlineStr">
        <is>
          <t>Neutral</t>
        </is>
      </c>
      <c r="K647" t="inlineStr">
        <is>
          <t>Low</t>
        </is>
      </c>
      <c r="L647" t="inlineStr">
        <is>
          <t>Workflow Slowdown</t>
        </is>
      </c>
      <c r="M647" t="inlineStr">
        <is>
          <t>contact_dedupe</t>
        </is>
      </c>
      <c r="N647" t="inlineStr">
        <is>
          <t>Bulk contact merge</t>
        </is>
      </c>
      <c r="O647" t="inlineStr">
        <is>
          <t>2026-03</t>
        </is>
      </c>
    </row>
    <row r="648">
      <c r="A648" t="inlineStr">
        <is>
          <t>FB-00647</t>
        </is>
      </c>
      <c r="B648" t="inlineStr">
        <is>
          <t>CUST-0075</t>
        </is>
      </c>
      <c r="C648" s="11" t="n">
        <v>46104</v>
      </c>
      <c r="D648" t="inlineStr">
        <is>
          <t>Customer Survey</t>
        </is>
      </c>
      <c r="E648" t="inlineStr">
        <is>
          <t>Professional</t>
        </is>
      </c>
      <c r="F648" t="inlineStr">
        <is>
          <t>Enterprise</t>
        </is>
      </c>
      <c r="G648" t="inlineStr">
        <is>
          <t>Integrations</t>
        </is>
      </c>
      <c r="H648" t="inlineStr">
        <is>
          <t>Feature Request</t>
        </is>
      </c>
      <c r="I648" t="inlineStr">
        <is>
          <t>We would pay for a native accounting integration instead of maintaining Zapier chains. It happens about 23 times a week for our team of 54. Happy to join a feedback call.</t>
        </is>
      </c>
      <c r="J648" t="inlineStr">
        <is>
          <t>Neutral</t>
        </is>
      </c>
      <c r="K648" t="inlineStr">
        <is>
          <t>Low</t>
        </is>
      </c>
      <c r="L648" t="inlineStr">
        <is>
          <t>Workflow Slowdown</t>
        </is>
      </c>
      <c r="M648" t="inlineStr">
        <is>
          <t>int_native</t>
        </is>
      </c>
      <c r="N648" t="inlineStr">
        <is>
          <t>Native integrations</t>
        </is>
      </c>
      <c r="O648" t="inlineStr">
        <is>
          <t>2026-03</t>
        </is>
      </c>
    </row>
    <row r="649">
      <c r="A649" t="inlineStr">
        <is>
          <t>FB-00648</t>
        </is>
      </c>
      <c r="B649" t="inlineStr">
        <is>
          <t>CUST-0069</t>
        </is>
      </c>
      <c r="C649" s="11" t="n">
        <v>46104</v>
      </c>
      <c r="D649" t="inlineStr">
        <is>
          <t>Feature Request</t>
        </is>
      </c>
      <c r="E649" t="inlineStr">
        <is>
          <t>Starter</t>
        </is>
      </c>
      <c r="F649" t="inlineStr">
        <is>
          <t>Mid-Market</t>
        </is>
      </c>
      <c r="G649" t="inlineStr">
        <is>
          <t>Lead Management</t>
        </is>
      </c>
      <c r="H649" t="inlineStr">
        <is>
          <t>Usability Issue</t>
        </is>
      </c>
      <c r="I649" t="inlineStr">
        <is>
          <t>Our team keeps running into this. Setting up lead routing rules takes too many steps and the options don't cover territories. We estimate we lose roughly 23 hours a month on this. We need a fix before renewal.</t>
        </is>
      </c>
      <c r="J649" t="inlineStr">
        <is>
          <t>Negative</t>
        </is>
      </c>
      <c r="K649" t="inlineStr">
        <is>
          <t>High</t>
        </is>
      </c>
      <c r="L649" t="inlineStr">
        <is>
          <t>Blocks Key Task</t>
        </is>
      </c>
      <c r="M649" t="inlineStr">
        <is>
          <t>lead_assign</t>
        </is>
      </c>
      <c r="N649" t="inlineStr">
        <is>
          <t>Lead routing is inflexible</t>
        </is>
      </c>
      <c r="O649" t="inlineStr">
        <is>
          <t>2026-03</t>
        </is>
      </c>
    </row>
    <row r="650">
      <c r="A650" t="inlineStr">
        <is>
          <t>FB-00649</t>
        </is>
      </c>
      <c r="B650" t="inlineStr">
        <is>
          <t>CUST-0196</t>
        </is>
      </c>
      <c r="C650" s="11" t="n">
        <v>46105</v>
      </c>
      <c r="D650" t="inlineStr">
        <is>
          <t>In-App Feedback</t>
        </is>
      </c>
      <c r="E650" t="inlineStr">
        <is>
          <t>Enterprise</t>
        </is>
      </c>
      <c r="F650" t="inlineStr">
        <is>
          <t>Enterprise</t>
        </is>
      </c>
      <c r="G650" t="inlineStr">
        <is>
          <t>Reporting</t>
        </is>
      </c>
      <c r="H650" t="inlineStr">
        <is>
          <t>Performance Issue</t>
        </is>
      </c>
      <c r="I650" t="inlineStr">
        <is>
          <t>Noting this during onboarding. The dashboard loading is painfully slow with a full year of data. Happy to join a feedback call.</t>
        </is>
      </c>
      <c r="J650" t="inlineStr">
        <is>
          <t>Neutral</t>
        </is>
      </c>
      <c r="K650" t="inlineStr">
        <is>
          <t>Critical</t>
        </is>
      </c>
      <c r="L650" t="inlineStr">
        <is>
          <t>Blocks Key Task</t>
        </is>
      </c>
      <c r="M650" t="inlineStr">
        <is>
          <t>rep_slow</t>
        </is>
      </c>
      <c r="N650" t="inlineStr">
        <is>
          <t>Slow dashboards</t>
        </is>
      </c>
      <c r="O650" t="inlineStr">
        <is>
          <t>2026-03</t>
        </is>
      </c>
    </row>
    <row r="651">
      <c r="A651" t="inlineStr">
        <is>
          <t>FB-00650</t>
        </is>
      </c>
      <c r="B651" t="inlineStr">
        <is>
          <t>CUST-0314</t>
        </is>
      </c>
      <c r="C651" s="11" t="n">
        <v>46105</v>
      </c>
      <c r="D651" t="inlineStr">
        <is>
          <t>Customer Survey</t>
        </is>
      </c>
      <c r="E651" t="inlineStr">
        <is>
          <t>Enterprise</t>
        </is>
      </c>
      <c r="F651" t="inlineStr">
        <is>
          <t>Mid-Market</t>
        </is>
      </c>
      <c r="G651" t="inlineStr">
        <is>
          <t>Integrations</t>
        </is>
      </c>
      <c r="H651" t="inlineStr">
        <is>
          <t>Feature Request</t>
        </is>
      </c>
      <c r="I651" t="inlineStr">
        <is>
          <t>Please add SCIM provisioning; managing users by hand does not scale. It happens about 28 times a week for our team of 80. Happy to join a feedback call.</t>
        </is>
      </c>
      <c r="J651" t="inlineStr">
        <is>
          <t>Neutral</t>
        </is>
      </c>
      <c r="K651" t="inlineStr">
        <is>
          <t>Medium</t>
        </is>
      </c>
      <c r="L651" t="inlineStr">
        <is>
          <t>Blocks Key Task</t>
        </is>
      </c>
      <c r="M651" t="inlineStr">
        <is>
          <t>int_sso</t>
        </is>
      </c>
      <c r="N651" t="inlineStr">
        <is>
          <t>SSO and provisioning</t>
        </is>
      </c>
      <c r="O651" t="inlineStr">
        <is>
          <t>2026-03</t>
        </is>
      </c>
    </row>
    <row r="652">
      <c r="A652" t="inlineStr">
        <is>
          <t>FB-00651</t>
        </is>
      </c>
      <c r="B652" t="inlineStr">
        <is>
          <t>CUST-0012</t>
        </is>
      </c>
      <c r="C652" s="11" t="n">
        <v>46105</v>
      </c>
      <c r="D652" t="inlineStr">
        <is>
          <t>Support Ticket</t>
        </is>
      </c>
      <c r="E652" t="inlineStr">
        <is>
          <t>Enterprise</t>
        </is>
      </c>
      <c r="F652" t="inlineStr">
        <is>
          <t>Enterprise</t>
        </is>
      </c>
      <c r="G652" t="inlineStr">
        <is>
          <t>Integrations</t>
        </is>
      </c>
      <c r="H652" t="inlineStr">
        <is>
          <t>Integration Issue</t>
        </is>
      </c>
      <c r="I652" t="inlineStr">
        <is>
          <t>After the token expires, Gmail sync stops with no warning.</t>
        </is>
      </c>
      <c r="J652" t="inlineStr">
        <is>
          <t>Negative</t>
        </is>
      </c>
      <c r="K652" t="inlineStr">
        <is>
          <t>High</t>
        </is>
      </c>
      <c r="L652" t="inlineStr">
        <is>
          <t>Blocks Key Task</t>
        </is>
      </c>
      <c r="M652" t="inlineStr">
        <is>
          <t>int_email</t>
        </is>
      </c>
      <c r="N652" t="inlineStr">
        <is>
          <t>Email and calendar sync drops</t>
        </is>
      </c>
      <c r="O652" t="inlineStr">
        <is>
          <t>2026-03</t>
        </is>
      </c>
    </row>
    <row r="653">
      <c r="A653" t="inlineStr">
        <is>
          <t>FB-00652</t>
        </is>
      </c>
      <c r="B653" t="inlineStr">
        <is>
          <t>CUST-0108</t>
        </is>
      </c>
      <c r="C653" s="11" t="n">
        <v>46105</v>
      </c>
      <c r="D653" t="inlineStr">
        <is>
          <t>Support Ticket</t>
        </is>
      </c>
      <c r="E653" t="inlineStr">
        <is>
          <t>Enterprise</t>
        </is>
      </c>
      <c r="F653" t="inlineStr">
        <is>
          <t>Mid-Market</t>
        </is>
      </c>
      <c r="G653" t="inlineStr">
        <is>
          <t>Contact Management</t>
        </is>
      </c>
      <c r="H653" t="inlineStr">
        <is>
          <t>Bug</t>
        </is>
      </c>
      <c r="I653" t="inlineStr">
        <is>
          <t>This has been a recurring problem for us. The spreadsheet import fails halfway through with a generic error and no row-level detail.</t>
        </is>
      </c>
      <c r="J653" t="inlineStr">
        <is>
          <t>Negative</t>
        </is>
      </c>
      <c r="K653" t="inlineStr">
        <is>
          <t>High</t>
        </is>
      </c>
      <c r="L653" t="inlineStr">
        <is>
          <t>Revenue/Operations Risk</t>
        </is>
      </c>
      <c r="M653" t="inlineStr">
        <is>
          <t>contact_import</t>
        </is>
      </c>
      <c r="N653" t="inlineStr">
        <is>
          <t>Unreliable contact imports</t>
        </is>
      </c>
      <c r="O653" t="inlineStr">
        <is>
          <t>2026-03</t>
        </is>
      </c>
    </row>
    <row r="654">
      <c r="A654" t="inlineStr">
        <is>
          <t>FB-00653</t>
        </is>
      </c>
      <c r="B654" t="inlineStr">
        <is>
          <t>CUST-0235</t>
        </is>
      </c>
      <c r="C654" s="11" t="n">
        <v>46106</v>
      </c>
      <c r="D654" t="inlineStr">
        <is>
          <t>Feature Request</t>
        </is>
      </c>
      <c r="E654" t="inlineStr">
        <is>
          <t>Enterprise</t>
        </is>
      </c>
      <c r="F654" t="inlineStr">
        <is>
          <t>Mid-Market</t>
        </is>
      </c>
      <c r="G654" t="inlineStr">
        <is>
          <t>Integrations</t>
        </is>
      </c>
      <c r="H654" t="inlineStr">
        <is>
          <t>Feature Request</t>
        </is>
      </c>
      <c r="I654" t="inlineStr">
        <is>
          <t>Overall we like the product. Requesting SCIM provisioning for our compliance audit. Keep up the good work.</t>
        </is>
      </c>
      <c r="J654" t="inlineStr">
        <is>
          <t>Positive</t>
        </is>
      </c>
      <c r="K654" t="inlineStr">
        <is>
          <t>Medium</t>
        </is>
      </c>
      <c r="L654" t="inlineStr">
        <is>
          <t>Minor Inconvenience</t>
        </is>
      </c>
      <c r="M654" t="inlineStr">
        <is>
          <t>int_sso</t>
        </is>
      </c>
      <c r="N654" t="inlineStr">
        <is>
          <t>SSO and provisioning</t>
        </is>
      </c>
      <c r="O654" t="inlineStr">
        <is>
          <t>2026-03</t>
        </is>
      </c>
    </row>
    <row r="655">
      <c r="A655" t="inlineStr">
        <is>
          <t>FB-00654</t>
        </is>
      </c>
      <c r="B655" t="inlineStr">
        <is>
          <t>CUST-0003</t>
        </is>
      </c>
      <c r="C655" s="11" t="n">
        <v>46106</v>
      </c>
      <c r="D655" t="inlineStr">
        <is>
          <t>Customer Survey</t>
        </is>
      </c>
      <c r="E655" t="inlineStr">
        <is>
          <t>Starter</t>
        </is>
      </c>
      <c r="F655" t="inlineStr">
        <is>
          <t>Mid-Market</t>
        </is>
      </c>
      <c r="G655" t="inlineStr">
        <is>
          <t>User Interface</t>
        </is>
      </c>
      <c r="H655" t="inlineStr">
        <is>
          <t>Feature Request</t>
        </is>
      </c>
      <c r="I655" t="inlineStr">
        <is>
          <t>Great support experience recently. Please add bulk actions on lists; changing records one at a time wastes hours. Our customer success lead flagged it while onboarding 112 new users.</t>
        </is>
      </c>
      <c r="J655" t="inlineStr">
        <is>
          <t>Positive</t>
        </is>
      </c>
      <c r="K655" t="inlineStr">
        <is>
          <t>Low</t>
        </is>
      </c>
      <c r="L655" t="inlineStr">
        <is>
          <t>Minor Inconvenience</t>
        </is>
      </c>
      <c r="M655" t="inlineStr">
        <is>
          <t>ui_bulk</t>
        </is>
      </c>
      <c r="N655" t="inlineStr">
        <is>
          <t>Bulk actions</t>
        </is>
      </c>
      <c r="O655" t="inlineStr">
        <is>
          <t>2026-03</t>
        </is>
      </c>
    </row>
    <row r="656">
      <c r="A656" t="inlineStr">
        <is>
          <t>FB-00655</t>
        </is>
      </c>
      <c r="B656" t="inlineStr">
        <is>
          <t>CUST-0202</t>
        </is>
      </c>
      <c r="C656" s="11" t="n">
        <v>46106</v>
      </c>
      <c r="D656" t="inlineStr">
        <is>
          <t>In-App Feedback</t>
        </is>
      </c>
      <c r="E656" t="inlineStr">
        <is>
          <t>Enterprise</t>
        </is>
      </c>
      <c r="F656" t="inlineStr">
        <is>
          <t>Enterprise</t>
        </is>
      </c>
      <c r="G656" t="inlineStr">
        <is>
          <t>Workflow Automation</t>
        </is>
      </c>
      <c r="H656" t="inlineStr">
        <is>
          <t>Bug</t>
        </is>
      </c>
      <c r="I656" t="inlineStr">
        <is>
          <t>Not what we expected for the price. Since the last release we've had workflow runs failing silently and tasks are being created twice. We estimate we lose roughly 34 hours a month on this.</t>
        </is>
      </c>
      <c r="J656" t="inlineStr">
        <is>
          <t>Negative</t>
        </is>
      </c>
      <c r="K656" t="inlineStr">
        <is>
          <t>Medium</t>
        </is>
      </c>
      <c r="L656" t="inlineStr">
        <is>
          <t>Workflow Slowdown</t>
        </is>
      </c>
      <c r="M656" t="inlineStr">
        <is>
          <t>wf_fail</t>
        </is>
      </c>
      <c r="N656" t="inlineStr">
        <is>
          <t>Workflows failing silently</t>
        </is>
      </c>
      <c r="O656" t="inlineStr">
        <is>
          <t>2026-03</t>
        </is>
      </c>
    </row>
    <row r="657">
      <c r="A657" t="inlineStr">
        <is>
          <t>FB-00656</t>
        </is>
      </c>
      <c r="B657" t="inlineStr">
        <is>
          <t>CUST-0234</t>
        </is>
      </c>
      <c r="C657" s="11" t="n">
        <v>46107</v>
      </c>
      <c r="D657" t="inlineStr">
        <is>
          <t>In-App Feedback</t>
        </is>
      </c>
      <c r="E657" t="inlineStr">
        <is>
          <t>Enterprise</t>
        </is>
      </c>
      <c r="F657" t="inlineStr">
        <is>
          <t>SMB</t>
        </is>
      </c>
      <c r="G657" t="inlineStr">
        <is>
          <t>Workflow Automation</t>
        </is>
      </c>
      <c r="H657" t="inlineStr">
        <is>
          <t>Usability Issue</t>
        </is>
      </c>
      <c r="I657" t="inlineStr">
        <is>
          <t>Sharing this from our team. Our new admins struggle with the automation canvas; there is no guidance or validation. So far 35 people on our side have reported it. Let us know if you need examples.</t>
        </is>
      </c>
      <c r="J657" t="inlineStr">
        <is>
          <t>Neutral</t>
        </is>
      </c>
      <c r="K657" t="inlineStr">
        <is>
          <t>High</t>
        </is>
      </c>
      <c r="L657" t="inlineStr">
        <is>
          <t>Blocks Key Task</t>
        </is>
      </c>
      <c r="M657" t="inlineStr">
        <is>
          <t>wf_builder</t>
        </is>
      </c>
      <c r="N657" t="inlineStr">
        <is>
          <t>Confusing workflow builder</t>
        </is>
      </c>
      <c r="O657" t="inlineStr">
        <is>
          <t>2026-03</t>
        </is>
      </c>
    </row>
    <row r="658">
      <c r="A658" t="inlineStr">
        <is>
          <t>FB-00657</t>
        </is>
      </c>
      <c r="B658" t="inlineStr">
        <is>
          <t>CUST-0198</t>
        </is>
      </c>
      <c r="C658" s="11" t="n">
        <v>46107</v>
      </c>
      <c r="D658" t="inlineStr">
        <is>
          <t>Feature Request</t>
        </is>
      </c>
      <c r="E658" t="inlineStr">
        <is>
          <t>Starter</t>
        </is>
      </c>
      <c r="F658" t="inlineStr">
        <is>
          <t>SMB</t>
        </is>
      </c>
      <c r="G658" t="inlineStr">
        <is>
          <t>Integrations</t>
        </is>
      </c>
      <c r="H658" t="inlineStr">
        <is>
          <t>Feature Request</t>
        </is>
      </c>
      <c r="I658" t="inlineStr">
        <is>
          <t>Great support experience recently. Please build a marketing automation connector; our team copies data across systems daily.</t>
        </is>
      </c>
      <c r="J658" t="inlineStr">
        <is>
          <t>Positive</t>
        </is>
      </c>
      <c r="K658" t="inlineStr">
        <is>
          <t>Low</t>
        </is>
      </c>
      <c r="L658" t="inlineStr">
        <is>
          <t>Minor Inconvenience</t>
        </is>
      </c>
      <c r="M658" t="inlineStr">
        <is>
          <t>int_native</t>
        </is>
      </c>
      <c r="N658" t="inlineStr">
        <is>
          <t>Native integrations</t>
        </is>
      </c>
      <c r="O658" t="inlineStr">
        <is>
          <t>2026-03</t>
        </is>
      </c>
    </row>
    <row r="659">
      <c r="A659" t="inlineStr">
        <is>
          <t>FB-00658</t>
        </is>
      </c>
      <c r="B659" t="inlineStr">
        <is>
          <t>CUST-0231</t>
        </is>
      </c>
      <c r="C659" s="11" t="n">
        <v>46107</v>
      </c>
      <c r="D659" t="inlineStr">
        <is>
          <t>Support Ticket</t>
        </is>
      </c>
      <c r="E659" t="inlineStr">
        <is>
          <t>Enterprise</t>
        </is>
      </c>
      <c r="F659" t="inlineStr">
        <is>
          <t>Enterprise</t>
        </is>
      </c>
      <c r="G659" t="inlineStr">
        <is>
          <t>Workflow Automation</t>
        </is>
      </c>
      <c r="H659" t="inlineStr">
        <is>
          <t>Bug</t>
        </is>
      </c>
      <c r="I659" t="inlineStr">
        <is>
          <t>We found workflow failures only because a customer complained.</t>
        </is>
      </c>
      <c r="J659" t="inlineStr">
        <is>
          <t>Neutral</t>
        </is>
      </c>
      <c r="K659" t="inlineStr">
        <is>
          <t>Medium</t>
        </is>
      </c>
      <c r="L659" t="inlineStr">
        <is>
          <t>Minor Inconvenience</t>
        </is>
      </c>
      <c r="M659" t="inlineStr">
        <is>
          <t>wf_fail</t>
        </is>
      </c>
      <c r="N659" t="inlineStr">
        <is>
          <t>Workflows failing silently</t>
        </is>
      </c>
      <c r="O659" t="inlineStr">
        <is>
          <t>2026-03</t>
        </is>
      </c>
    </row>
    <row r="660">
      <c r="A660" t="inlineStr">
        <is>
          <t>FB-00659</t>
        </is>
      </c>
      <c r="B660" t="inlineStr">
        <is>
          <t>CUST-0080</t>
        </is>
      </c>
      <c r="C660" s="11" t="n">
        <v>46107</v>
      </c>
      <c r="D660" t="inlineStr">
        <is>
          <t>Feature Request</t>
        </is>
      </c>
      <c r="E660" t="inlineStr">
        <is>
          <t>Professional</t>
        </is>
      </c>
      <c r="F660" t="inlineStr">
        <is>
          <t>Mid-Market</t>
        </is>
      </c>
      <c r="G660" t="inlineStr">
        <is>
          <t>Reporting</t>
        </is>
      </c>
      <c r="H660" t="inlineStr">
        <is>
          <t>Feature Request</t>
        </is>
      </c>
      <c r="I660" t="inlineStr">
        <is>
          <t>Feedback from our monthly review. Requesting quota tracking that updates as deal stages change. It affects our lead handoff process every cycle. Let us know if you need examples.</t>
        </is>
      </c>
      <c r="J660" t="inlineStr">
        <is>
          <t>Neutral</t>
        </is>
      </c>
      <c r="K660" t="inlineStr">
        <is>
          <t>Low</t>
        </is>
      </c>
      <c r="L660" t="inlineStr">
        <is>
          <t>Minor Inconvenience</t>
        </is>
      </c>
      <c r="M660" t="inlineStr">
        <is>
          <t>rep_forecast</t>
        </is>
      </c>
      <c r="N660" t="inlineStr">
        <is>
          <t>Sales forecasting</t>
        </is>
      </c>
      <c r="O660" t="inlineStr">
        <is>
          <t>2026-03</t>
        </is>
      </c>
    </row>
    <row r="661">
      <c r="A661" t="inlineStr">
        <is>
          <t>FB-00660</t>
        </is>
      </c>
      <c r="B661" t="inlineStr">
        <is>
          <t>CUST-0408</t>
        </is>
      </c>
      <c r="C661" s="11" t="n">
        <v>46107</v>
      </c>
      <c r="D661" t="inlineStr">
        <is>
          <t>In-App Feedback</t>
        </is>
      </c>
      <c r="E661" t="inlineStr">
        <is>
          <t>Starter</t>
        </is>
      </c>
      <c r="F661" t="inlineStr">
        <is>
          <t>SMB</t>
        </is>
      </c>
      <c r="G661" t="inlineStr">
        <is>
          <t>Contact Management</t>
        </is>
      </c>
      <c r="H661" t="inlineStr">
        <is>
          <t>Performance Issue</t>
        </is>
      </c>
      <c r="I661" t="inlineStr">
        <is>
          <t>Escalating on behalf of our ops lead. Combining several conditions in contact search makes the page hang. Is there a workaround?</t>
        </is>
      </c>
      <c r="J661" t="inlineStr">
        <is>
          <t>Negative</t>
        </is>
      </c>
      <c r="K661" t="inlineStr">
        <is>
          <t>Medium</t>
        </is>
      </c>
      <c r="L661" t="inlineStr">
        <is>
          <t>Workflow Slowdown</t>
        </is>
      </c>
      <c r="M661" t="inlineStr">
        <is>
          <t>contact_search</t>
        </is>
      </c>
      <c r="N661" t="inlineStr">
        <is>
          <t>Slow contact search</t>
        </is>
      </c>
      <c r="O661" t="inlineStr">
        <is>
          <t>2026-03</t>
        </is>
      </c>
    </row>
    <row r="662">
      <c r="A662" t="inlineStr">
        <is>
          <t>FB-00661</t>
        </is>
      </c>
      <c r="B662" t="inlineStr">
        <is>
          <t>CUST-0249</t>
        </is>
      </c>
      <c r="C662" s="11" t="n">
        <v>46108</v>
      </c>
      <c r="D662" t="inlineStr">
        <is>
          <t>Feature Request</t>
        </is>
      </c>
      <c r="E662" t="inlineStr">
        <is>
          <t>Starter</t>
        </is>
      </c>
      <c r="F662" t="inlineStr">
        <is>
          <t>SMB</t>
        </is>
      </c>
      <c r="G662" t="inlineStr">
        <is>
          <t>Workflow Automation</t>
        </is>
      </c>
      <c r="H662" t="inlineStr">
        <is>
          <t>Feature Request</t>
        </is>
      </c>
      <c r="I662" t="inlineStr">
        <is>
          <t>Sharing this from our team. We'd adopt automation faster with prebuilt automations we could customize. So far 22 people on our side have reported it.</t>
        </is>
      </c>
      <c r="J662" t="inlineStr">
        <is>
          <t>Neutral</t>
        </is>
      </c>
      <c r="K662" t="inlineStr">
        <is>
          <t>Medium</t>
        </is>
      </c>
      <c r="L662" t="inlineStr">
        <is>
          <t>Workflow Slowdown</t>
        </is>
      </c>
      <c r="M662" t="inlineStr">
        <is>
          <t>wf_templates</t>
        </is>
      </c>
      <c r="N662" t="inlineStr">
        <is>
          <t>Workflow templates</t>
        </is>
      </c>
      <c r="O662" t="inlineStr">
        <is>
          <t>2026-03</t>
        </is>
      </c>
    </row>
    <row r="663">
      <c r="A663" t="inlineStr">
        <is>
          <t>FB-00662</t>
        </is>
      </c>
      <c r="B663" t="inlineStr">
        <is>
          <t>CUST-0032</t>
        </is>
      </c>
      <c r="C663" s="11" t="n">
        <v>46108</v>
      </c>
      <c r="D663" t="inlineStr">
        <is>
          <t>Feature Request</t>
        </is>
      </c>
      <c r="E663" t="inlineStr">
        <is>
          <t>Starter</t>
        </is>
      </c>
      <c r="F663" t="inlineStr">
        <is>
          <t>SMB</t>
        </is>
      </c>
      <c r="G663" t="inlineStr">
        <is>
          <t>Integrations</t>
        </is>
      </c>
      <c r="H663" t="inlineStr">
        <is>
          <t>Feature Request</t>
        </is>
      </c>
      <c r="I663" t="inlineStr">
        <is>
          <t>Quick note from our admin. Lack of a native Slack integration is a gap versus other CRMs we evaluated. It affects our month-end reporting process every cycle.</t>
        </is>
      </c>
      <c r="J663" t="inlineStr">
        <is>
          <t>Neutral</t>
        </is>
      </c>
      <c r="K663" t="inlineStr">
        <is>
          <t>Low</t>
        </is>
      </c>
      <c r="L663" t="inlineStr">
        <is>
          <t>Minor Inconvenience</t>
        </is>
      </c>
      <c r="M663" t="inlineStr">
        <is>
          <t>int_native</t>
        </is>
      </c>
      <c r="N663" t="inlineStr">
        <is>
          <t>Native integrations</t>
        </is>
      </c>
      <c r="O663" t="inlineStr">
        <is>
          <t>2026-03</t>
        </is>
      </c>
    </row>
    <row r="664">
      <c r="A664" t="inlineStr">
        <is>
          <t>FB-00663</t>
        </is>
      </c>
      <c r="B664" t="inlineStr">
        <is>
          <t>CUST-0027</t>
        </is>
      </c>
      <c r="C664" s="11" t="n">
        <v>46108</v>
      </c>
      <c r="D664" t="inlineStr">
        <is>
          <t>Feature Request</t>
        </is>
      </c>
      <c r="E664" t="inlineStr">
        <is>
          <t>Professional</t>
        </is>
      </c>
      <c r="F664" t="inlineStr">
        <is>
          <t>SMB</t>
        </is>
      </c>
      <c r="G664" t="inlineStr">
        <is>
          <t>Reporting</t>
        </is>
      </c>
      <c r="H664" t="inlineStr">
        <is>
          <t>Feature Request</t>
        </is>
      </c>
      <c r="I664" t="inlineStr">
        <is>
          <t>Please add report scheduling; today an analyst rebuilds the same report every week. Happy to beta test.</t>
        </is>
      </c>
      <c r="J664" t="inlineStr">
        <is>
          <t>Positive</t>
        </is>
      </c>
      <c r="K664" t="inlineStr">
        <is>
          <t>Low</t>
        </is>
      </c>
      <c r="L664" t="inlineStr">
        <is>
          <t>Workflow Slowdown</t>
        </is>
      </c>
      <c r="M664" t="inlineStr">
        <is>
          <t>rep_custom</t>
        </is>
      </c>
      <c r="N664" t="inlineStr">
        <is>
          <t>Custom and scheduled reports</t>
        </is>
      </c>
      <c r="O664" t="inlineStr">
        <is>
          <t>2026-03</t>
        </is>
      </c>
    </row>
    <row r="665">
      <c r="A665" t="inlineStr">
        <is>
          <t>FB-00664</t>
        </is>
      </c>
      <c r="B665" t="inlineStr">
        <is>
          <t>CUST-0007</t>
        </is>
      </c>
      <c r="C665" s="11" t="n">
        <v>46109</v>
      </c>
      <c r="D665" t="inlineStr">
        <is>
          <t>Feature Request</t>
        </is>
      </c>
      <c r="E665" t="inlineStr">
        <is>
          <t>Professional</t>
        </is>
      </c>
      <c r="F665" t="inlineStr">
        <is>
          <t>SMB</t>
        </is>
      </c>
      <c r="G665" t="inlineStr">
        <is>
          <t>Lead Management</t>
        </is>
      </c>
      <c r="H665" t="inlineStr">
        <is>
          <t>Feature Request</t>
        </is>
      </c>
      <c r="I665" t="inlineStr">
        <is>
          <t>We need a lead score model so reps can focus on the prospects most likely to close. So far 10 people on our side have reported it.</t>
        </is>
      </c>
      <c r="J665" t="inlineStr">
        <is>
          <t>Neutral</t>
        </is>
      </c>
      <c r="K665" t="inlineStr">
        <is>
          <t>Medium</t>
        </is>
      </c>
      <c r="L665" t="inlineStr">
        <is>
          <t>Minor Inconvenience</t>
        </is>
      </c>
      <c r="M665" t="inlineStr">
        <is>
          <t>lead_score</t>
        </is>
      </c>
      <c r="N665" t="inlineStr">
        <is>
          <t>Automated lead scoring</t>
        </is>
      </c>
      <c r="O665" t="inlineStr">
        <is>
          <t>2026-03</t>
        </is>
      </c>
    </row>
    <row r="666">
      <c r="A666" t="inlineStr">
        <is>
          <t>FB-00665</t>
        </is>
      </c>
      <c r="B666" t="inlineStr">
        <is>
          <t>CUST-0124</t>
        </is>
      </c>
      <c r="C666" s="11" t="n">
        <v>46109</v>
      </c>
      <c r="D666" t="inlineStr">
        <is>
          <t>Customer Survey</t>
        </is>
      </c>
      <c r="E666" t="inlineStr">
        <is>
          <t>Starter</t>
        </is>
      </c>
      <c r="F666" t="inlineStr">
        <is>
          <t>SMB</t>
        </is>
      </c>
      <c r="G666" t="inlineStr">
        <is>
          <t>Contact Management</t>
        </is>
      </c>
      <c r="H666" t="inlineStr">
        <is>
          <t>Bug</t>
        </is>
      </c>
      <c r="I666" t="inlineStr">
        <is>
          <t>Not what we expected for the price. The spreadsheet import fails halfway through with a generic error and no row-level detail. We need a fix before renewal.</t>
        </is>
      </c>
      <c r="J666" t="inlineStr">
        <is>
          <t>Negative</t>
        </is>
      </c>
      <c r="K666" t="inlineStr">
        <is>
          <t>Medium</t>
        </is>
      </c>
      <c r="L666" t="inlineStr">
        <is>
          <t>Minor Inconvenience</t>
        </is>
      </c>
      <c r="M666" t="inlineStr">
        <is>
          <t>contact_import</t>
        </is>
      </c>
      <c r="N666" t="inlineStr">
        <is>
          <t>Unreliable contact imports</t>
        </is>
      </c>
      <c r="O666" t="inlineStr">
        <is>
          <t>2026-03</t>
        </is>
      </c>
    </row>
    <row r="667">
      <c r="A667" t="inlineStr">
        <is>
          <t>FB-00666</t>
        </is>
      </c>
      <c r="B667" t="inlineStr">
        <is>
          <t>CUST-0295</t>
        </is>
      </c>
      <c r="C667" s="11" t="n">
        <v>46109</v>
      </c>
      <c r="D667" t="inlineStr">
        <is>
          <t>Feature Request</t>
        </is>
      </c>
      <c r="E667" t="inlineStr">
        <is>
          <t>Starter</t>
        </is>
      </c>
      <c r="F667" t="inlineStr">
        <is>
          <t>SMB</t>
        </is>
      </c>
      <c r="G667" t="inlineStr">
        <is>
          <t>Reporting</t>
        </is>
      </c>
      <c r="H667" t="inlineStr">
        <is>
          <t>Feature Request</t>
        </is>
      </c>
      <c r="I667" t="inlineStr">
        <is>
          <t>Feedback from our monthly review. Without scheduled report emails we export raw data and rebuild everything elsewhere. It affects our renewal process every cycle. Let us know if you need examples.</t>
        </is>
      </c>
      <c r="J667" t="inlineStr">
        <is>
          <t>Neutral</t>
        </is>
      </c>
      <c r="K667" t="inlineStr">
        <is>
          <t>Low</t>
        </is>
      </c>
      <c r="L667" t="inlineStr">
        <is>
          <t>Workflow Slowdown</t>
        </is>
      </c>
      <c r="M667" t="inlineStr">
        <is>
          <t>rep_custom</t>
        </is>
      </c>
      <c r="N667" t="inlineStr">
        <is>
          <t>Custom and scheduled reports</t>
        </is>
      </c>
      <c r="O667" t="inlineStr">
        <is>
          <t>2026-03</t>
        </is>
      </c>
    </row>
    <row r="668">
      <c r="A668" t="inlineStr">
        <is>
          <t>FB-00667</t>
        </is>
      </c>
      <c r="B668" t="inlineStr">
        <is>
          <t>CUST-0138</t>
        </is>
      </c>
      <c r="C668" s="11" t="n">
        <v>46109</v>
      </c>
      <c r="D668" t="inlineStr">
        <is>
          <t>Feature Request</t>
        </is>
      </c>
      <c r="E668" t="inlineStr">
        <is>
          <t>Starter</t>
        </is>
      </c>
      <c r="F668" t="inlineStr">
        <is>
          <t>SMB</t>
        </is>
      </c>
      <c r="G668" t="inlineStr">
        <is>
          <t>User Interface</t>
        </is>
      </c>
      <c r="H668" t="inlineStr">
        <is>
          <t>Feature Request</t>
        </is>
      </c>
      <c r="I668" t="inlineStr">
        <is>
          <t>FYI for the product team. Requesting bulk actions on lists across every list view. We estimate we lose roughly 55 hours a month on this.</t>
        </is>
      </c>
      <c r="J668" t="inlineStr">
        <is>
          <t>Neutral</t>
        </is>
      </c>
      <c r="K668" t="inlineStr">
        <is>
          <t>Low</t>
        </is>
      </c>
      <c r="L668" t="inlineStr">
        <is>
          <t>Blocks Key Task</t>
        </is>
      </c>
      <c r="M668" t="inlineStr">
        <is>
          <t>ui_bulk</t>
        </is>
      </c>
      <c r="N668" t="inlineStr">
        <is>
          <t>Bulk actions</t>
        </is>
      </c>
      <c r="O668" t="inlineStr">
        <is>
          <t>2026-03</t>
        </is>
      </c>
    </row>
    <row r="669">
      <c r="A669" t="inlineStr">
        <is>
          <t>FB-00668</t>
        </is>
      </c>
      <c r="B669" t="inlineStr">
        <is>
          <t>CUST-0149</t>
        </is>
      </c>
      <c r="C669" s="11" t="n">
        <v>46109</v>
      </c>
      <c r="D669" t="inlineStr">
        <is>
          <t>In-App Feedback</t>
        </is>
      </c>
      <c r="E669" t="inlineStr">
        <is>
          <t>Professional</t>
        </is>
      </c>
      <c r="F669" t="inlineStr">
        <is>
          <t>Mid-Market</t>
        </is>
      </c>
      <c r="G669" t="inlineStr">
        <is>
          <t>Lead Management</t>
        </is>
      </c>
      <c r="H669" t="inlineStr">
        <is>
          <t>Performance Issue</t>
        </is>
      </c>
      <c r="I669" t="inlineStr">
        <is>
          <t>Complaint about lead list loading: the board freezes while cards render. We estimate we lose roughly 14 hours a month on this. Please look into it soon.</t>
        </is>
      </c>
      <c r="J669" t="inlineStr">
        <is>
          <t>Negative</t>
        </is>
      </c>
      <c r="K669" t="inlineStr">
        <is>
          <t>Low</t>
        </is>
      </c>
      <c r="L669" t="inlineStr">
        <is>
          <t>Minor Inconvenience</t>
        </is>
      </c>
      <c r="M669" t="inlineStr">
        <is>
          <t>lead_slow</t>
        </is>
      </c>
      <c r="N669" t="inlineStr">
        <is>
          <t>Slow lead lists and pipeline board</t>
        </is>
      </c>
      <c r="O669" t="inlineStr">
        <is>
          <t>2026-03</t>
        </is>
      </c>
    </row>
    <row r="670">
      <c r="A670" t="inlineStr">
        <is>
          <t>FB-00669</t>
        </is>
      </c>
      <c r="B670" t="inlineStr">
        <is>
          <t>CUST-0035</t>
        </is>
      </c>
      <c r="C670" s="11" t="n">
        <v>46110</v>
      </c>
      <c r="D670" t="inlineStr">
        <is>
          <t>In-App Feedback</t>
        </is>
      </c>
      <c r="E670" t="inlineStr">
        <is>
          <t>Professional</t>
        </is>
      </c>
      <c r="F670" t="inlineStr">
        <is>
          <t>Enterprise</t>
        </is>
      </c>
      <c r="G670" t="inlineStr">
        <is>
          <t>Contact Management</t>
        </is>
      </c>
      <c r="H670" t="inlineStr">
        <is>
          <t>Bug</t>
        </is>
      </c>
      <c r="I670" t="inlineStr">
        <is>
          <t>Noting this during onboarding. Our spreadsheet import scrambles phone and email columns even after we map them correctly. Our RevOps lead flagged it while onboarding 105 new users.</t>
        </is>
      </c>
      <c r="J670" t="inlineStr">
        <is>
          <t>Neutral</t>
        </is>
      </c>
      <c r="K670" t="inlineStr">
        <is>
          <t>High</t>
        </is>
      </c>
      <c r="L670" t="inlineStr">
        <is>
          <t>Blocks Key Task</t>
        </is>
      </c>
      <c r="M670" t="inlineStr">
        <is>
          <t>contact_import</t>
        </is>
      </c>
      <c r="N670" t="inlineStr">
        <is>
          <t>Unreliable contact imports</t>
        </is>
      </c>
      <c r="O670" t="inlineStr">
        <is>
          <t>2026-03</t>
        </is>
      </c>
    </row>
    <row r="671">
      <c r="A671" t="inlineStr">
        <is>
          <t>FB-00670</t>
        </is>
      </c>
      <c r="B671" t="inlineStr">
        <is>
          <t>CUST-0283</t>
        </is>
      </c>
      <c r="C671" s="11" t="n">
        <v>46110</v>
      </c>
      <c r="D671" t="inlineStr">
        <is>
          <t>In-App Feedback</t>
        </is>
      </c>
      <c r="E671" t="inlineStr">
        <is>
          <t>Professional</t>
        </is>
      </c>
      <c r="F671" t="inlineStr">
        <is>
          <t>Enterprise</t>
        </is>
      </c>
      <c r="G671" t="inlineStr">
        <is>
          <t>Lead Management</t>
        </is>
      </c>
      <c r="H671" t="inlineStr">
        <is>
          <t>Bug</t>
        </is>
      </c>
      <c r="I671" t="inlineStr">
        <is>
          <t>Not what we expected for the price. Web form submissions keep creating lead de-duplication failures, and reps end up calling the same prospect twice. Is there a workaround?</t>
        </is>
      </c>
      <c r="J671" t="inlineStr">
        <is>
          <t>Negative</t>
        </is>
      </c>
      <c r="K671" t="inlineStr">
        <is>
          <t>Medium</t>
        </is>
      </c>
      <c r="L671" t="inlineStr">
        <is>
          <t>Minor Inconvenience</t>
        </is>
      </c>
      <c r="M671" t="inlineStr">
        <is>
          <t>lead_dup</t>
        </is>
      </c>
      <c r="N671" t="inlineStr">
        <is>
          <t>Duplicate leads created</t>
        </is>
      </c>
      <c r="O671" t="inlineStr">
        <is>
          <t>2026-03</t>
        </is>
      </c>
    </row>
    <row r="672">
      <c r="A672" t="inlineStr">
        <is>
          <t>FB-00671</t>
        </is>
      </c>
      <c r="B672" t="inlineStr">
        <is>
          <t>CUST-0128</t>
        </is>
      </c>
      <c r="C672" s="11" t="n">
        <v>46110</v>
      </c>
      <c r="D672" t="inlineStr">
        <is>
          <t>In-App Feedback</t>
        </is>
      </c>
      <c r="E672" t="inlineStr">
        <is>
          <t>Professional</t>
        </is>
      </c>
      <c r="F672" t="inlineStr">
        <is>
          <t>SMB</t>
        </is>
      </c>
      <c r="G672" t="inlineStr">
        <is>
          <t>Workflow Automation</t>
        </is>
      </c>
      <c r="H672" t="inlineStr">
        <is>
          <t>Usability Issue</t>
        </is>
      </c>
      <c r="I672" t="inlineStr">
        <is>
          <t>I can't tell what a branch does in the automation canvas without opening every node. Let us know if you need examples.</t>
        </is>
      </c>
      <c r="J672" t="inlineStr">
        <is>
          <t>Neutral</t>
        </is>
      </c>
      <c r="K672" t="inlineStr">
        <is>
          <t>Medium</t>
        </is>
      </c>
      <c r="L672" t="inlineStr">
        <is>
          <t>Workflow Slowdown</t>
        </is>
      </c>
      <c r="M672" t="inlineStr">
        <is>
          <t>wf_builder</t>
        </is>
      </c>
      <c r="N672" t="inlineStr">
        <is>
          <t>Confusing workflow builder</t>
        </is>
      </c>
      <c r="O672" t="inlineStr">
        <is>
          <t>2026-03</t>
        </is>
      </c>
    </row>
    <row r="673">
      <c r="A673" t="inlineStr">
        <is>
          <t>FB-00672</t>
        </is>
      </c>
      <c r="B673" t="inlineStr">
        <is>
          <t>CUST-0091</t>
        </is>
      </c>
      <c r="C673" s="11" t="n">
        <v>46110</v>
      </c>
      <c r="D673" t="inlineStr">
        <is>
          <t>Support Ticket</t>
        </is>
      </c>
      <c r="E673" t="inlineStr">
        <is>
          <t>Professional</t>
        </is>
      </c>
      <c r="F673" t="inlineStr">
        <is>
          <t>SMB</t>
        </is>
      </c>
      <c r="G673" t="inlineStr">
        <is>
          <t>Integrations</t>
        </is>
      </c>
      <c r="H673" t="inlineStr">
        <is>
          <t>Integration Issue</t>
        </is>
      </c>
      <c r="I673" t="inlineStr">
        <is>
          <t>Frustrated with this one. The Gmail sync duplicates meetings and misses replies.</t>
        </is>
      </c>
      <c r="J673" t="inlineStr">
        <is>
          <t>Negative</t>
        </is>
      </c>
      <c r="K673" t="inlineStr">
        <is>
          <t>Medium</t>
        </is>
      </c>
      <c r="L673" t="inlineStr">
        <is>
          <t>Workflow Slowdown</t>
        </is>
      </c>
      <c r="M673" t="inlineStr">
        <is>
          <t>int_email</t>
        </is>
      </c>
      <c r="N673" t="inlineStr">
        <is>
          <t>Email and calendar sync drops</t>
        </is>
      </c>
      <c r="O673" t="inlineStr">
        <is>
          <t>2026-03</t>
        </is>
      </c>
    </row>
    <row r="674">
      <c r="A674" t="inlineStr">
        <is>
          <t>FB-00673</t>
        </is>
      </c>
      <c r="B674" t="inlineStr">
        <is>
          <t>CUST-0277</t>
        </is>
      </c>
      <c r="C674" s="11" t="n">
        <v>46110</v>
      </c>
      <c r="D674" t="inlineStr">
        <is>
          <t>Customer Survey</t>
        </is>
      </c>
      <c r="E674" t="inlineStr">
        <is>
          <t>Professional</t>
        </is>
      </c>
      <c r="F674" t="inlineStr">
        <is>
          <t>Mid-Market</t>
        </is>
      </c>
      <c r="G674" t="inlineStr">
        <is>
          <t>Workflow Automation</t>
        </is>
      </c>
      <c r="H674" t="inlineStr">
        <is>
          <t>Usability Issue</t>
        </is>
      </c>
      <c r="I674" t="inlineStr">
        <is>
          <t>Raising this again after our last business review. The automation canvas doesn't let us copy steps between flows.</t>
        </is>
      </c>
      <c r="J674" t="inlineStr">
        <is>
          <t>Negative</t>
        </is>
      </c>
      <c r="K674" t="inlineStr">
        <is>
          <t>Low</t>
        </is>
      </c>
      <c r="L674" t="inlineStr">
        <is>
          <t>Minor Inconvenience</t>
        </is>
      </c>
      <c r="M674" t="inlineStr">
        <is>
          <t>wf_builder</t>
        </is>
      </c>
      <c r="N674" t="inlineStr">
        <is>
          <t>Confusing workflow builder</t>
        </is>
      </c>
      <c r="O674" t="inlineStr">
        <is>
          <t>2026-03</t>
        </is>
      </c>
    </row>
    <row r="675">
      <c r="A675" t="inlineStr">
        <is>
          <t>FB-00674</t>
        </is>
      </c>
      <c r="B675" t="inlineStr">
        <is>
          <t>CUST-0250</t>
        </is>
      </c>
      <c r="C675" s="11" t="n">
        <v>46110</v>
      </c>
      <c r="D675" t="inlineStr">
        <is>
          <t>Support Ticket</t>
        </is>
      </c>
      <c r="E675" t="inlineStr">
        <is>
          <t>Professional</t>
        </is>
      </c>
      <c r="F675" t="inlineStr">
        <is>
          <t>Mid-Market</t>
        </is>
      </c>
      <c r="G675" t="inlineStr">
        <is>
          <t>Lead Management</t>
        </is>
      </c>
      <c r="H675" t="inlineStr">
        <is>
          <t>Performance Issue</t>
        </is>
      </c>
      <c r="I675" t="inlineStr">
        <is>
          <t>Reps have stopped using the board because of lead view load times. We estimate we lose roughly 43 hours a month on this.</t>
        </is>
      </c>
      <c r="J675" t="inlineStr">
        <is>
          <t>Negative</t>
        </is>
      </c>
      <c r="K675" t="inlineStr">
        <is>
          <t>Medium</t>
        </is>
      </c>
      <c r="L675" t="inlineStr">
        <is>
          <t>Minor Inconvenience</t>
        </is>
      </c>
      <c r="M675" t="inlineStr">
        <is>
          <t>lead_slow</t>
        </is>
      </c>
      <c r="N675" t="inlineStr">
        <is>
          <t>Slow lead lists and pipeline board</t>
        </is>
      </c>
      <c r="O675" t="inlineStr">
        <is>
          <t>2026-03</t>
        </is>
      </c>
    </row>
    <row r="676">
      <c r="A676" t="inlineStr">
        <is>
          <t>FB-00675</t>
        </is>
      </c>
      <c r="B676" t="inlineStr">
        <is>
          <t>CUST-0242</t>
        </is>
      </c>
      <c r="C676" s="11" t="n">
        <v>46111</v>
      </c>
      <c r="D676" t="inlineStr">
        <is>
          <t>Customer Survey</t>
        </is>
      </c>
      <c r="E676" t="inlineStr">
        <is>
          <t>Starter</t>
        </is>
      </c>
      <c r="F676" t="inlineStr">
        <is>
          <t>SMB</t>
        </is>
      </c>
      <c r="G676" t="inlineStr">
        <is>
          <t>Contact Management</t>
        </is>
      </c>
      <c r="H676" t="inlineStr">
        <is>
          <t>Feature Request</t>
        </is>
      </c>
      <c r="I676" t="inlineStr">
        <is>
          <t>A bulk contact merge that keeps activity history would save our ops team hours. We need a fix before renewal.</t>
        </is>
      </c>
      <c r="J676" t="inlineStr">
        <is>
          <t>Negative</t>
        </is>
      </c>
      <c r="K676" t="inlineStr">
        <is>
          <t>Low</t>
        </is>
      </c>
      <c r="L676" t="inlineStr">
        <is>
          <t>Minor Inconvenience</t>
        </is>
      </c>
      <c r="M676" t="inlineStr">
        <is>
          <t>contact_dedupe</t>
        </is>
      </c>
      <c r="N676" t="inlineStr">
        <is>
          <t>Bulk contact merge</t>
        </is>
      </c>
      <c r="O676" t="inlineStr">
        <is>
          <t>2026-03</t>
        </is>
      </c>
    </row>
    <row r="677">
      <c r="A677" t="inlineStr">
        <is>
          <t>FB-00676</t>
        </is>
      </c>
      <c r="B677" t="inlineStr">
        <is>
          <t>CUST-0345</t>
        </is>
      </c>
      <c r="C677" s="11" t="n">
        <v>46111</v>
      </c>
      <c r="D677" t="inlineStr">
        <is>
          <t>Feature Request</t>
        </is>
      </c>
      <c r="E677" t="inlineStr">
        <is>
          <t>Enterprise</t>
        </is>
      </c>
      <c r="F677" t="inlineStr">
        <is>
          <t>Enterprise</t>
        </is>
      </c>
      <c r="G677" t="inlineStr">
        <is>
          <t>Integrations</t>
        </is>
      </c>
      <c r="H677" t="inlineStr">
        <is>
          <t>Feature Request</t>
        </is>
      </c>
      <c r="I677" t="inlineStr">
        <is>
          <t>Requesting SAML login for our compliance audit. It affects our quarterly planning process every cycle.</t>
        </is>
      </c>
      <c r="J677" t="inlineStr">
        <is>
          <t>Positive</t>
        </is>
      </c>
      <c r="K677" t="inlineStr">
        <is>
          <t>Low</t>
        </is>
      </c>
      <c r="L677" t="inlineStr">
        <is>
          <t>Minor Inconvenience</t>
        </is>
      </c>
      <c r="M677" t="inlineStr">
        <is>
          <t>int_sso</t>
        </is>
      </c>
      <c r="N677" t="inlineStr">
        <is>
          <t>SSO and provisioning</t>
        </is>
      </c>
      <c r="O677" t="inlineStr">
        <is>
          <t>2026-03</t>
        </is>
      </c>
    </row>
    <row r="678">
      <c r="A678" t="inlineStr">
        <is>
          <t>FB-00677</t>
        </is>
      </c>
      <c r="B678" t="inlineStr">
        <is>
          <t>CUST-0092</t>
        </is>
      </c>
      <c r="C678" s="11" t="n">
        <v>46111</v>
      </c>
      <c r="D678" t="inlineStr">
        <is>
          <t>Support Ticket</t>
        </is>
      </c>
      <c r="E678" t="inlineStr">
        <is>
          <t>Professional</t>
        </is>
      </c>
      <c r="F678" t="inlineStr">
        <is>
          <t>Mid-Market</t>
        </is>
      </c>
      <c r="G678" t="inlineStr">
        <is>
          <t>User Interface</t>
        </is>
      </c>
      <c r="H678" t="inlineStr">
        <is>
          <t>Usability Issue</t>
        </is>
      </c>
      <c r="I678" t="inlineStr">
        <is>
          <t>The settings navigation changed and nobody told us where things moved.</t>
        </is>
      </c>
      <c r="J678" t="inlineStr">
        <is>
          <t>Neutral</t>
        </is>
      </c>
      <c r="K678" t="inlineStr">
        <is>
          <t>Low</t>
        </is>
      </c>
      <c r="L678" t="inlineStr">
        <is>
          <t>Workflow Slowdown</t>
        </is>
      </c>
      <c r="M678" t="inlineStr">
        <is>
          <t>ui_nav</t>
        </is>
      </c>
      <c r="N678" t="inlineStr">
        <is>
          <t>Cluttered navigation</t>
        </is>
      </c>
      <c r="O678" t="inlineStr">
        <is>
          <t>2026-03</t>
        </is>
      </c>
    </row>
    <row r="679">
      <c r="A679" t="inlineStr">
        <is>
          <t>FB-00678</t>
        </is>
      </c>
      <c r="B679" t="inlineStr">
        <is>
          <t>CUST-0254</t>
        </is>
      </c>
      <c r="C679" s="11" t="n">
        <v>46112</v>
      </c>
      <c r="D679" t="inlineStr">
        <is>
          <t>Customer Survey</t>
        </is>
      </c>
      <c r="E679" t="inlineStr">
        <is>
          <t>Professional</t>
        </is>
      </c>
      <c r="F679" t="inlineStr">
        <is>
          <t>SMB</t>
        </is>
      </c>
      <c r="G679" t="inlineStr">
        <is>
          <t>Integrations</t>
        </is>
      </c>
      <c r="H679" t="inlineStr">
        <is>
          <t>Integration Issue</t>
        </is>
      </c>
      <c r="I679" t="inlineStr">
        <is>
          <t>Great support experience recently. We keep hitting API timeouts during nightly syncs with our data warehouse. It affects our quarterly planning process every cycle.</t>
        </is>
      </c>
      <c r="J679" t="inlineStr">
        <is>
          <t>Positive</t>
        </is>
      </c>
      <c r="K679" t="inlineStr">
        <is>
          <t>Medium</t>
        </is>
      </c>
      <c r="L679" t="inlineStr">
        <is>
          <t>Blocks Key Task</t>
        </is>
      </c>
      <c r="M679" t="inlineStr">
        <is>
          <t>int_api</t>
        </is>
      </c>
      <c r="N679" t="inlineStr">
        <is>
          <t>API limits and webhook failures</t>
        </is>
      </c>
      <c r="O679" t="inlineStr">
        <is>
          <t>2026-03</t>
        </is>
      </c>
    </row>
    <row r="680">
      <c r="A680" t="inlineStr">
        <is>
          <t>FB-00679</t>
        </is>
      </c>
      <c r="B680" t="inlineStr">
        <is>
          <t>CUST-0030</t>
        </is>
      </c>
      <c r="C680" s="11" t="n">
        <v>46112</v>
      </c>
      <c r="D680" t="inlineStr">
        <is>
          <t>In-App Feedback</t>
        </is>
      </c>
      <c r="E680" t="inlineStr">
        <is>
          <t>Professional</t>
        </is>
      </c>
      <c r="F680" t="inlineStr">
        <is>
          <t>Mid-Market</t>
        </is>
      </c>
      <c r="G680" t="inlineStr">
        <is>
          <t>Workflow Automation</t>
        </is>
      </c>
      <c r="H680" t="inlineStr">
        <is>
          <t>Feature Request</t>
        </is>
      </c>
      <c r="I680" t="inlineStr">
        <is>
          <t>Adding approval steps is a blocker for our finance team. It happens about 18 times a week for our team of 58.</t>
        </is>
      </c>
      <c r="J680" t="inlineStr">
        <is>
          <t>Neutral</t>
        </is>
      </c>
      <c r="K680" t="inlineStr">
        <is>
          <t>Low</t>
        </is>
      </c>
      <c r="L680" t="inlineStr">
        <is>
          <t>Workflow Slowdown</t>
        </is>
      </c>
      <c r="M680" t="inlineStr">
        <is>
          <t>wf_approval</t>
        </is>
      </c>
      <c r="N680" t="inlineStr">
        <is>
          <t>Approval steps in workflows</t>
        </is>
      </c>
      <c r="O680" t="inlineStr">
        <is>
          <t>2026-03</t>
        </is>
      </c>
    </row>
    <row r="681">
      <c r="A681" t="inlineStr">
        <is>
          <t>FB-00680</t>
        </is>
      </c>
      <c r="B681" t="inlineStr">
        <is>
          <t>CUST-0185</t>
        </is>
      </c>
      <c r="C681" s="11" t="n">
        <v>46113</v>
      </c>
      <c r="D681" t="inlineStr">
        <is>
          <t>Customer Survey</t>
        </is>
      </c>
      <c r="E681" t="inlineStr">
        <is>
          <t>Professional</t>
        </is>
      </c>
      <c r="F681" t="inlineStr">
        <is>
          <t>Mid-Market</t>
        </is>
      </c>
      <c r="G681" t="inlineStr">
        <is>
          <t>Workflow Automation</t>
        </is>
      </c>
      <c r="H681" t="inlineStr">
        <is>
          <t>Feature Request</t>
        </is>
      </c>
      <c r="I681" t="inlineStr">
        <is>
          <t>Feedback from our monthly review. Please provide prebuilt automations for common processes like onboarding and renewals. So far 67 people on our side have reported it. Let us know if you need examples.</t>
        </is>
      </c>
      <c r="J681" t="inlineStr">
        <is>
          <t>Neutral</t>
        </is>
      </c>
      <c r="K681" t="inlineStr">
        <is>
          <t>Low</t>
        </is>
      </c>
      <c r="L681" t="inlineStr">
        <is>
          <t>Workflow Slowdown</t>
        </is>
      </c>
      <c r="M681" t="inlineStr">
        <is>
          <t>wf_templates</t>
        </is>
      </c>
      <c r="N681" t="inlineStr">
        <is>
          <t>Workflow templates</t>
        </is>
      </c>
      <c r="O681" t="inlineStr">
        <is>
          <t>2026-04</t>
        </is>
      </c>
    </row>
    <row r="682">
      <c r="A682" t="inlineStr">
        <is>
          <t>FB-00681</t>
        </is>
      </c>
      <c r="B682" t="inlineStr">
        <is>
          <t>CUST-0185</t>
        </is>
      </c>
      <c r="C682" s="11" t="n">
        <v>46114</v>
      </c>
      <c r="D682" t="inlineStr">
        <is>
          <t>In-App Feedback</t>
        </is>
      </c>
      <c r="E682" t="inlineStr">
        <is>
          <t>Professional</t>
        </is>
      </c>
      <c r="F682" t="inlineStr">
        <is>
          <t>Mid-Market</t>
        </is>
      </c>
      <c r="G682" t="inlineStr">
        <is>
          <t>Contact Management</t>
        </is>
      </c>
      <c r="H682" t="inlineStr">
        <is>
          <t>Feature Request</t>
        </is>
      </c>
      <c r="I682" t="inlineStr">
        <is>
          <t>Please build a bulk contact merge with a preview of what will be combined. It affects our weekly pipeline review process every cycle.</t>
        </is>
      </c>
      <c r="J682" t="inlineStr">
        <is>
          <t>Neutral</t>
        </is>
      </c>
      <c r="K682" t="inlineStr">
        <is>
          <t>Medium</t>
        </is>
      </c>
      <c r="L682" t="inlineStr">
        <is>
          <t>Blocks Key Task</t>
        </is>
      </c>
      <c r="M682" t="inlineStr">
        <is>
          <t>contact_dedupe</t>
        </is>
      </c>
      <c r="N682" t="inlineStr">
        <is>
          <t>Bulk contact merge</t>
        </is>
      </c>
      <c r="O682" t="inlineStr">
        <is>
          <t>2026-04</t>
        </is>
      </c>
    </row>
    <row r="683">
      <c r="A683" t="inlineStr">
        <is>
          <t>FB-00682</t>
        </is>
      </c>
      <c r="B683" t="inlineStr">
        <is>
          <t>CUST-0409</t>
        </is>
      </c>
      <c r="C683" s="11" t="n">
        <v>46114</v>
      </c>
      <c r="D683" t="inlineStr">
        <is>
          <t>In-App Feedback</t>
        </is>
      </c>
      <c r="E683" t="inlineStr">
        <is>
          <t>Starter</t>
        </is>
      </c>
      <c r="F683" t="inlineStr">
        <is>
          <t>SMB</t>
        </is>
      </c>
      <c r="G683" t="inlineStr">
        <is>
          <t>User Interface</t>
        </is>
      </c>
      <c r="H683" t="inlineStr">
        <is>
          <t>Usability Issue</t>
        </is>
      </c>
      <c r="I683" t="inlineStr">
        <is>
          <t>This has been a recurring problem for us. New hires get lost in the page layout; it takes weeks to learn. It happens about 12 times a week for our team of 69.</t>
        </is>
      </c>
      <c r="J683" t="inlineStr">
        <is>
          <t>Negative</t>
        </is>
      </c>
      <c r="K683" t="inlineStr">
        <is>
          <t>Low</t>
        </is>
      </c>
      <c r="L683" t="inlineStr">
        <is>
          <t>Workflow Slowdown</t>
        </is>
      </c>
      <c r="M683" t="inlineStr">
        <is>
          <t>ui_nav</t>
        </is>
      </c>
      <c r="N683" t="inlineStr">
        <is>
          <t>Cluttered navigation</t>
        </is>
      </c>
      <c r="O683" t="inlineStr">
        <is>
          <t>2026-04</t>
        </is>
      </c>
    </row>
    <row r="684">
      <c r="A684" t="inlineStr">
        <is>
          <t>FB-00683</t>
        </is>
      </c>
      <c r="B684" t="inlineStr">
        <is>
          <t>CUST-0029</t>
        </is>
      </c>
      <c r="C684" s="11" t="n">
        <v>46114</v>
      </c>
      <c r="D684" t="inlineStr">
        <is>
          <t>Support Ticket</t>
        </is>
      </c>
      <c r="E684" t="inlineStr">
        <is>
          <t>Professional</t>
        </is>
      </c>
      <c r="F684" t="inlineStr">
        <is>
          <t>Enterprise</t>
        </is>
      </c>
      <c r="G684" t="inlineStr">
        <is>
          <t>User Interface</t>
        </is>
      </c>
      <c r="H684" t="inlineStr">
        <is>
          <t>Performance Issue</t>
        </is>
      </c>
      <c r="I684" t="inlineStr">
        <is>
          <t>Raising this again after our last business review. Since the redesign there is more page lag on older laptops. Support suggested logging it here.</t>
        </is>
      </c>
      <c r="J684" t="inlineStr">
        <is>
          <t>Negative</t>
        </is>
      </c>
      <c r="K684" t="inlineStr">
        <is>
          <t>Critical</t>
        </is>
      </c>
      <c r="L684" t="inlineStr">
        <is>
          <t>Revenue/Operations Risk</t>
        </is>
      </c>
      <c r="M684" t="inlineStr">
        <is>
          <t>ui_perf</t>
        </is>
      </c>
      <c r="N684" t="inlineStr">
        <is>
          <t>Laggy pages</t>
        </is>
      </c>
      <c r="O684" t="inlineStr">
        <is>
          <t>2026-04</t>
        </is>
      </c>
    </row>
    <row r="685">
      <c r="A685" t="inlineStr">
        <is>
          <t>FB-00684</t>
        </is>
      </c>
      <c r="B685" t="inlineStr">
        <is>
          <t>CUST-0160</t>
        </is>
      </c>
      <c r="C685" s="11" t="n">
        <v>46114</v>
      </c>
      <c r="D685" t="inlineStr">
        <is>
          <t>Feature Request</t>
        </is>
      </c>
      <c r="E685" t="inlineStr">
        <is>
          <t>Starter</t>
        </is>
      </c>
      <c r="F685" t="inlineStr">
        <is>
          <t>SMB</t>
        </is>
      </c>
      <c r="G685" t="inlineStr">
        <is>
          <t>Contact Management</t>
        </is>
      </c>
      <c r="H685" t="inlineStr">
        <is>
          <t>Bug</t>
        </is>
      </c>
      <c r="I685" t="inlineStr">
        <is>
          <t>The contact CSV import rejects files with accented characters in names. It happens about 29 times a week for our team of 42. Let us know if you need examples.</t>
        </is>
      </c>
      <c r="J685" t="inlineStr">
        <is>
          <t>Neutral</t>
        </is>
      </c>
      <c r="K685" t="inlineStr">
        <is>
          <t>Medium</t>
        </is>
      </c>
      <c r="L685" t="inlineStr">
        <is>
          <t>Workflow Slowdown</t>
        </is>
      </c>
      <c r="M685" t="inlineStr">
        <is>
          <t>contact_import</t>
        </is>
      </c>
      <c r="N685" t="inlineStr">
        <is>
          <t>Unreliable contact imports</t>
        </is>
      </c>
      <c r="O685" t="inlineStr">
        <is>
          <t>2026-04</t>
        </is>
      </c>
    </row>
    <row r="686">
      <c r="A686" t="inlineStr">
        <is>
          <t>FB-00685</t>
        </is>
      </c>
      <c r="B686" t="inlineStr">
        <is>
          <t>CUST-0044</t>
        </is>
      </c>
      <c r="C686" s="11" t="n">
        <v>46115</v>
      </c>
      <c r="D686" t="inlineStr">
        <is>
          <t>Support Ticket</t>
        </is>
      </c>
      <c r="E686" t="inlineStr">
        <is>
          <t>Enterprise</t>
        </is>
      </c>
      <c r="F686" t="inlineStr">
        <is>
          <t>Enterprise</t>
        </is>
      </c>
      <c r="G686" t="inlineStr">
        <is>
          <t>Contact Management</t>
        </is>
      </c>
      <c r="H686" t="inlineStr">
        <is>
          <t>Performance Issue</t>
        </is>
      </c>
      <c r="I686" t="inlineStr">
        <is>
          <t>Escalating on behalf of our ops lead. The contact list filtering times out on our largest accounts. So far 113 people on our side have reported it. Please look into it soon.</t>
        </is>
      </c>
      <c r="J686" t="inlineStr">
        <is>
          <t>Negative</t>
        </is>
      </c>
      <c r="K686" t="inlineStr">
        <is>
          <t>Medium</t>
        </is>
      </c>
      <c r="L686" t="inlineStr">
        <is>
          <t>Minor Inconvenience</t>
        </is>
      </c>
      <c r="M686" t="inlineStr">
        <is>
          <t>contact_search</t>
        </is>
      </c>
      <c r="N686" t="inlineStr">
        <is>
          <t>Slow contact search</t>
        </is>
      </c>
      <c r="O686" t="inlineStr">
        <is>
          <t>2026-04</t>
        </is>
      </c>
    </row>
    <row r="687">
      <c r="A687" t="inlineStr">
        <is>
          <t>FB-00686</t>
        </is>
      </c>
      <c r="B687" t="inlineStr">
        <is>
          <t>CUST-0215</t>
        </is>
      </c>
      <c r="C687" s="11" t="n">
        <v>46116</v>
      </c>
      <c r="D687" t="inlineStr">
        <is>
          <t>Feature Request</t>
        </is>
      </c>
      <c r="E687" t="inlineStr">
        <is>
          <t>Starter</t>
        </is>
      </c>
      <c r="F687" t="inlineStr">
        <is>
          <t>SMB</t>
        </is>
      </c>
      <c r="G687" t="inlineStr">
        <is>
          <t>User Interface</t>
        </is>
      </c>
      <c r="H687" t="inlineStr">
        <is>
          <t>Usability Issue</t>
        </is>
      </c>
      <c r="I687" t="inlineStr">
        <is>
          <t>Our team keeps running into this. Too many clicks to reach common screens because of the settings navigation. We need a fix before renewal.</t>
        </is>
      </c>
      <c r="J687" t="inlineStr">
        <is>
          <t>Negative</t>
        </is>
      </c>
      <c r="K687" t="inlineStr">
        <is>
          <t>High</t>
        </is>
      </c>
      <c r="L687" t="inlineStr">
        <is>
          <t>Revenue/Operations Risk</t>
        </is>
      </c>
      <c r="M687" t="inlineStr">
        <is>
          <t>ui_nav</t>
        </is>
      </c>
      <c r="N687" t="inlineStr">
        <is>
          <t>Cluttered navigation</t>
        </is>
      </c>
      <c r="O687" t="inlineStr">
        <is>
          <t>2026-04</t>
        </is>
      </c>
    </row>
    <row r="688">
      <c r="A688" t="inlineStr">
        <is>
          <t>FB-00687</t>
        </is>
      </c>
      <c r="B688" t="inlineStr">
        <is>
          <t>CUST-0205</t>
        </is>
      </c>
      <c r="C688" s="11" t="n">
        <v>46116</v>
      </c>
      <c r="D688" t="inlineStr">
        <is>
          <t>Feature Request</t>
        </is>
      </c>
      <c r="E688" t="inlineStr">
        <is>
          <t>Enterprise</t>
        </is>
      </c>
      <c r="F688" t="inlineStr">
        <is>
          <t>Enterprise</t>
        </is>
      </c>
      <c r="G688" t="inlineStr">
        <is>
          <t>Reporting</t>
        </is>
      </c>
      <c r="H688" t="inlineStr">
        <is>
          <t>Feature Request</t>
        </is>
      </c>
      <c r="I688" t="inlineStr">
        <is>
          <t>Without report scheduling we export raw data and rebuild everything elsewhere. Happy to join a feedback call.</t>
        </is>
      </c>
      <c r="J688" t="inlineStr">
        <is>
          <t>Neutral</t>
        </is>
      </c>
      <c r="K688" t="inlineStr">
        <is>
          <t>Low</t>
        </is>
      </c>
      <c r="L688" t="inlineStr">
        <is>
          <t>Minor Inconvenience</t>
        </is>
      </c>
      <c r="M688" t="inlineStr">
        <is>
          <t>rep_custom</t>
        </is>
      </c>
      <c r="N688" t="inlineStr">
        <is>
          <t>Custom and scheduled reports</t>
        </is>
      </c>
      <c r="O688" t="inlineStr">
        <is>
          <t>2026-04</t>
        </is>
      </c>
    </row>
    <row r="689">
      <c r="A689" t="inlineStr">
        <is>
          <t>FB-00688</t>
        </is>
      </c>
      <c r="B689" t="inlineStr">
        <is>
          <t>CUST-0185</t>
        </is>
      </c>
      <c r="C689" s="11" t="n">
        <v>46116</v>
      </c>
      <c r="D689" t="inlineStr">
        <is>
          <t>Support Ticket</t>
        </is>
      </c>
      <c r="E689" t="inlineStr">
        <is>
          <t>Professional</t>
        </is>
      </c>
      <c r="F689" t="inlineStr">
        <is>
          <t>Mid-Market</t>
        </is>
      </c>
      <c r="G689" t="inlineStr">
        <is>
          <t>Workflow Automation</t>
        </is>
      </c>
      <c r="H689" t="inlineStr">
        <is>
          <t>Bug</t>
        </is>
      </c>
      <c r="I689" t="inlineStr">
        <is>
          <t>Escalating on behalf of our ops lead. We are hitting automation misfires: emails don't send and nobody gets notified. So far 9 people on our side have reported it. We need a fix before renewal.</t>
        </is>
      </c>
      <c r="J689" t="inlineStr">
        <is>
          <t>Negative</t>
        </is>
      </c>
      <c r="K689" t="inlineStr">
        <is>
          <t>Low</t>
        </is>
      </c>
      <c r="L689" t="inlineStr">
        <is>
          <t>Minor Inconvenience</t>
        </is>
      </c>
      <c r="M689" t="inlineStr">
        <is>
          <t>wf_fail</t>
        </is>
      </c>
      <c r="N689" t="inlineStr">
        <is>
          <t>Workflows failing silently</t>
        </is>
      </c>
      <c r="O689" t="inlineStr">
        <is>
          <t>2026-04</t>
        </is>
      </c>
    </row>
    <row r="690">
      <c r="A690" t="inlineStr">
        <is>
          <t>FB-00689</t>
        </is>
      </c>
      <c r="B690" t="inlineStr">
        <is>
          <t>CUST-0293</t>
        </is>
      </c>
      <c r="C690" s="11" t="n">
        <v>46116</v>
      </c>
      <c r="D690" t="inlineStr">
        <is>
          <t>Feature Request</t>
        </is>
      </c>
      <c r="E690" t="inlineStr">
        <is>
          <t>Enterprise</t>
        </is>
      </c>
      <c r="F690" t="inlineStr">
        <is>
          <t>Enterprise</t>
        </is>
      </c>
      <c r="G690" t="inlineStr">
        <is>
          <t>Integrations</t>
        </is>
      </c>
      <c r="H690" t="inlineStr">
        <is>
          <t>Feature Request</t>
        </is>
      </c>
      <c r="I690" t="inlineStr">
        <is>
          <t>Feedback from our monthly review. Requesting SAML login for our compliance audit. So far 19 people on our side have reported it.</t>
        </is>
      </c>
      <c r="J690" t="inlineStr">
        <is>
          <t>Neutral</t>
        </is>
      </c>
      <c r="K690" t="inlineStr">
        <is>
          <t>Critical</t>
        </is>
      </c>
      <c r="L690" t="inlineStr">
        <is>
          <t>Revenue/Operations Risk</t>
        </is>
      </c>
      <c r="M690" t="inlineStr">
        <is>
          <t>int_sso</t>
        </is>
      </c>
      <c r="N690" t="inlineStr">
        <is>
          <t>SSO and provisioning</t>
        </is>
      </c>
      <c r="O690" t="inlineStr">
        <is>
          <t>2026-04</t>
        </is>
      </c>
    </row>
    <row r="691">
      <c r="A691" t="inlineStr">
        <is>
          <t>FB-00690</t>
        </is>
      </c>
      <c r="B691" t="inlineStr">
        <is>
          <t>CUST-0080</t>
        </is>
      </c>
      <c r="C691" s="11" t="n">
        <v>46116</v>
      </c>
      <c r="D691" t="inlineStr">
        <is>
          <t>Support Ticket</t>
        </is>
      </c>
      <c r="E691" t="inlineStr">
        <is>
          <t>Professional</t>
        </is>
      </c>
      <c r="F691" t="inlineStr">
        <is>
          <t>Mid-Market</t>
        </is>
      </c>
      <c r="G691" t="inlineStr">
        <is>
          <t>Contact Management</t>
        </is>
      </c>
      <c r="H691" t="inlineStr">
        <is>
          <t>Bug</t>
        </is>
      </c>
      <c r="I691" t="inlineStr">
        <is>
          <t>Not what we expected for the price. The spreadsheet import rejects files with accented characters in names. Our RevOps lead flagged it while onboarding 102 new users. Please look into it soon.</t>
        </is>
      </c>
      <c r="J691" t="inlineStr">
        <is>
          <t>Negative</t>
        </is>
      </c>
      <c r="K691" t="inlineStr">
        <is>
          <t>High</t>
        </is>
      </c>
      <c r="L691" t="inlineStr">
        <is>
          <t>Workflow Slowdown</t>
        </is>
      </c>
      <c r="M691" t="inlineStr">
        <is>
          <t>contact_import</t>
        </is>
      </c>
      <c r="N691" t="inlineStr">
        <is>
          <t>Unreliable contact imports</t>
        </is>
      </c>
      <c r="O691" t="inlineStr">
        <is>
          <t>2026-04</t>
        </is>
      </c>
    </row>
    <row r="692">
      <c r="A692" t="inlineStr">
        <is>
          <t>FB-00691</t>
        </is>
      </c>
      <c r="B692" t="inlineStr">
        <is>
          <t>CUST-0251</t>
        </is>
      </c>
      <c r="C692" s="11" t="n">
        <v>46116</v>
      </c>
      <c r="D692" t="inlineStr">
        <is>
          <t>Customer Survey</t>
        </is>
      </c>
      <c r="E692" t="inlineStr">
        <is>
          <t>Professional</t>
        </is>
      </c>
      <c r="F692" t="inlineStr">
        <is>
          <t>Mid-Market</t>
        </is>
      </c>
      <c r="G692" t="inlineStr">
        <is>
          <t>User Interface</t>
        </is>
      </c>
      <c r="H692" t="inlineStr">
        <is>
          <t>Feature Request</t>
        </is>
      </c>
      <c r="I692" t="inlineStr">
        <is>
          <t>Requesting multi-select actions across every list view. It happens about 29 times a week for our team of 82. Let us know if you need examples.</t>
        </is>
      </c>
      <c r="J692" t="inlineStr">
        <is>
          <t>Neutral</t>
        </is>
      </c>
      <c r="K692" t="inlineStr">
        <is>
          <t>Low</t>
        </is>
      </c>
      <c r="L692" t="inlineStr">
        <is>
          <t>Workflow Slowdown</t>
        </is>
      </c>
      <c r="M692" t="inlineStr">
        <is>
          <t>ui_bulk</t>
        </is>
      </c>
      <c r="N692" t="inlineStr">
        <is>
          <t>Bulk actions</t>
        </is>
      </c>
      <c r="O692" t="inlineStr">
        <is>
          <t>2026-04</t>
        </is>
      </c>
    </row>
    <row r="693">
      <c r="A693" t="inlineStr">
        <is>
          <t>FB-00692</t>
        </is>
      </c>
      <c r="B693" t="inlineStr">
        <is>
          <t>CUST-0072</t>
        </is>
      </c>
      <c r="C693" s="11" t="n">
        <v>46117</v>
      </c>
      <c r="D693" t="inlineStr">
        <is>
          <t>Support Ticket</t>
        </is>
      </c>
      <c r="E693" t="inlineStr">
        <is>
          <t>Starter</t>
        </is>
      </c>
      <c r="F693" t="inlineStr">
        <is>
          <t>SMB</t>
        </is>
      </c>
      <c r="G693" t="inlineStr">
        <is>
          <t>Contact Management</t>
        </is>
      </c>
      <c r="H693" t="inlineStr">
        <is>
          <t>Bug</t>
        </is>
      </c>
      <c r="I693" t="inlineStr">
        <is>
          <t>Escalating on behalf of our ops lead. The import field mapping fails halfway through with a generic error and no row-level detail. It happens about 38 times a week for our team of 51. We need a fix before renewal.</t>
        </is>
      </c>
      <c r="J693" t="inlineStr">
        <is>
          <t>Negative</t>
        </is>
      </c>
      <c r="K693" t="inlineStr">
        <is>
          <t>Critical</t>
        </is>
      </c>
      <c r="L693" t="inlineStr">
        <is>
          <t>Revenue/Operations Risk</t>
        </is>
      </c>
      <c r="M693" t="inlineStr">
        <is>
          <t>contact_import</t>
        </is>
      </c>
      <c r="N693" t="inlineStr">
        <is>
          <t>Unreliable contact imports</t>
        </is>
      </c>
      <c r="O693" t="inlineStr">
        <is>
          <t>2026-04</t>
        </is>
      </c>
    </row>
    <row r="694">
      <c r="A694" t="inlineStr">
        <is>
          <t>FB-00693</t>
        </is>
      </c>
      <c r="B694" t="inlineStr">
        <is>
          <t>CUST-0273</t>
        </is>
      </c>
      <c r="C694" s="11" t="n">
        <v>46117</v>
      </c>
      <c r="D694" t="inlineStr">
        <is>
          <t>Customer Survey</t>
        </is>
      </c>
      <c r="E694" t="inlineStr">
        <is>
          <t>Professional</t>
        </is>
      </c>
      <c r="F694" t="inlineStr">
        <is>
          <t>Mid-Market</t>
        </is>
      </c>
      <c r="G694" t="inlineStr">
        <is>
          <t>Workflow Automation</t>
        </is>
      </c>
      <c r="H694" t="inlineStr">
        <is>
          <t>Feature Request</t>
        </is>
      </c>
      <c r="I694" t="inlineStr">
        <is>
          <t>Adding approval steps is a blocker for our finance team. It affects our weekly pipeline review process every cycle. Let us know if you need examples.</t>
        </is>
      </c>
      <c r="J694" t="inlineStr">
        <is>
          <t>Neutral</t>
        </is>
      </c>
      <c r="K694" t="inlineStr">
        <is>
          <t>Low</t>
        </is>
      </c>
      <c r="L694" t="inlineStr">
        <is>
          <t>Minor Inconvenience</t>
        </is>
      </c>
      <c r="M694" t="inlineStr">
        <is>
          <t>wf_approval</t>
        </is>
      </c>
      <c r="N694" t="inlineStr">
        <is>
          <t>Approval steps in workflows</t>
        </is>
      </c>
      <c r="O694" t="inlineStr">
        <is>
          <t>2026-04</t>
        </is>
      </c>
    </row>
    <row r="695">
      <c r="A695" t="inlineStr">
        <is>
          <t>FB-00694</t>
        </is>
      </c>
      <c r="B695" t="inlineStr">
        <is>
          <t>CUST-0298</t>
        </is>
      </c>
      <c r="C695" s="11" t="n">
        <v>46117</v>
      </c>
      <c r="D695" t="inlineStr">
        <is>
          <t>Customer Survey</t>
        </is>
      </c>
      <c r="E695" t="inlineStr">
        <is>
          <t>Professional</t>
        </is>
      </c>
      <c r="F695" t="inlineStr">
        <is>
          <t>SMB</t>
        </is>
      </c>
      <c r="G695" t="inlineStr">
        <is>
          <t>Contact Management</t>
        </is>
      </c>
      <c r="H695" t="inlineStr">
        <is>
          <t>Performance Issue</t>
        </is>
      </c>
      <c r="I695" t="inlineStr">
        <is>
          <t>Quick note from our admin. We avoid contact list filtering during calls because it takes too long. So far 11 people on our side have reported it. Happy to join a feedback call.</t>
        </is>
      </c>
      <c r="J695" t="inlineStr">
        <is>
          <t>Neutral</t>
        </is>
      </c>
      <c r="K695" t="inlineStr">
        <is>
          <t>Medium</t>
        </is>
      </c>
      <c r="L695" t="inlineStr">
        <is>
          <t>Minor Inconvenience</t>
        </is>
      </c>
      <c r="M695" t="inlineStr">
        <is>
          <t>contact_search</t>
        </is>
      </c>
      <c r="N695" t="inlineStr">
        <is>
          <t>Slow contact search</t>
        </is>
      </c>
      <c r="O695" t="inlineStr">
        <is>
          <t>2026-04</t>
        </is>
      </c>
    </row>
    <row r="696">
      <c r="A696" t="inlineStr">
        <is>
          <t>FB-00695</t>
        </is>
      </c>
      <c r="B696" t="inlineStr">
        <is>
          <t>CUST-0146</t>
        </is>
      </c>
      <c r="C696" s="11" t="n">
        <v>46117</v>
      </c>
      <c r="D696" t="inlineStr">
        <is>
          <t>In-App Feedback</t>
        </is>
      </c>
      <c r="E696" t="inlineStr">
        <is>
          <t>Starter</t>
        </is>
      </c>
      <c r="F696" t="inlineStr">
        <is>
          <t>SMB</t>
        </is>
      </c>
      <c r="G696" t="inlineStr">
        <is>
          <t>Contact Management</t>
        </is>
      </c>
      <c r="H696" t="inlineStr">
        <is>
          <t>Bug</t>
        </is>
      </c>
      <c r="I696" t="inlineStr">
        <is>
          <t>Sharing this from our team. Our contact CSV import scrambles phone and email columns even after we map them correctly. It affects our onboarding process every cycle.</t>
        </is>
      </c>
      <c r="J696" t="inlineStr">
        <is>
          <t>Neutral</t>
        </is>
      </c>
      <c r="K696" t="inlineStr">
        <is>
          <t>High</t>
        </is>
      </c>
      <c r="L696" t="inlineStr">
        <is>
          <t>Workflow Slowdown</t>
        </is>
      </c>
      <c r="M696" t="inlineStr">
        <is>
          <t>contact_import</t>
        </is>
      </c>
      <c r="N696" t="inlineStr">
        <is>
          <t>Unreliable contact imports</t>
        </is>
      </c>
      <c r="O696" t="inlineStr">
        <is>
          <t>2026-04</t>
        </is>
      </c>
    </row>
    <row r="697">
      <c r="A697" t="inlineStr">
        <is>
          <t>FB-00696</t>
        </is>
      </c>
      <c r="B697" t="inlineStr">
        <is>
          <t>CUST-0187</t>
        </is>
      </c>
      <c r="C697" s="11" t="n">
        <v>46117</v>
      </c>
      <c r="D697" t="inlineStr">
        <is>
          <t>Feature Request</t>
        </is>
      </c>
      <c r="E697" t="inlineStr">
        <is>
          <t>Enterprise</t>
        </is>
      </c>
      <c r="F697" t="inlineStr">
        <is>
          <t>Mid-Market</t>
        </is>
      </c>
      <c r="G697" t="inlineStr">
        <is>
          <t>Workflow Automation</t>
        </is>
      </c>
      <c r="H697" t="inlineStr">
        <is>
          <t>Feature Request</t>
        </is>
      </c>
      <c r="I697" t="inlineStr">
        <is>
          <t>Competitors ship automation recipes; we are rebuilding the same flows from scratch.</t>
        </is>
      </c>
      <c r="J697" t="inlineStr">
        <is>
          <t>Neutral</t>
        </is>
      </c>
      <c r="K697" t="inlineStr">
        <is>
          <t>Medium</t>
        </is>
      </c>
      <c r="L697" t="inlineStr">
        <is>
          <t>Workflow Slowdown</t>
        </is>
      </c>
      <c r="M697" t="inlineStr">
        <is>
          <t>wf_templates</t>
        </is>
      </c>
      <c r="N697" t="inlineStr">
        <is>
          <t>Workflow templates</t>
        </is>
      </c>
      <c r="O697" t="inlineStr">
        <is>
          <t>2026-04</t>
        </is>
      </c>
    </row>
    <row r="698">
      <c r="A698" t="inlineStr">
        <is>
          <t>FB-00697</t>
        </is>
      </c>
      <c r="B698" t="inlineStr">
        <is>
          <t>CUST-0188</t>
        </is>
      </c>
      <c r="C698" s="11" t="n">
        <v>46117</v>
      </c>
      <c r="D698" t="inlineStr">
        <is>
          <t>In-App Feedback</t>
        </is>
      </c>
      <c r="E698" t="inlineStr">
        <is>
          <t>Enterprise</t>
        </is>
      </c>
      <c r="F698" t="inlineStr">
        <is>
          <t>Mid-Market</t>
        </is>
      </c>
      <c r="G698" t="inlineStr">
        <is>
          <t>Lead Management</t>
        </is>
      </c>
      <c r="H698" t="inlineStr">
        <is>
          <t>Performance Issue</t>
        </is>
      </c>
      <c r="I698" t="inlineStr">
        <is>
          <t>Reps have stopped using the board because of pipeline board loading. We estimate we lose roughly 43 hours a month on this. Is there a workaround?</t>
        </is>
      </c>
      <c r="J698" t="inlineStr">
        <is>
          <t>Negative</t>
        </is>
      </c>
      <c r="K698" t="inlineStr">
        <is>
          <t>Low</t>
        </is>
      </c>
      <c r="L698" t="inlineStr">
        <is>
          <t>Workflow Slowdown</t>
        </is>
      </c>
      <c r="M698" t="inlineStr">
        <is>
          <t>lead_slow</t>
        </is>
      </c>
      <c r="N698" t="inlineStr">
        <is>
          <t>Slow lead lists and pipeline board</t>
        </is>
      </c>
      <c r="O698" t="inlineStr">
        <is>
          <t>2026-04</t>
        </is>
      </c>
    </row>
    <row r="699">
      <c r="A699" t="inlineStr">
        <is>
          <t>FB-00698</t>
        </is>
      </c>
      <c r="B699" t="inlineStr">
        <is>
          <t>CUST-0293</t>
        </is>
      </c>
      <c r="C699" s="11" t="n">
        <v>46117</v>
      </c>
      <c r="D699" t="inlineStr">
        <is>
          <t>In-App Feedback</t>
        </is>
      </c>
      <c r="E699" t="inlineStr">
        <is>
          <t>Enterprise</t>
        </is>
      </c>
      <c r="F699" t="inlineStr">
        <is>
          <t>Enterprise</t>
        </is>
      </c>
      <c r="G699" t="inlineStr">
        <is>
          <t>Workflow Automation</t>
        </is>
      </c>
      <c r="H699" t="inlineStr">
        <is>
          <t>Bug</t>
        </is>
      </c>
      <c r="I699" t="inlineStr">
        <is>
          <t>We found automation misfires only because a customer complained.</t>
        </is>
      </c>
      <c r="J699" t="inlineStr">
        <is>
          <t>Negative</t>
        </is>
      </c>
      <c r="K699" t="inlineStr">
        <is>
          <t>Medium</t>
        </is>
      </c>
      <c r="L699" t="inlineStr">
        <is>
          <t>Workflow Slowdown</t>
        </is>
      </c>
      <c r="M699" t="inlineStr">
        <is>
          <t>wf_fail</t>
        </is>
      </c>
      <c r="N699" t="inlineStr">
        <is>
          <t>Workflows failing silently</t>
        </is>
      </c>
      <c r="O699" t="inlineStr">
        <is>
          <t>2026-04</t>
        </is>
      </c>
    </row>
    <row r="700">
      <c r="A700" t="inlineStr">
        <is>
          <t>FB-00699</t>
        </is>
      </c>
      <c r="B700" t="inlineStr">
        <is>
          <t>CUST-0278</t>
        </is>
      </c>
      <c r="C700" s="11" t="n">
        <v>46117</v>
      </c>
      <c r="D700" t="inlineStr">
        <is>
          <t>In-App Feedback</t>
        </is>
      </c>
      <c r="E700" t="inlineStr">
        <is>
          <t>Professional</t>
        </is>
      </c>
      <c r="F700" t="inlineStr">
        <is>
          <t>Mid-Market</t>
        </is>
      </c>
      <c r="G700" t="inlineStr">
        <is>
          <t>User Interface</t>
        </is>
      </c>
      <c r="H700" t="inlineStr">
        <is>
          <t>Usability Issue</t>
        </is>
      </c>
      <c r="I700" t="inlineStr">
        <is>
          <t>Our team keeps running into this. The navigation menu changed and nobody told us where things moved. It happens about 17 times a week for our team of 45. We need a fix before renewal.</t>
        </is>
      </c>
      <c r="J700" t="inlineStr">
        <is>
          <t>Negative</t>
        </is>
      </c>
      <c r="K700" t="inlineStr">
        <is>
          <t>Medium</t>
        </is>
      </c>
      <c r="L700" t="inlineStr">
        <is>
          <t>Blocks Key Task</t>
        </is>
      </c>
      <c r="M700" t="inlineStr">
        <is>
          <t>ui_nav</t>
        </is>
      </c>
      <c r="N700" t="inlineStr">
        <is>
          <t>Cluttered navigation</t>
        </is>
      </c>
      <c r="O700" t="inlineStr">
        <is>
          <t>2026-04</t>
        </is>
      </c>
    </row>
    <row r="701">
      <c r="A701" t="inlineStr">
        <is>
          <t>FB-00700</t>
        </is>
      </c>
      <c r="B701" t="inlineStr">
        <is>
          <t>CUST-0069</t>
        </is>
      </c>
      <c r="C701" s="11" t="n">
        <v>46118</v>
      </c>
      <c r="D701" t="inlineStr">
        <is>
          <t>Feature Request</t>
        </is>
      </c>
      <c r="E701" t="inlineStr">
        <is>
          <t>Starter</t>
        </is>
      </c>
      <c r="F701" t="inlineStr">
        <is>
          <t>Mid-Market</t>
        </is>
      </c>
      <c r="G701" t="inlineStr">
        <is>
          <t>Contact Management</t>
        </is>
      </c>
      <c r="H701" t="inlineStr">
        <is>
          <t>Feature Request</t>
        </is>
      </c>
      <c r="I701" t="inlineStr">
        <is>
          <t>Feedback from our monthly review. Is there any plan for a tool to merge duplicate contacts? Merging one record at a time is not realistic. Let us know if you need examples.</t>
        </is>
      </c>
      <c r="J701" t="inlineStr">
        <is>
          <t>Neutral</t>
        </is>
      </c>
      <c r="K701" t="inlineStr">
        <is>
          <t>Low</t>
        </is>
      </c>
      <c r="L701" t="inlineStr">
        <is>
          <t>Blocks Key Task</t>
        </is>
      </c>
      <c r="M701" t="inlineStr">
        <is>
          <t>contact_dedupe</t>
        </is>
      </c>
      <c r="N701" t="inlineStr">
        <is>
          <t>Bulk contact merge</t>
        </is>
      </c>
      <c r="O701" t="inlineStr">
        <is>
          <t>2026-04</t>
        </is>
      </c>
    </row>
    <row r="702">
      <c r="A702" t="inlineStr">
        <is>
          <t>FB-00701</t>
        </is>
      </c>
      <c r="B702" t="inlineStr">
        <is>
          <t>CUST-0226</t>
        </is>
      </c>
      <c r="C702" s="11" t="n">
        <v>46118</v>
      </c>
      <c r="D702" t="inlineStr">
        <is>
          <t>Customer Survey</t>
        </is>
      </c>
      <c r="E702" t="inlineStr">
        <is>
          <t>Professional</t>
        </is>
      </c>
      <c r="F702" t="inlineStr">
        <is>
          <t>Enterprise</t>
        </is>
      </c>
      <c r="G702" t="inlineStr">
        <is>
          <t>Contact Management</t>
        </is>
      </c>
      <c r="H702" t="inlineStr">
        <is>
          <t>Performance Issue</t>
        </is>
      </c>
      <c r="I702" t="inlineStr">
        <is>
          <t>We avoid contact list filtering during calls because it takes too long. So far 118 people on our side have reported it.</t>
        </is>
      </c>
      <c r="J702" t="inlineStr">
        <is>
          <t>Negative</t>
        </is>
      </c>
      <c r="K702" t="inlineStr">
        <is>
          <t>Critical</t>
        </is>
      </c>
      <c r="L702" t="inlineStr">
        <is>
          <t>Blocks Key Task</t>
        </is>
      </c>
      <c r="M702" t="inlineStr">
        <is>
          <t>contact_search</t>
        </is>
      </c>
      <c r="N702" t="inlineStr">
        <is>
          <t>Slow contact search</t>
        </is>
      </c>
      <c r="O702" t="inlineStr">
        <is>
          <t>2026-04</t>
        </is>
      </c>
    </row>
    <row r="703">
      <c r="A703" t="inlineStr">
        <is>
          <t>FB-00702</t>
        </is>
      </c>
      <c r="B703" t="inlineStr">
        <is>
          <t>CUST-0334</t>
        </is>
      </c>
      <c r="C703" s="11" t="n">
        <v>46118</v>
      </c>
      <c r="D703" t="inlineStr">
        <is>
          <t>Feature Request</t>
        </is>
      </c>
      <c r="E703" t="inlineStr">
        <is>
          <t>Enterprise</t>
        </is>
      </c>
      <c r="F703" t="inlineStr">
        <is>
          <t>SMB</t>
        </is>
      </c>
      <c r="G703" t="inlineStr">
        <is>
          <t>Workflow Automation</t>
        </is>
      </c>
      <c r="H703" t="inlineStr">
        <is>
          <t>Feature Request</t>
        </is>
      </c>
      <c r="I703" t="inlineStr">
        <is>
          <t>We need multi-level approvals in workflows so managers can sign off on discounts. So far 50 people on our side have reported it. Support suggested logging it here.</t>
        </is>
      </c>
      <c r="J703" t="inlineStr">
        <is>
          <t>Negative</t>
        </is>
      </c>
      <c r="K703" t="inlineStr">
        <is>
          <t>Low</t>
        </is>
      </c>
      <c r="L703" t="inlineStr">
        <is>
          <t>Minor Inconvenience</t>
        </is>
      </c>
      <c r="M703" t="inlineStr">
        <is>
          <t>wf_approval</t>
        </is>
      </c>
      <c r="N703" t="inlineStr">
        <is>
          <t>Approval steps in workflows</t>
        </is>
      </c>
      <c r="O703" t="inlineStr">
        <is>
          <t>2026-04</t>
        </is>
      </c>
    </row>
    <row r="704">
      <c r="A704" t="inlineStr">
        <is>
          <t>FB-00703</t>
        </is>
      </c>
      <c r="B704" t="inlineStr">
        <is>
          <t>CUST-0299</t>
        </is>
      </c>
      <c r="C704" s="11" t="n">
        <v>46118</v>
      </c>
      <c r="D704" t="inlineStr">
        <is>
          <t>Feature Request</t>
        </is>
      </c>
      <c r="E704" t="inlineStr">
        <is>
          <t>Professional</t>
        </is>
      </c>
      <c r="F704" t="inlineStr">
        <is>
          <t>Mid-Market</t>
        </is>
      </c>
      <c r="G704" t="inlineStr">
        <is>
          <t>Workflow Automation</t>
        </is>
      </c>
      <c r="H704" t="inlineStr">
        <is>
          <t>Feature Request</t>
        </is>
      </c>
      <c r="I704" t="inlineStr">
        <is>
          <t>We'd adopt automation faster with workflow templates we could customize. Our finance analyst flagged it while onboarding 69 new users.</t>
        </is>
      </c>
      <c r="J704" t="inlineStr">
        <is>
          <t>Neutral</t>
        </is>
      </c>
      <c r="K704" t="inlineStr">
        <is>
          <t>Low</t>
        </is>
      </c>
      <c r="L704" t="inlineStr">
        <is>
          <t>Minor Inconvenience</t>
        </is>
      </c>
      <c r="M704" t="inlineStr">
        <is>
          <t>wf_templates</t>
        </is>
      </c>
      <c r="N704" t="inlineStr">
        <is>
          <t>Workflow templates</t>
        </is>
      </c>
      <c r="O704" t="inlineStr">
        <is>
          <t>2026-04</t>
        </is>
      </c>
    </row>
    <row r="705">
      <c r="A705" t="inlineStr">
        <is>
          <t>FB-00704</t>
        </is>
      </c>
      <c r="B705" t="inlineStr">
        <is>
          <t>CUST-0229</t>
        </is>
      </c>
      <c r="C705" s="11" t="n">
        <v>46118</v>
      </c>
      <c r="D705" t="inlineStr">
        <is>
          <t>In-App Feedback</t>
        </is>
      </c>
      <c r="E705" t="inlineStr">
        <is>
          <t>Starter</t>
        </is>
      </c>
      <c r="F705" t="inlineStr">
        <is>
          <t>Mid-Market</t>
        </is>
      </c>
      <c r="G705" t="inlineStr">
        <is>
          <t>Integrations</t>
        </is>
      </c>
      <c r="H705" t="inlineStr">
        <is>
          <t>Integration Issue</t>
        </is>
      </c>
      <c r="I705" t="inlineStr">
        <is>
          <t>Frustrated with this one. Reps no longer trust Outlook calendar sync, so they log activity by hand. Support suggested logging it here.</t>
        </is>
      </c>
      <c r="J705" t="inlineStr">
        <is>
          <t>Negative</t>
        </is>
      </c>
      <c r="K705" t="inlineStr">
        <is>
          <t>Medium</t>
        </is>
      </c>
      <c r="L705" t="inlineStr">
        <is>
          <t>Minor Inconvenience</t>
        </is>
      </c>
      <c r="M705" t="inlineStr">
        <is>
          <t>int_email</t>
        </is>
      </c>
      <c r="N705" t="inlineStr">
        <is>
          <t>Email and calendar sync drops</t>
        </is>
      </c>
      <c r="O705" t="inlineStr">
        <is>
          <t>2026-04</t>
        </is>
      </c>
    </row>
    <row r="706">
      <c r="A706" t="inlineStr">
        <is>
          <t>FB-00705</t>
        </is>
      </c>
      <c r="B706" t="inlineStr">
        <is>
          <t>CUST-0295</t>
        </is>
      </c>
      <c r="C706" s="11" t="n">
        <v>46118</v>
      </c>
      <c r="D706" t="inlineStr">
        <is>
          <t>Support Ticket</t>
        </is>
      </c>
      <c r="E706" t="inlineStr">
        <is>
          <t>Starter</t>
        </is>
      </c>
      <c r="F706" t="inlineStr">
        <is>
          <t>SMB</t>
        </is>
      </c>
      <c r="G706" t="inlineStr">
        <is>
          <t>Lead Management</t>
        </is>
      </c>
      <c r="H706" t="inlineStr">
        <is>
          <t>Bug</t>
        </is>
      </c>
      <c r="I706" t="inlineStr">
        <is>
          <t>This has been a recurring problem for us. Web form submissions keep creating duplicated leads, and reps end up calling the same prospect twice. It affects our weekly pipeline review process every cycle.</t>
        </is>
      </c>
      <c r="J706" t="inlineStr">
        <is>
          <t>Negative</t>
        </is>
      </c>
      <c r="K706" t="inlineStr">
        <is>
          <t>Critical</t>
        </is>
      </c>
      <c r="L706" t="inlineStr">
        <is>
          <t>Revenue/Operations Risk</t>
        </is>
      </c>
      <c r="M706" t="inlineStr">
        <is>
          <t>lead_dup</t>
        </is>
      </c>
      <c r="N706" t="inlineStr">
        <is>
          <t>Duplicate leads created</t>
        </is>
      </c>
      <c r="O706" t="inlineStr">
        <is>
          <t>2026-04</t>
        </is>
      </c>
    </row>
    <row r="707">
      <c r="A707" t="inlineStr">
        <is>
          <t>FB-00706</t>
        </is>
      </c>
      <c r="B707" t="inlineStr">
        <is>
          <t>CUST-0199</t>
        </is>
      </c>
      <c r="C707" s="11" t="n">
        <v>46119</v>
      </c>
      <c r="D707" t="inlineStr">
        <is>
          <t>Customer Survey</t>
        </is>
      </c>
      <c r="E707" t="inlineStr">
        <is>
          <t>Professional</t>
        </is>
      </c>
      <c r="F707" t="inlineStr">
        <is>
          <t>Mid-Market</t>
        </is>
      </c>
      <c r="G707" t="inlineStr">
        <is>
          <t>Contact Management</t>
        </is>
      </c>
      <c r="H707" t="inlineStr">
        <is>
          <t>Feature Request</t>
        </is>
      </c>
      <c r="I707" t="inlineStr">
        <is>
          <t>Our team keeps running into this. A bulk contact merge that keeps activity history would save our ops team hours. Our admin flagged it while onboarding 60 new users. Is there a workaround?</t>
        </is>
      </c>
      <c r="J707" t="inlineStr">
        <is>
          <t>Negative</t>
        </is>
      </c>
      <c r="K707" t="inlineStr">
        <is>
          <t>Medium</t>
        </is>
      </c>
      <c r="L707" t="inlineStr">
        <is>
          <t>Workflow Slowdown</t>
        </is>
      </c>
      <c r="M707" t="inlineStr">
        <is>
          <t>contact_dedupe</t>
        </is>
      </c>
      <c r="N707" t="inlineStr">
        <is>
          <t>Bulk contact merge</t>
        </is>
      </c>
      <c r="O707" t="inlineStr">
        <is>
          <t>2026-04</t>
        </is>
      </c>
    </row>
    <row r="708">
      <c r="A708" t="inlineStr">
        <is>
          <t>FB-00707</t>
        </is>
      </c>
      <c r="B708" t="inlineStr">
        <is>
          <t>CUST-0108</t>
        </is>
      </c>
      <c r="C708" s="11" t="n">
        <v>46119</v>
      </c>
      <c r="D708" t="inlineStr">
        <is>
          <t>Feature Request</t>
        </is>
      </c>
      <c r="E708" t="inlineStr">
        <is>
          <t>Enterprise</t>
        </is>
      </c>
      <c r="F708" t="inlineStr">
        <is>
          <t>Mid-Market</t>
        </is>
      </c>
      <c r="G708" t="inlineStr">
        <is>
          <t>User Interface</t>
        </is>
      </c>
      <c r="H708" t="inlineStr">
        <is>
          <t>Feature Request</t>
        </is>
      </c>
      <c r="I708" t="inlineStr">
        <is>
          <t>Overall we like the product. Please add bulk edit actions; changing records one at a time wastes hours. It happens about 12 times a week for our team of 99.</t>
        </is>
      </c>
      <c r="J708" t="inlineStr">
        <is>
          <t>Positive</t>
        </is>
      </c>
      <c r="K708" t="inlineStr">
        <is>
          <t>Medium</t>
        </is>
      </c>
      <c r="L708" t="inlineStr">
        <is>
          <t>Blocks Key Task</t>
        </is>
      </c>
      <c r="M708" t="inlineStr">
        <is>
          <t>ui_bulk</t>
        </is>
      </c>
      <c r="N708" t="inlineStr">
        <is>
          <t>Bulk actions</t>
        </is>
      </c>
      <c r="O708" t="inlineStr">
        <is>
          <t>2026-04</t>
        </is>
      </c>
    </row>
    <row r="709">
      <c r="A709" t="inlineStr">
        <is>
          <t>FB-00708</t>
        </is>
      </c>
      <c r="B709" t="inlineStr">
        <is>
          <t>CUST-0074</t>
        </is>
      </c>
      <c r="C709" s="11" t="n">
        <v>46119</v>
      </c>
      <c r="D709" t="inlineStr">
        <is>
          <t>In-App Feedback</t>
        </is>
      </c>
      <c r="E709" t="inlineStr">
        <is>
          <t>Enterprise</t>
        </is>
      </c>
      <c r="F709" t="inlineStr">
        <is>
          <t>Mid-Market</t>
        </is>
      </c>
      <c r="G709" t="inlineStr">
        <is>
          <t>Lead Management</t>
        </is>
      </c>
      <c r="H709" t="inlineStr">
        <is>
          <t>Performance Issue</t>
        </is>
      </c>
      <c r="I709" t="inlineStr">
        <is>
          <t>Not what we expected for the price. Our pipeline board loading regularly exceeds ten seconds on Monday mornings. We estimate we lose roughly 21 hours a month on this. Support suggested logging it here.</t>
        </is>
      </c>
      <c r="J709" t="inlineStr">
        <is>
          <t>Negative</t>
        </is>
      </c>
      <c r="K709" t="inlineStr">
        <is>
          <t>High</t>
        </is>
      </c>
      <c r="L709" t="inlineStr">
        <is>
          <t>Blocks Key Task</t>
        </is>
      </c>
      <c r="M709" t="inlineStr">
        <is>
          <t>lead_slow</t>
        </is>
      </c>
      <c r="N709" t="inlineStr">
        <is>
          <t>Slow lead lists and pipeline board</t>
        </is>
      </c>
      <c r="O709" t="inlineStr">
        <is>
          <t>2026-04</t>
        </is>
      </c>
    </row>
    <row r="710">
      <c r="A710" t="inlineStr">
        <is>
          <t>FB-00709</t>
        </is>
      </c>
      <c r="B710" t="inlineStr">
        <is>
          <t>CUST-0381</t>
        </is>
      </c>
      <c r="C710" s="11" t="n">
        <v>46119</v>
      </c>
      <c r="D710" t="inlineStr">
        <is>
          <t>In-App Feedback</t>
        </is>
      </c>
      <c r="E710" t="inlineStr">
        <is>
          <t>Professional</t>
        </is>
      </c>
      <c r="F710" t="inlineStr">
        <is>
          <t>Mid-Market</t>
        </is>
      </c>
      <c r="G710" t="inlineStr">
        <is>
          <t>Reporting</t>
        </is>
      </c>
      <c r="H710" t="inlineStr">
        <is>
          <t>Performance Issue</t>
        </is>
      </c>
      <c r="I710" t="inlineStr">
        <is>
          <t>Execs gave up on the dashboard refresh and ask for screenshots instead. It happens about 10 times a week for our team of 23. Is there a workaround?</t>
        </is>
      </c>
      <c r="J710" t="inlineStr">
        <is>
          <t>Negative</t>
        </is>
      </c>
      <c r="K710" t="inlineStr">
        <is>
          <t>Medium</t>
        </is>
      </c>
      <c r="L710" t="inlineStr">
        <is>
          <t>Blocks Key Task</t>
        </is>
      </c>
      <c r="M710" t="inlineStr">
        <is>
          <t>rep_slow</t>
        </is>
      </c>
      <c r="N710" t="inlineStr">
        <is>
          <t>Slow dashboards</t>
        </is>
      </c>
      <c r="O710" t="inlineStr">
        <is>
          <t>2026-04</t>
        </is>
      </c>
    </row>
    <row r="711">
      <c r="A711" t="inlineStr">
        <is>
          <t>FB-00710</t>
        </is>
      </c>
      <c r="B711" t="inlineStr">
        <is>
          <t>CUST-0243</t>
        </is>
      </c>
      <c r="C711" s="11" t="n">
        <v>46119</v>
      </c>
      <c r="D711" t="inlineStr">
        <is>
          <t>Support Ticket</t>
        </is>
      </c>
      <c r="E711" t="inlineStr">
        <is>
          <t>Professional</t>
        </is>
      </c>
      <c r="F711" t="inlineStr">
        <is>
          <t>SMB</t>
        </is>
      </c>
      <c r="G711" t="inlineStr">
        <is>
          <t>Integrations</t>
        </is>
      </c>
      <c r="H711" t="inlineStr">
        <is>
          <t>Integration Issue</t>
        </is>
      </c>
      <c r="I711" t="inlineStr">
        <is>
          <t>Escalating on behalf of our ops lead. Webhook delivery is unreliable and there is no retry or log we can inspect. It affects our lead handoff process every cycle.</t>
        </is>
      </c>
      <c r="J711" t="inlineStr">
        <is>
          <t>Negative</t>
        </is>
      </c>
      <c r="K711" t="inlineStr">
        <is>
          <t>Medium</t>
        </is>
      </c>
      <c r="L711" t="inlineStr">
        <is>
          <t>Workflow Slowdown</t>
        </is>
      </c>
      <c r="M711" t="inlineStr">
        <is>
          <t>int_api</t>
        </is>
      </c>
      <c r="N711" t="inlineStr">
        <is>
          <t>API limits and webhook failures</t>
        </is>
      </c>
      <c r="O711" t="inlineStr">
        <is>
          <t>2026-04</t>
        </is>
      </c>
    </row>
    <row r="712">
      <c r="A712" t="inlineStr">
        <is>
          <t>FB-00711</t>
        </is>
      </c>
      <c r="B712" t="inlineStr">
        <is>
          <t>CUST-0320</t>
        </is>
      </c>
      <c r="C712" s="11" t="n">
        <v>46120</v>
      </c>
      <c r="D712" t="inlineStr">
        <is>
          <t>Feature Request</t>
        </is>
      </c>
      <c r="E712" t="inlineStr">
        <is>
          <t>Professional</t>
        </is>
      </c>
      <c r="F712" t="inlineStr">
        <is>
          <t>Mid-Market</t>
        </is>
      </c>
      <c r="G712" t="inlineStr">
        <is>
          <t>Workflow Automation</t>
        </is>
      </c>
      <c r="H712" t="inlineStr">
        <is>
          <t>Feature Request</t>
        </is>
      </c>
      <c r="I712" t="inlineStr">
        <is>
          <t>Feedback from our monthly review. A library of workflow templates would cut our setup time. So far 11 people on our side have reported it. Let us know if you need examples.</t>
        </is>
      </c>
      <c r="J712" t="inlineStr">
        <is>
          <t>Neutral</t>
        </is>
      </c>
      <c r="K712" t="inlineStr">
        <is>
          <t>Low</t>
        </is>
      </c>
      <c r="L712" t="inlineStr">
        <is>
          <t>Minor Inconvenience</t>
        </is>
      </c>
      <c r="M712" t="inlineStr">
        <is>
          <t>wf_templates</t>
        </is>
      </c>
      <c r="N712" t="inlineStr">
        <is>
          <t>Workflow templates</t>
        </is>
      </c>
      <c r="O712" t="inlineStr">
        <is>
          <t>2026-04</t>
        </is>
      </c>
    </row>
    <row r="713">
      <c r="A713" t="inlineStr">
        <is>
          <t>FB-00712</t>
        </is>
      </c>
      <c r="B713" t="inlineStr">
        <is>
          <t>CUST-0179</t>
        </is>
      </c>
      <c r="C713" s="11" t="n">
        <v>46120</v>
      </c>
      <c r="D713" t="inlineStr">
        <is>
          <t>Support Ticket</t>
        </is>
      </c>
      <c r="E713" t="inlineStr">
        <is>
          <t>Enterprise</t>
        </is>
      </c>
      <c r="F713" t="inlineStr">
        <is>
          <t>Enterprise</t>
        </is>
      </c>
      <c r="G713" t="inlineStr">
        <is>
          <t>Workflow Automation</t>
        </is>
      </c>
      <c r="H713" t="inlineStr">
        <is>
          <t>Bug</t>
        </is>
      </c>
      <c r="I713" t="inlineStr">
        <is>
          <t>We found automation misfires only because a customer complained. So far 3 people on our side have reported it. Support suggested logging it here.</t>
        </is>
      </c>
      <c r="J713" t="inlineStr">
        <is>
          <t>Negative</t>
        </is>
      </c>
      <c r="K713" t="inlineStr">
        <is>
          <t>Medium</t>
        </is>
      </c>
      <c r="L713" t="inlineStr">
        <is>
          <t>Blocks Key Task</t>
        </is>
      </c>
      <c r="M713" t="inlineStr">
        <is>
          <t>wf_fail</t>
        </is>
      </c>
      <c r="N713" t="inlineStr">
        <is>
          <t>Workflows failing silently</t>
        </is>
      </c>
      <c r="O713" t="inlineStr">
        <is>
          <t>2026-04</t>
        </is>
      </c>
    </row>
    <row r="714">
      <c r="A714" t="inlineStr">
        <is>
          <t>FB-00713</t>
        </is>
      </c>
      <c r="B714" t="inlineStr">
        <is>
          <t>CUST-0146</t>
        </is>
      </c>
      <c r="C714" s="11" t="n">
        <v>46120</v>
      </c>
      <c r="D714" t="inlineStr">
        <is>
          <t>In-App Feedback</t>
        </is>
      </c>
      <c r="E714" t="inlineStr">
        <is>
          <t>Starter</t>
        </is>
      </c>
      <c r="F714" t="inlineStr">
        <is>
          <t>SMB</t>
        </is>
      </c>
      <c r="G714" t="inlineStr">
        <is>
          <t>User Interface</t>
        </is>
      </c>
      <c r="H714" t="inlineStr">
        <is>
          <t>Usability Issue</t>
        </is>
      </c>
      <c r="I714" t="inlineStr">
        <is>
          <t>Frustrated with this one. The settings navigation changed and nobody told us where things moved. So far 22 people on our side have reported it. Please look into it soon.</t>
        </is>
      </c>
      <c r="J714" t="inlineStr">
        <is>
          <t>Negative</t>
        </is>
      </c>
      <c r="K714" t="inlineStr">
        <is>
          <t>Low</t>
        </is>
      </c>
      <c r="L714" t="inlineStr">
        <is>
          <t>Minor Inconvenience</t>
        </is>
      </c>
      <c r="M714" t="inlineStr">
        <is>
          <t>ui_nav</t>
        </is>
      </c>
      <c r="N714" t="inlineStr">
        <is>
          <t>Cluttered navigation</t>
        </is>
      </c>
      <c r="O714" t="inlineStr">
        <is>
          <t>2026-04</t>
        </is>
      </c>
    </row>
    <row r="715">
      <c r="A715" t="inlineStr">
        <is>
          <t>FB-00714</t>
        </is>
      </c>
      <c r="B715" t="inlineStr">
        <is>
          <t>CUST-0210</t>
        </is>
      </c>
      <c r="C715" s="11" t="n">
        <v>46121</v>
      </c>
      <c r="D715" t="inlineStr">
        <is>
          <t>In-App Feedback</t>
        </is>
      </c>
      <c r="E715" t="inlineStr">
        <is>
          <t>Professional</t>
        </is>
      </c>
      <c r="F715" t="inlineStr">
        <is>
          <t>Mid-Market</t>
        </is>
      </c>
      <c r="G715" t="inlineStr">
        <is>
          <t>Reporting</t>
        </is>
      </c>
      <c r="H715" t="inlineStr">
        <is>
          <t>Feature Request</t>
        </is>
      </c>
      <c r="I715" t="inlineStr">
        <is>
          <t>Requesting a custom report builder so leadership gets numbers without logging in.</t>
        </is>
      </c>
      <c r="J715" t="inlineStr">
        <is>
          <t>Neutral</t>
        </is>
      </c>
      <c r="K715" t="inlineStr">
        <is>
          <t>Medium</t>
        </is>
      </c>
      <c r="L715" t="inlineStr">
        <is>
          <t>Workflow Slowdown</t>
        </is>
      </c>
      <c r="M715" t="inlineStr">
        <is>
          <t>rep_custom</t>
        </is>
      </c>
      <c r="N715" t="inlineStr">
        <is>
          <t>Custom and scheduled reports</t>
        </is>
      </c>
      <c r="O715" t="inlineStr">
        <is>
          <t>2026-04</t>
        </is>
      </c>
    </row>
    <row r="716">
      <c r="A716" t="inlineStr">
        <is>
          <t>FB-00715</t>
        </is>
      </c>
      <c r="B716" t="inlineStr">
        <is>
          <t>CUST-0371</t>
        </is>
      </c>
      <c r="C716" s="11" t="n">
        <v>46122</v>
      </c>
      <c r="D716" t="inlineStr">
        <is>
          <t>In-App Feedback</t>
        </is>
      </c>
      <c r="E716" t="inlineStr">
        <is>
          <t>Enterprise</t>
        </is>
      </c>
      <c r="F716" t="inlineStr">
        <is>
          <t>Enterprise</t>
        </is>
      </c>
      <c r="G716" t="inlineStr">
        <is>
          <t>Integrations</t>
        </is>
      </c>
      <c r="H716" t="inlineStr">
        <is>
          <t>Integration Issue</t>
        </is>
      </c>
      <c r="I716" t="inlineStr">
        <is>
          <t>This has been a recurring problem for us. Our Gmail sync keeps disconnecting and activities are missing from the contact timeline. It affects our quarterly planning process every cycle.</t>
        </is>
      </c>
      <c r="J716" t="inlineStr">
        <is>
          <t>Negative</t>
        </is>
      </c>
      <c r="K716" t="inlineStr">
        <is>
          <t>High</t>
        </is>
      </c>
      <c r="L716" t="inlineStr">
        <is>
          <t>Blocks Key Task</t>
        </is>
      </c>
      <c r="M716" t="inlineStr">
        <is>
          <t>int_email</t>
        </is>
      </c>
      <c r="N716" t="inlineStr">
        <is>
          <t>Email and calendar sync drops</t>
        </is>
      </c>
      <c r="O716" t="inlineStr">
        <is>
          <t>2026-04</t>
        </is>
      </c>
    </row>
    <row r="717">
      <c r="A717" t="inlineStr">
        <is>
          <t>FB-00716</t>
        </is>
      </c>
      <c r="B717" t="inlineStr">
        <is>
          <t>CUST-0313</t>
        </is>
      </c>
      <c r="C717" s="11" t="n">
        <v>46122</v>
      </c>
      <c r="D717" t="inlineStr">
        <is>
          <t>Customer Survey</t>
        </is>
      </c>
      <c r="E717" t="inlineStr">
        <is>
          <t>Starter</t>
        </is>
      </c>
      <c r="F717" t="inlineStr">
        <is>
          <t>SMB</t>
        </is>
      </c>
      <c r="G717" t="inlineStr">
        <is>
          <t>Contact Management</t>
        </is>
      </c>
      <c r="H717" t="inlineStr">
        <is>
          <t>Performance Issue</t>
        </is>
      </c>
      <c r="I717" t="inlineStr">
        <is>
          <t>Quick note from our admin. The contact list filtering times out on our largest accounts. It happens about 9 times a week for our team of 81. Happy to join a feedback call.</t>
        </is>
      </c>
      <c r="J717" t="inlineStr">
        <is>
          <t>Neutral</t>
        </is>
      </c>
      <c r="K717" t="inlineStr">
        <is>
          <t>Critical</t>
        </is>
      </c>
      <c r="L717" t="inlineStr">
        <is>
          <t>Revenue/Operations Risk</t>
        </is>
      </c>
      <c r="M717" t="inlineStr">
        <is>
          <t>contact_search</t>
        </is>
      </c>
      <c r="N717" t="inlineStr">
        <is>
          <t>Slow contact search</t>
        </is>
      </c>
      <c r="O717" t="inlineStr">
        <is>
          <t>2026-04</t>
        </is>
      </c>
    </row>
    <row r="718">
      <c r="A718" t="inlineStr">
        <is>
          <t>FB-00717</t>
        </is>
      </c>
      <c r="B718" t="inlineStr">
        <is>
          <t>CUST-0197</t>
        </is>
      </c>
      <c r="C718" s="11" t="n">
        <v>46122</v>
      </c>
      <c r="D718" t="inlineStr">
        <is>
          <t>Customer Survey</t>
        </is>
      </c>
      <c r="E718" t="inlineStr">
        <is>
          <t>Professional</t>
        </is>
      </c>
      <c r="F718" t="inlineStr">
        <is>
          <t>Mid-Market</t>
        </is>
      </c>
      <c r="G718" t="inlineStr">
        <is>
          <t>Reporting</t>
        </is>
      </c>
      <c r="H718" t="inlineStr">
        <is>
          <t>Feature Request</t>
        </is>
      </c>
      <c r="I718" t="inlineStr">
        <is>
          <t>Noting this during onboarding. We need scheduled report emails so non-technical managers can create their own views. It affects our onboarding process every cycle. Let us know if you need examples.</t>
        </is>
      </c>
      <c r="J718" t="inlineStr">
        <is>
          <t>Neutral</t>
        </is>
      </c>
      <c r="K718" t="inlineStr">
        <is>
          <t>Medium</t>
        </is>
      </c>
      <c r="L718" t="inlineStr">
        <is>
          <t>Blocks Key Task</t>
        </is>
      </c>
      <c r="M718" t="inlineStr">
        <is>
          <t>rep_custom</t>
        </is>
      </c>
      <c r="N718" t="inlineStr">
        <is>
          <t>Custom and scheduled reports</t>
        </is>
      </c>
      <c r="O718" t="inlineStr">
        <is>
          <t>2026-04</t>
        </is>
      </c>
    </row>
    <row r="719">
      <c r="A719" t="inlineStr">
        <is>
          <t>FB-00718</t>
        </is>
      </c>
      <c r="B719" t="inlineStr">
        <is>
          <t>CUST-0059</t>
        </is>
      </c>
      <c r="C719" s="11" t="n">
        <v>46123</v>
      </c>
      <c r="D719" t="inlineStr">
        <is>
          <t>Support Ticket</t>
        </is>
      </c>
      <c r="E719" t="inlineStr">
        <is>
          <t>Starter</t>
        </is>
      </c>
      <c r="F719" t="inlineStr">
        <is>
          <t>SMB</t>
        </is>
      </c>
      <c r="G719" t="inlineStr">
        <is>
          <t>Workflow Automation</t>
        </is>
      </c>
      <c r="H719" t="inlineStr">
        <is>
          <t>Usability Issue</t>
        </is>
      </c>
      <c r="I719" t="inlineStr">
        <is>
          <t>The workflow builder is hard to follow once a flow has more than a handful of steps. So far 35 people on our side have reported it.</t>
        </is>
      </c>
      <c r="J719" t="inlineStr">
        <is>
          <t>Positive</t>
        </is>
      </c>
      <c r="K719" t="inlineStr">
        <is>
          <t>Low</t>
        </is>
      </c>
      <c r="L719" t="inlineStr">
        <is>
          <t>Minor Inconvenience</t>
        </is>
      </c>
      <c r="M719" t="inlineStr">
        <is>
          <t>wf_builder</t>
        </is>
      </c>
      <c r="N719" t="inlineStr">
        <is>
          <t>Confusing workflow builder</t>
        </is>
      </c>
      <c r="O719" t="inlineStr">
        <is>
          <t>2026-04</t>
        </is>
      </c>
    </row>
    <row r="720">
      <c r="A720" t="inlineStr">
        <is>
          <t>FB-00719</t>
        </is>
      </c>
      <c r="B720" t="inlineStr">
        <is>
          <t>CUST-0188</t>
        </is>
      </c>
      <c r="C720" s="11" t="n">
        <v>46123</v>
      </c>
      <c r="D720" t="inlineStr">
        <is>
          <t>In-App Feedback</t>
        </is>
      </c>
      <c r="E720" t="inlineStr">
        <is>
          <t>Enterprise</t>
        </is>
      </c>
      <c r="F720" t="inlineStr">
        <is>
          <t>Mid-Market</t>
        </is>
      </c>
      <c r="G720" t="inlineStr">
        <is>
          <t>Reporting</t>
        </is>
      </c>
      <c r="H720" t="inlineStr">
        <is>
          <t>Feature Request</t>
        </is>
      </c>
      <c r="I720" t="inlineStr">
        <is>
          <t>Raising this again after our last business review. We need scheduled report emails so non-technical managers can create their own views. We estimate we lose roughly 23 hours a month on this.</t>
        </is>
      </c>
      <c r="J720" t="inlineStr">
        <is>
          <t>Negative</t>
        </is>
      </c>
      <c r="K720" t="inlineStr">
        <is>
          <t>High</t>
        </is>
      </c>
      <c r="L720" t="inlineStr">
        <is>
          <t>Blocks Key Task</t>
        </is>
      </c>
      <c r="M720" t="inlineStr">
        <is>
          <t>rep_custom</t>
        </is>
      </c>
      <c r="N720" t="inlineStr">
        <is>
          <t>Custom and scheduled reports</t>
        </is>
      </c>
      <c r="O720" t="inlineStr">
        <is>
          <t>2026-04</t>
        </is>
      </c>
    </row>
    <row r="721">
      <c r="A721" t="inlineStr">
        <is>
          <t>FB-00720</t>
        </is>
      </c>
      <c r="B721" t="inlineStr">
        <is>
          <t>CUST-0092</t>
        </is>
      </c>
      <c r="C721" s="11" t="n">
        <v>46124</v>
      </c>
      <c r="D721" t="inlineStr">
        <is>
          <t>Customer Survey</t>
        </is>
      </c>
      <c r="E721" t="inlineStr">
        <is>
          <t>Professional</t>
        </is>
      </c>
      <c r="F721" t="inlineStr">
        <is>
          <t>Mid-Market</t>
        </is>
      </c>
      <c r="G721" t="inlineStr">
        <is>
          <t>Workflow Automation</t>
        </is>
      </c>
      <c r="H721" t="inlineStr">
        <is>
          <t>Feature Request</t>
        </is>
      </c>
      <c r="I721" t="inlineStr">
        <is>
          <t>Recent updates have been a nice improvement. A library of workflow templates would cut our setup time. It happens about 17 times a week for our team of 106.</t>
        </is>
      </c>
      <c r="J721" t="inlineStr">
        <is>
          <t>Positive</t>
        </is>
      </c>
      <c r="K721" t="inlineStr">
        <is>
          <t>Low</t>
        </is>
      </c>
      <c r="L721" t="inlineStr">
        <is>
          <t>Minor Inconvenience</t>
        </is>
      </c>
      <c r="M721" t="inlineStr">
        <is>
          <t>wf_templates</t>
        </is>
      </c>
      <c r="N721" t="inlineStr">
        <is>
          <t>Workflow templates</t>
        </is>
      </c>
      <c r="O721" t="inlineStr">
        <is>
          <t>2026-04</t>
        </is>
      </c>
    </row>
    <row r="722">
      <c r="A722" t="inlineStr">
        <is>
          <t>FB-00721</t>
        </is>
      </c>
      <c r="B722" t="inlineStr">
        <is>
          <t>CUST-0091</t>
        </is>
      </c>
      <c r="C722" s="11" t="n">
        <v>46124</v>
      </c>
      <c r="D722" t="inlineStr">
        <is>
          <t>In-App Feedback</t>
        </is>
      </c>
      <c r="E722" t="inlineStr">
        <is>
          <t>Professional</t>
        </is>
      </c>
      <c r="F722" t="inlineStr">
        <is>
          <t>SMB</t>
        </is>
      </c>
      <c r="G722" t="inlineStr">
        <is>
          <t>Reporting</t>
        </is>
      </c>
      <c r="H722" t="inlineStr">
        <is>
          <t>Performance Issue</t>
        </is>
      </c>
      <c r="I722" t="inlineStr">
        <is>
          <t>Overall we like the product. The report load time is painfully slow with a full year of data. So far 91 people on our side have reported it.</t>
        </is>
      </c>
      <c r="J722" t="inlineStr">
        <is>
          <t>Positive</t>
        </is>
      </c>
      <c r="K722" t="inlineStr">
        <is>
          <t>High</t>
        </is>
      </c>
      <c r="L722" t="inlineStr">
        <is>
          <t>Workflow Slowdown</t>
        </is>
      </c>
      <c r="M722" t="inlineStr">
        <is>
          <t>rep_slow</t>
        </is>
      </c>
      <c r="N722" t="inlineStr">
        <is>
          <t>Slow dashboards</t>
        </is>
      </c>
      <c r="O722" t="inlineStr">
        <is>
          <t>2026-04</t>
        </is>
      </c>
    </row>
    <row r="723">
      <c r="A723" t="inlineStr">
        <is>
          <t>FB-00722</t>
        </is>
      </c>
      <c r="B723" t="inlineStr">
        <is>
          <t>CUST-0187</t>
        </is>
      </c>
      <c r="C723" s="11" t="n">
        <v>46124</v>
      </c>
      <c r="D723" t="inlineStr">
        <is>
          <t>Customer Survey</t>
        </is>
      </c>
      <c r="E723" t="inlineStr">
        <is>
          <t>Enterprise</t>
        </is>
      </c>
      <c r="F723" t="inlineStr">
        <is>
          <t>Mid-Market</t>
        </is>
      </c>
      <c r="G723" t="inlineStr">
        <is>
          <t>Reporting</t>
        </is>
      </c>
      <c r="H723" t="inlineStr">
        <is>
          <t>Feature Request</t>
        </is>
      </c>
      <c r="I723" t="inlineStr">
        <is>
          <t>Please add forecast rollups; managers keep a separate spreadsheet. We estimate we lose roughly 58 hours a month on this. Please look into it soon.</t>
        </is>
      </c>
      <c r="J723" t="inlineStr">
        <is>
          <t>Negative</t>
        </is>
      </c>
      <c r="K723" t="inlineStr">
        <is>
          <t>Medium</t>
        </is>
      </c>
      <c r="L723" t="inlineStr">
        <is>
          <t>Minor Inconvenience</t>
        </is>
      </c>
      <c r="M723" t="inlineStr">
        <is>
          <t>rep_forecast</t>
        </is>
      </c>
      <c r="N723" t="inlineStr">
        <is>
          <t>Sales forecasting</t>
        </is>
      </c>
      <c r="O723" t="inlineStr">
        <is>
          <t>2026-04</t>
        </is>
      </c>
    </row>
    <row r="724">
      <c r="A724" t="inlineStr">
        <is>
          <t>FB-00723</t>
        </is>
      </c>
      <c r="B724" t="inlineStr">
        <is>
          <t>CUST-0297</t>
        </is>
      </c>
      <c r="C724" s="11" t="n">
        <v>46124</v>
      </c>
      <c r="D724" t="inlineStr">
        <is>
          <t>Support Ticket</t>
        </is>
      </c>
      <c r="E724" t="inlineStr">
        <is>
          <t>Professional</t>
        </is>
      </c>
      <c r="F724" t="inlineStr">
        <is>
          <t>Mid-Market</t>
        </is>
      </c>
      <c r="G724" t="inlineStr">
        <is>
          <t>Contact Management</t>
        </is>
      </c>
      <c r="H724" t="inlineStr">
        <is>
          <t>Feature Request</t>
        </is>
      </c>
      <c r="I724" t="inlineStr">
        <is>
          <t>A tool to merge duplicate contacts that keeps activity history would save our ops team hours. Our admin flagged it while onboarding 28 new users.</t>
        </is>
      </c>
      <c r="J724" t="inlineStr">
        <is>
          <t>Neutral</t>
        </is>
      </c>
      <c r="K724" t="inlineStr">
        <is>
          <t>Low</t>
        </is>
      </c>
      <c r="L724" t="inlineStr">
        <is>
          <t>Minor Inconvenience</t>
        </is>
      </c>
      <c r="M724" t="inlineStr">
        <is>
          <t>contact_dedupe</t>
        </is>
      </c>
      <c r="N724" t="inlineStr">
        <is>
          <t>Bulk contact merge</t>
        </is>
      </c>
      <c r="O724" t="inlineStr">
        <is>
          <t>2026-04</t>
        </is>
      </c>
    </row>
    <row r="725">
      <c r="A725" t="inlineStr">
        <is>
          <t>FB-00724</t>
        </is>
      </c>
      <c r="B725" t="inlineStr">
        <is>
          <t>CUST-0157</t>
        </is>
      </c>
      <c r="C725" s="11" t="n">
        <v>46125</v>
      </c>
      <c r="D725" t="inlineStr">
        <is>
          <t>Feature Request</t>
        </is>
      </c>
      <c r="E725" t="inlineStr">
        <is>
          <t>Starter</t>
        </is>
      </c>
      <c r="F725" t="inlineStr">
        <is>
          <t>SMB</t>
        </is>
      </c>
      <c r="G725" t="inlineStr">
        <is>
          <t>Workflow Automation</t>
        </is>
      </c>
      <c r="H725" t="inlineStr">
        <is>
          <t>Feature Request</t>
        </is>
      </c>
      <c r="I725" t="inlineStr">
        <is>
          <t>Overall we like the product. Please provide workflow templates for common processes like onboarding and renewals. It affects our weekly pipeline review process every cycle. Thanks to the team.</t>
        </is>
      </c>
      <c r="J725" t="inlineStr">
        <is>
          <t>Positive</t>
        </is>
      </c>
      <c r="K725" t="inlineStr">
        <is>
          <t>Low</t>
        </is>
      </c>
      <c r="L725" t="inlineStr">
        <is>
          <t>Minor Inconvenience</t>
        </is>
      </c>
      <c r="M725" t="inlineStr">
        <is>
          <t>wf_templates</t>
        </is>
      </c>
      <c r="N725" t="inlineStr">
        <is>
          <t>Workflow templates</t>
        </is>
      </c>
      <c r="O725" t="inlineStr">
        <is>
          <t>2026-04</t>
        </is>
      </c>
    </row>
    <row r="726">
      <c r="A726" t="inlineStr">
        <is>
          <t>FB-00725</t>
        </is>
      </c>
      <c r="B726" t="inlineStr">
        <is>
          <t>CUST-0198</t>
        </is>
      </c>
      <c r="C726" s="11" t="n">
        <v>46125</v>
      </c>
      <c r="D726" t="inlineStr">
        <is>
          <t>Customer Survey</t>
        </is>
      </c>
      <c r="E726" t="inlineStr">
        <is>
          <t>Starter</t>
        </is>
      </c>
      <c r="F726" t="inlineStr">
        <is>
          <t>SMB</t>
        </is>
      </c>
      <c r="G726" t="inlineStr">
        <is>
          <t>User Interface</t>
        </is>
      </c>
      <c r="H726" t="inlineStr">
        <is>
          <t>Usability Issue</t>
        </is>
      </c>
      <c r="I726" t="inlineStr">
        <is>
          <t>Too many clicks to reach common screens because of the page layout. We estimate we lose roughly 22 hours a month on this.</t>
        </is>
      </c>
      <c r="J726" t="inlineStr">
        <is>
          <t>Neutral</t>
        </is>
      </c>
      <c r="K726" t="inlineStr">
        <is>
          <t>Low</t>
        </is>
      </c>
      <c r="L726" t="inlineStr">
        <is>
          <t>Minor Inconvenience</t>
        </is>
      </c>
      <c r="M726" t="inlineStr">
        <is>
          <t>ui_nav</t>
        </is>
      </c>
      <c r="N726" t="inlineStr">
        <is>
          <t>Cluttered navigation</t>
        </is>
      </c>
      <c r="O726" t="inlineStr">
        <is>
          <t>2026-04</t>
        </is>
      </c>
    </row>
    <row r="727">
      <c r="A727" t="inlineStr">
        <is>
          <t>FB-00726</t>
        </is>
      </c>
      <c r="B727" t="inlineStr">
        <is>
          <t>CUST-0158</t>
        </is>
      </c>
      <c r="C727" s="11" t="n">
        <v>46125</v>
      </c>
      <c r="D727" t="inlineStr">
        <is>
          <t>Support Ticket</t>
        </is>
      </c>
      <c r="E727" t="inlineStr">
        <is>
          <t>Starter</t>
        </is>
      </c>
      <c r="F727" t="inlineStr">
        <is>
          <t>SMB</t>
        </is>
      </c>
      <c r="G727" t="inlineStr">
        <is>
          <t>Contact Management</t>
        </is>
      </c>
      <c r="H727" t="inlineStr">
        <is>
          <t>Bug</t>
        </is>
      </c>
      <c r="I727" t="inlineStr">
        <is>
          <t>Our team keeps running into this. The import field mapping silently skipped rows and we only noticed days later. We estimate we lose roughly 52 hours a month on this. Please look into it soon.</t>
        </is>
      </c>
      <c r="J727" t="inlineStr">
        <is>
          <t>Negative</t>
        </is>
      </c>
      <c r="K727" t="inlineStr">
        <is>
          <t>Critical</t>
        </is>
      </c>
      <c r="L727" t="inlineStr">
        <is>
          <t>Revenue/Operations Risk</t>
        </is>
      </c>
      <c r="M727" t="inlineStr">
        <is>
          <t>contact_import</t>
        </is>
      </c>
      <c r="N727" t="inlineStr">
        <is>
          <t>Unreliable contact imports</t>
        </is>
      </c>
      <c r="O727" t="inlineStr">
        <is>
          <t>2026-04</t>
        </is>
      </c>
    </row>
    <row r="728">
      <c r="A728" t="inlineStr">
        <is>
          <t>FB-00727</t>
        </is>
      </c>
      <c r="B728" t="inlineStr">
        <is>
          <t>CUST-0378</t>
        </is>
      </c>
      <c r="C728" s="11" t="n">
        <v>46125</v>
      </c>
      <c r="D728" t="inlineStr">
        <is>
          <t>Customer Survey</t>
        </is>
      </c>
      <c r="E728" t="inlineStr">
        <is>
          <t>Starter</t>
        </is>
      </c>
      <c r="F728" t="inlineStr">
        <is>
          <t>SMB</t>
        </is>
      </c>
      <c r="G728" t="inlineStr">
        <is>
          <t>Contact Management</t>
        </is>
      </c>
      <c r="H728" t="inlineStr">
        <is>
          <t>Performance Issue</t>
        </is>
      </c>
      <c r="I728" t="inlineStr">
        <is>
          <t>Frustrated with this one. We avoid saved contact filters during calls because it takes too long. Our sales manager flagged it while onboarding 17 new users. Please look into it soon.</t>
        </is>
      </c>
      <c r="J728" t="inlineStr">
        <is>
          <t>Negative</t>
        </is>
      </c>
      <c r="K728" t="inlineStr">
        <is>
          <t>High</t>
        </is>
      </c>
      <c r="L728" t="inlineStr">
        <is>
          <t>Blocks Key Task</t>
        </is>
      </c>
      <c r="M728" t="inlineStr">
        <is>
          <t>contact_search</t>
        </is>
      </c>
      <c r="N728" t="inlineStr">
        <is>
          <t>Slow contact search</t>
        </is>
      </c>
      <c r="O728" t="inlineStr">
        <is>
          <t>2026-04</t>
        </is>
      </c>
    </row>
    <row r="729">
      <c r="A729" t="inlineStr">
        <is>
          <t>FB-00728</t>
        </is>
      </c>
      <c r="B729" t="inlineStr">
        <is>
          <t>CUST-0084</t>
        </is>
      </c>
      <c r="C729" s="11" t="n">
        <v>46125</v>
      </c>
      <c r="D729" t="inlineStr">
        <is>
          <t>Customer Survey</t>
        </is>
      </c>
      <c r="E729" t="inlineStr">
        <is>
          <t>Enterprise</t>
        </is>
      </c>
      <c r="F729" t="inlineStr">
        <is>
          <t>Enterprise</t>
        </is>
      </c>
      <c r="G729" t="inlineStr">
        <is>
          <t>Workflow Automation</t>
        </is>
      </c>
      <c r="H729" t="inlineStr">
        <is>
          <t>Usability Issue</t>
        </is>
      </c>
      <c r="I729" t="inlineStr">
        <is>
          <t>I can't tell what a branch does in the workflow editor without opening every node. It affects our quarterly planning process every cycle. Let us know if you need examples.</t>
        </is>
      </c>
      <c r="J729" t="inlineStr">
        <is>
          <t>Neutral</t>
        </is>
      </c>
      <c r="K729" t="inlineStr">
        <is>
          <t>Medium</t>
        </is>
      </c>
      <c r="L729" t="inlineStr">
        <is>
          <t>Workflow Slowdown</t>
        </is>
      </c>
      <c r="M729" t="inlineStr">
        <is>
          <t>wf_builder</t>
        </is>
      </c>
      <c r="N729" t="inlineStr">
        <is>
          <t>Confusing workflow builder</t>
        </is>
      </c>
      <c r="O729" t="inlineStr">
        <is>
          <t>2026-04</t>
        </is>
      </c>
    </row>
    <row r="730">
      <c r="A730" t="inlineStr">
        <is>
          <t>FB-00729</t>
        </is>
      </c>
      <c r="B730" t="inlineStr">
        <is>
          <t>CUST-0069</t>
        </is>
      </c>
      <c r="C730" s="11" t="n">
        <v>46125</v>
      </c>
      <c r="D730" t="inlineStr">
        <is>
          <t>Feature Request</t>
        </is>
      </c>
      <c r="E730" t="inlineStr">
        <is>
          <t>Starter</t>
        </is>
      </c>
      <c r="F730" t="inlineStr">
        <is>
          <t>Mid-Market</t>
        </is>
      </c>
      <c r="G730" t="inlineStr">
        <is>
          <t>Contact Management</t>
        </is>
      </c>
      <c r="H730" t="inlineStr">
        <is>
          <t>Feature Request</t>
        </is>
      </c>
      <c r="I730" t="inlineStr">
        <is>
          <t>Quick note from our admin. Please build a tool to merge duplicate contacts with a preview of what will be combined.</t>
        </is>
      </c>
      <c r="J730" t="inlineStr">
        <is>
          <t>Neutral</t>
        </is>
      </c>
      <c r="K730" t="inlineStr">
        <is>
          <t>Medium</t>
        </is>
      </c>
      <c r="L730" t="inlineStr">
        <is>
          <t>Minor Inconvenience</t>
        </is>
      </c>
      <c r="M730" t="inlineStr">
        <is>
          <t>contact_dedupe</t>
        </is>
      </c>
      <c r="N730" t="inlineStr">
        <is>
          <t>Bulk contact merge</t>
        </is>
      </c>
      <c r="O730" t="inlineStr">
        <is>
          <t>2026-04</t>
        </is>
      </c>
    </row>
    <row r="731">
      <c r="A731" t="inlineStr">
        <is>
          <t>FB-00730</t>
        </is>
      </c>
      <c r="B731" t="inlineStr">
        <is>
          <t>CUST-0361</t>
        </is>
      </c>
      <c r="C731" s="11" t="n">
        <v>46126</v>
      </c>
      <c r="D731" t="inlineStr">
        <is>
          <t>In-App Feedback</t>
        </is>
      </c>
      <c r="E731" t="inlineStr">
        <is>
          <t>Professional</t>
        </is>
      </c>
      <c r="F731" t="inlineStr">
        <is>
          <t>Mid-Market</t>
        </is>
      </c>
      <c r="G731" t="inlineStr">
        <is>
          <t>Workflow Automation</t>
        </is>
      </c>
      <c r="H731" t="inlineStr">
        <is>
          <t>Bug</t>
        </is>
      </c>
      <c r="I731" t="inlineStr">
        <is>
          <t>We are hitting workflow failures: emails don't send and nobody gets notified. It affects our lead handoff process every cycle. Please look into it soon.</t>
        </is>
      </c>
      <c r="J731" t="inlineStr">
        <is>
          <t>Negative</t>
        </is>
      </c>
      <c r="K731" t="inlineStr">
        <is>
          <t>Critical</t>
        </is>
      </c>
      <c r="L731" t="inlineStr">
        <is>
          <t>Revenue/Operations Risk</t>
        </is>
      </c>
      <c r="M731" t="inlineStr">
        <is>
          <t>wf_fail</t>
        </is>
      </c>
      <c r="N731" t="inlineStr">
        <is>
          <t>Workflows failing silently</t>
        </is>
      </c>
      <c r="O731" t="inlineStr">
        <is>
          <t>2026-04</t>
        </is>
      </c>
    </row>
    <row r="732">
      <c r="A732" t="inlineStr">
        <is>
          <t>FB-00731</t>
        </is>
      </c>
      <c r="B732" t="inlineStr">
        <is>
          <t>CUST-0365</t>
        </is>
      </c>
      <c r="C732" s="11" t="n">
        <v>46126</v>
      </c>
      <c r="D732" t="inlineStr">
        <is>
          <t>Customer Survey</t>
        </is>
      </c>
      <c r="E732" t="inlineStr">
        <is>
          <t>Starter</t>
        </is>
      </c>
      <c r="F732" t="inlineStr">
        <is>
          <t>SMB</t>
        </is>
      </c>
      <c r="G732" t="inlineStr">
        <is>
          <t>Lead Management</t>
        </is>
      </c>
      <c r="H732" t="inlineStr">
        <is>
          <t>Performance Issue</t>
        </is>
      </c>
      <c r="I732" t="inlineStr">
        <is>
          <t>Our team keeps running into this. Reps have stopped using the board because of pipeline board loading.</t>
        </is>
      </c>
      <c r="J732" t="inlineStr">
        <is>
          <t>Negative</t>
        </is>
      </c>
      <c r="K732" t="inlineStr">
        <is>
          <t>High</t>
        </is>
      </c>
      <c r="L732" t="inlineStr">
        <is>
          <t>Workflow Slowdown</t>
        </is>
      </c>
      <c r="M732" t="inlineStr">
        <is>
          <t>lead_slow</t>
        </is>
      </c>
      <c r="N732" t="inlineStr">
        <is>
          <t>Slow lead lists and pipeline board</t>
        </is>
      </c>
      <c r="O732" t="inlineStr">
        <is>
          <t>2026-04</t>
        </is>
      </c>
    </row>
    <row r="733">
      <c r="A733" t="inlineStr">
        <is>
          <t>FB-00732</t>
        </is>
      </c>
      <c r="B733" t="inlineStr">
        <is>
          <t>CUST-0284</t>
        </is>
      </c>
      <c r="C733" s="11" t="n">
        <v>46127</v>
      </c>
      <c r="D733" t="inlineStr">
        <is>
          <t>In-App Feedback</t>
        </is>
      </c>
      <c r="E733" t="inlineStr">
        <is>
          <t>Enterprise</t>
        </is>
      </c>
      <c r="F733" t="inlineStr">
        <is>
          <t>Enterprise</t>
        </is>
      </c>
      <c r="G733" t="inlineStr">
        <is>
          <t>Integrations</t>
        </is>
      </c>
      <c r="H733" t="inlineStr">
        <is>
          <t>Feature Request</t>
        </is>
      </c>
      <c r="I733" t="inlineStr">
        <is>
          <t>FYI for the product team. Requesting SAML login for our compliance audit. So far 5 people on our side have reported it.</t>
        </is>
      </c>
      <c r="J733" t="inlineStr">
        <is>
          <t>Neutral</t>
        </is>
      </c>
      <c r="K733" t="inlineStr">
        <is>
          <t>Low</t>
        </is>
      </c>
      <c r="L733" t="inlineStr">
        <is>
          <t>Minor Inconvenience</t>
        </is>
      </c>
      <c r="M733" t="inlineStr">
        <is>
          <t>int_sso</t>
        </is>
      </c>
      <c r="N733" t="inlineStr">
        <is>
          <t>SSO and provisioning</t>
        </is>
      </c>
      <c r="O733" t="inlineStr">
        <is>
          <t>2026-04</t>
        </is>
      </c>
    </row>
    <row r="734">
      <c r="A734" t="inlineStr">
        <is>
          <t>FB-00733</t>
        </is>
      </c>
      <c r="B734" t="inlineStr">
        <is>
          <t>CUST-0065</t>
        </is>
      </c>
      <c r="C734" s="11" t="n">
        <v>46127</v>
      </c>
      <c r="D734" t="inlineStr">
        <is>
          <t>Support Ticket</t>
        </is>
      </c>
      <c r="E734" t="inlineStr">
        <is>
          <t>Professional</t>
        </is>
      </c>
      <c r="F734" t="inlineStr">
        <is>
          <t>Mid-Market</t>
        </is>
      </c>
      <c r="G734" t="inlineStr">
        <is>
          <t>Workflow Automation</t>
        </is>
      </c>
      <c r="H734" t="inlineStr">
        <is>
          <t>Bug</t>
        </is>
      </c>
      <c r="I734" t="inlineStr">
        <is>
          <t>Quick note from our admin. Several workflow failures left deals stuck in the wrong stage. It happens about 32 times a week for our team of 95. Happy to join a feedback call.</t>
        </is>
      </c>
      <c r="J734" t="inlineStr">
        <is>
          <t>Neutral</t>
        </is>
      </c>
      <c r="K734" t="inlineStr">
        <is>
          <t>Low</t>
        </is>
      </c>
      <c r="L734" t="inlineStr">
        <is>
          <t>Minor Inconvenience</t>
        </is>
      </c>
      <c r="M734" t="inlineStr">
        <is>
          <t>wf_fail</t>
        </is>
      </c>
      <c r="N734" t="inlineStr">
        <is>
          <t>Workflows failing silently</t>
        </is>
      </c>
      <c r="O734" t="inlineStr">
        <is>
          <t>2026-04</t>
        </is>
      </c>
    </row>
    <row r="735">
      <c r="A735" t="inlineStr">
        <is>
          <t>FB-00734</t>
        </is>
      </c>
      <c r="B735" t="inlineStr">
        <is>
          <t>CUST-0199</t>
        </is>
      </c>
      <c r="C735" s="11" t="n">
        <v>46127</v>
      </c>
      <c r="D735" t="inlineStr">
        <is>
          <t>Support Ticket</t>
        </is>
      </c>
      <c r="E735" t="inlineStr">
        <is>
          <t>Professional</t>
        </is>
      </c>
      <c r="F735" t="inlineStr">
        <is>
          <t>Mid-Market</t>
        </is>
      </c>
      <c r="G735" t="inlineStr">
        <is>
          <t>Contact Management</t>
        </is>
      </c>
      <c r="H735" t="inlineStr">
        <is>
          <t>Feature Request</t>
        </is>
      </c>
      <c r="I735" t="inlineStr">
        <is>
          <t>We need a bulk contact merge because our database has years of overlapping records. It happens about 9 times a week for our team of 103.</t>
        </is>
      </c>
      <c r="J735" t="inlineStr">
        <is>
          <t>Neutral</t>
        </is>
      </c>
      <c r="K735" t="inlineStr">
        <is>
          <t>Low</t>
        </is>
      </c>
      <c r="L735" t="inlineStr">
        <is>
          <t>Minor Inconvenience</t>
        </is>
      </c>
      <c r="M735" t="inlineStr">
        <is>
          <t>contact_dedupe</t>
        </is>
      </c>
      <c r="N735" t="inlineStr">
        <is>
          <t>Bulk contact merge</t>
        </is>
      </c>
      <c r="O735" t="inlineStr">
        <is>
          <t>2026-04</t>
        </is>
      </c>
    </row>
    <row r="736">
      <c r="A736" t="inlineStr">
        <is>
          <t>FB-00735</t>
        </is>
      </c>
      <c r="B736" t="inlineStr">
        <is>
          <t>CUST-0391</t>
        </is>
      </c>
      <c r="C736" s="11" t="n">
        <v>46128</v>
      </c>
      <c r="D736" t="inlineStr">
        <is>
          <t>Feature Request</t>
        </is>
      </c>
      <c r="E736" t="inlineStr">
        <is>
          <t>Enterprise</t>
        </is>
      </c>
      <c r="F736" t="inlineStr">
        <is>
          <t>Mid-Market</t>
        </is>
      </c>
      <c r="G736" t="inlineStr">
        <is>
          <t>Integrations</t>
        </is>
      </c>
      <c r="H736" t="inlineStr">
        <is>
          <t>Feature Request</t>
        </is>
      </c>
      <c r="I736" t="inlineStr">
        <is>
          <t>Our security team requires SCIM provisioning before we can expand seats.</t>
        </is>
      </c>
      <c r="J736" t="inlineStr">
        <is>
          <t>Positive</t>
        </is>
      </c>
      <c r="K736" t="inlineStr">
        <is>
          <t>Medium</t>
        </is>
      </c>
      <c r="L736" t="inlineStr">
        <is>
          <t>Workflow Slowdown</t>
        </is>
      </c>
      <c r="M736" t="inlineStr">
        <is>
          <t>int_sso</t>
        </is>
      </c>
      <c r="N736" t="inlineStr">
        <is>
          <t>SSO and provisioning</t>
        </is>
      </c>
      <c r="O736" t="inlineStr">
        <is>
          <t>2026-04</t>
        </is>
      </c>
    </row>
    <row r="737">
      <c r="A737" t="inlineStr">
        <is>
          <t>FB-00736</t>
        </is>
      </c>
      <c r="B737" t="inlineStr">
        <is>
          <t>CUST-0254</t>
        </is>
      </c>
      <c r="C737" s="11" t="n">
        <v>46128</v>
      </c>
      <c r="D737" t="inlineStr">
        <is>
          <t>Support Ticket</t>
        </is>
      </c>
      <c r="E737" t="inlineStr">
        <is>
          <t>Professional</t>
        </is>
      </c>
      <c r="F737" t="inlineStr">
        <is>
          <t>SMB</t>
        </is>
      </c>
      <c r="G737" t="inlineStr">
        <is>
          <t>Lead Management</t>
        </is>
      </c>
      <c r="H737" t="inlineStr">
        <is>
          <t>Usability Issue</t>
        </is>
      </c>
      <c r="I737" t="inlineStr">
        <is>
          <t>Escalating on behalf of our ops lead. The lead assignment settings are confusing and new leads sometimes sit unassigned over weekends. We estimate we lose roughly 46 hours a month on this. Support suggested logging it here.</t>
        </is>
      </c>
      <c r="J737" t="inlineStr">
        <is>
          <t>Negative</t>
        </is>
      </c>
      <c r="K737" t="inlineStr">
        <is>
          <t>Medium</t>
        </is>
      </c>
      <c r="L737" t="inlineStr">
        <is>
          <t>Workflow Slowdown</t>
        </is>
      </c>
      <c r="M737" t="inlineStr">
        <is>
          <t>lead_assign</t>
        </is>
      </c>
      <c r="N737" t="inlineStr">
        <is>
          <t>Lead routing is inflexible</t>
        </is>
      </c>
      <c r="O737" t="inlineStr">
        <is>
          <t>2026-04</t>
        </is>
      </c>
    </row>
    <row r="738">
      <c r="A738" t="inlineStr">
        <is>
          <t>FB-00737</t>
        </is>
      </c>
      <c r="B738" t="inlineStr">
        <is>
          <t>CUST-0306</t>
        </is>
      </c>
      <c r="C738" s="11" t="n">
        <v>46128</v>
      </c>
      <c r="D738" t="inlineStr">
        <is>
          <t>Support Ticket</t>
        </is>
      </c>
      <c r="E738" t="inlineStr">
        <is>
          <t>Professional</t>
        </is>
      </c>
      <c r="F738" t="inlineStr">
        <is>
          <t>SMB</t>
        </is>
      </c>
      <c r="G738" t="inlineStr">
        <is>
          <t>Workflow Automation</t>
        </is>
      </c>
      <c r="H738" t="inlineStr">
        <is>
          <t>Bug</t>
        </is>
      </c>
      <c r="I738" t="inlineStr">
        <is>
          <t>Escalating on behalf of our ops lead. We found workflow runs failing silently only because a customer complained. We need a fix before renewal.</t>
        </is>
      </c>
      <c r="J738" t="inlineStr">
        <is>
          <t>Negative</t>
        </is>
      </c>
      <c r="K738" t="inlineStr">
        <is>
          <t>High</t>
        </is>
      </c>
      <c r="L738" t="inlineStr">
        <is>
          <t>Blocks Key Task</t>
        </is>
      </c>
      <c r="M738" t="inlineStr">
        <is>
          <t>wf_fail</t>
        </is>
      </c>
      <c r="N738" t="inlineStr">
        <is>
          <t>Workflows failing silently</t>
        </is>
      </c>
      <c r="O738" t="inlineStr">
        <is>
          <t>2026-04</t>
        </is>
      </c>
    </row>
    <row r="739">
      <c r="A739" t="inlineStr">
        <is>
          <t>FB-00738</t>
        </is>
      </c>
      <c r="B739" t="inlineStr">
        <is>
          <t>CUST-0376</t>
        </is>
      </c>
      <c r="C739" s="11" t="n">
        <v>46128</v>
      </c>
      <c r="D739" t="inlineStr">
        <is>
          <t>Customer Survey</t>
        </is>
      </c>
      <c r="E739" t="inlineStr">
        <is>
          <t>Professional</t>
        </is>
      </c>
      <c r="F739" t="inlineStr">
        <is>
          <t>Enterprise</t>
        </is>
      </c>
      <c r="G739" t="inlineStr">
        <is>
          <t>Reporting</t>
        </is>
      </c>
      <c r="H739" t="inlineStr">
        <is>
          <t>Performance Issue</t>
        </is>
      </c>
      <c r="I739" t="inlineStr">
        <is>
          <t>This has been a recurring problem for us. Dashboard refresh got noticeably worse over the last few months. We estimate we lose roughly 26 hours a month on this. Please look into it soon.</t>
        </is>
      </c>
      <c r="J739" t="inlineStr">
        <is>
          <t>Negative</t>
        </is>
      </c>
      <c r="K739" t="inlineStr">
        <is>
          <t>Medium</t>
        </is>
      </c>
      <c r="L739" t="inlineStr">
        <is>
          <t>Minor Inconvenience</t>
        </is>
      </c>
      <c r="M739" t="inlineStr">
        <is>
          <t>rep_slow</t>
        </is>
      </c>
      <c r="N739" t="inlineStr">
        <is>
          <t>Slow dashboards</t>
        </is>
      </c>
      <c r="O739" t="inlineStr">
        <is>
          <t>2026-04</t>
        </is>
      </c>
    </row>
    <row r="740">
      <c r="A740" t="inlineStr">
        <is>
          <t>FB-00739</t>
        </is>
      </c>
      <c r="B740" t="inlineStr">
        <is>
          <t>CUST-0235</t>
        </is>
      </c>
      <c r="C740" s="11" t="n">
        <v>46128</v>
      </c>
      <c r="D740" t="inlineStr">
        <is>
          <t>Feature Request</t>
        </is>
      </c>
      <c r="E740" t="inlineStr">
        <is>
          <t>Enterprise</t>
        </is>
      </c>
      <c r="F740" t="inlineStr">
        <is>
          <t>Mid-Market</t>
        </is>
      </c>
      <c r="G740" t="inlineStr">
        <is>
          <t>Integrations</t>
        </is>
      </c>
      <c r="H740" t="inlineStr">
        <is>
          <t>Feature Request</t>
        </is>
      </c>
      <c r="I740" t="inlineStr">
        <is>
          <t>FYI for the product team. Requesting SSO support for our compliance audit. It happens about 35 times a week for our team of 68.</t>
        </is>
      </c>
      <c r="J740" t="inlineStr">
        <is>
          <t>Neutral</t>
        </is>
      </c>
      <c r="K740" t="inlineStr">
        <is>
          <t>Medium</t>
        </is>
      </c>
      <c r="L740" t="inlineStr">
        <is>
          <t>Workflow Slowdown</t>
        </is>
      </c>
      <c r="M740" t="inlineStr">
        <is>
          <t>int_sso</t>
        </is>
      </c>
      <c r="N740" t="inlineStr">
        <is>
          <t>SSO and provisioning</t>
        </is>
      </c>
      <c r="O740" t="inlineStr">
        <is>
          <t>2026-04</t>
        </is>
      </c>
    </row>
    <row r="741">
      <c r="A741" t="inlineStr">
        <is>
          <t>FB-00740</t>
        </is>
      </c>
      <c r="B741" t="inlineStr">
        <is>
          <t>CUST-0204</t>
        </is>
      </c>
      <c r="C741" s="11" t="n">
        <v>46128</v>
      </c>
      <c r="D741" t="inlineStr">
        <is>
          <t>Feature Request</t>
        </is>
      </c>
      <c r="E741" t="inlineStr">
        <is>
          <t>Enterprise</t>
        </is>
      </c>
      <c r="F741" t="inlineStr">
        <is>
          <t>Enterprise</t>
        </is>
      </c>
      <c r="G741" t="inlineStr">
        <is>
          <t>Workflow Automation</t>
        </is>
      </c>
      <c r="H741" t="inlineStr">
        <is>
          <t>Feature Request</t>
        </is>
      </c>
      <c r="I741" t="inlineStr">
        <is>
          <t>We'd adopt automation faster with prebuilt automations we could customize. It happens about 23 times a week for our team of 100. Keep up the good work.</t>
        </is>
      </c>
      <c r="J741" t="inlineStr">
        <is>
          <t>Positive</t>
        </is>
      </c>
      <c r="K741" t="inlineStr">
        <is>
          <t>Low</t>
        </is>
      </c>
      <c r="L741" t="inlineStr">
        <is>
          <t>Minor Inconvenience</t>
        </is>
      </c>
      <c r="M741" t="inlineStr">
        <is>
          <t>wf_templates</t>
        </is>
      </c>
      <c r="N741" t="inlineStr">
        <is>
          <t>Workflow templates</t>
        </is>
      </c>
      <c r="O741" t="inlineStr">
        <is>
          <t>2026-04</t>
        </is>
      </c>
    </row>
    <row r="742">
      <c r="A742" t="inlineStr">
        <is>
          <t>FB-00741</t>
        </is>
      </c>
      <c r="B742" t="inlineStr">
        <is>
          <t>CUST-0420</t>
        </is>
      </c>
      <c r="C742" s="11" t="n">
        <v>46129</v>
      </c>
      <c r="D742" t="inlineStr">
        <is>
          <t>Feature Request</t>
        </is>
      </c>
      <c r="E742" t="inlineStr">
        <is>
          <t>Enterprise</t>
        </is>
      </c>
      <c r="F742" t="inlineStr">
        <is>
          <t>Enterprise</t>
        </is>
      </c>
      <c r="G742" t="inlineStr">
        <is>
          <t>User Interface</t>
        </is>
      </c>
      <c r="H742" t="inlineStr">
        <is>
          <t>Feature Request</t>
        </is>
      </c>
      <c r="I742" t="inlineStr">
        <is>
          <t>Requesting a mobile app so reps can log activity right after a meeting. We estimate we lose roughly 9 hours a month on this. Let us know if you need examples.</t>
        </is>
      </c>
      <c r="J742" t="inlineStr">
        <is>
          <t>Neutral</t>
        </is>
      </c>
      <c r="K742" t="inlineStr">
        <is>
          <t>High</t>
        </is>
      </c>
      <c r="L742" t="inlineStr">
        <is>
          <t>Blocks Key Task</t>
        </is>
      </c>
      <c r="M742" t="inlineStr">
        <is>
          <t>ui_mobile</t>
        </is>
      </c>
      <c r="N742" t="inlineStr">
        <is>
          <t>Mobile app</t>
        </is>
      </c>
      <c r="O742" t="inlineStr">
        <is>
          <t>2026-04</t>
        </is>
      </c>
    </row>
    <row r="743">
      <c r="A743" t="inlineStr">
        <is>
          <t>FB-00742</t>
        </is>
      </c>
      <c r="B743" t="inlineStr">
        <is>
          <t>CUST-0147</t>
        </is>
      </c>
      <c r="C743" s="11" t="n">
        <v>46129</v>
      </c>
      <c r="D743" t="inlineStr">
        <is>
          <t>Support Ticket</t>
        </is>
      </c>
      <c r="E743" t="inlineStr">
        <is>
          <t>Enterprise</t>
        </is>
      </c>
      <c r="F743" t="inlineStr">
        <is>
          <t>Enterprise</t>
        </is>
      </c>
      <c r="G743" t="inlineStr">
        <is>
          <t>Workflow Automation</t>
        </is>
      </c>
      <c r="H743" t="inlineStr">
        <is>
          <t>Bug</t>
        </is>
      </c>
      <c r="I743" t="inlineStr">
        <is>
          <t>Frustrated with this one. We are hitting workflow failures: emails don't send and nobody gets notified. Is there a workaround?</t>
        </is>
      </c>
      <c r="J743" t="inlineStr">
        <is>
          <t>Negative</t>
        </is>
      </c>
      <c r="K743" t="inlineStr">
        <is>
          <t>High</t>
        </is>
      </c>
      <c r="L743" t="inlineStr">
        <is>
          <t>Workflow Slowdown</t>
        </is>
      </c>
      <c r="M743" t="inlineStr">
        <is>
          <t>wf_fail</t>
        </is>
      </c>
      <c r="N743" t="inlineStr">
        <is>
          <t>Workflows failing silently</t>
        </is>
      </c>
      <c r="O743" t="inlineStr">
        <is>
          <t>2026-04</t>
        </is>
      </c>
    </row>
    <row r="744">
      <c r="A744" t="inlineStr">
        <is>
          <t>FB-00743</t>
        </is>
      </c>
      <c r="B744" t="inlineStr">
        <is>
          <t>CUST-0367</t>
        </is>
      </c>
      <c r="C744" s="11" t="n">
        <v>46130</v>
      </c>
      <c r="D744" t="inlineStr">
        <is>
          <t>Feature Request</t>
        </is>
      </c>
      <c r="E744" t="inlineStr">
        <is>
          <t>Enterprise</t>
        </is>
      </c>
      <c r="F744" t="inlineStr">
        <is>
          <t>Mid-Market</t>
        </is>
      </c>
      <c r="G744" t="inlineStr">
        <is>
          <t>Contact Management</t>
        </is>
      </c>
      <c r="H744" t="inlineStr">
        <is>
          <t>Feature Request</t>
        </is>
      </c>
      <c r="I744" t="inlineStr">
        <is>
          <t>Please build a tool to merge duplicate contacts with a preview of what will be combined. Let us know if you need examples.</t>
        </is>
      </c>
      <c r="J744" t="inlineStr">
        <is>
          <t>Neutral</t>
        </is>
      </c>
      <c r="K744" t="inlineStr">
        <is>
          <t>Medium</t>
        </is>
      </c>
      <c r="L744" t="inlineStr">
        <is>
          <t>Workflow Slowdown</t>
        </is>
      </c>
      <c r="M744" t="inlineStr">
        <is>
          <t>contact_dedupe</t>
        </is>
      </c>
      <c r="N744" t="inlineStr">
        <is>
          <t>Bulk contact merge</t>
        </is>
      </c>
      <c r="O744" t="inlineStr">
        <is>
          <t>2026-04</t>
        </is>
      </c>
    </row>
    <row r="745">
      <c r="A745" t="inlineStr">
        <is>
          <t>FB-00744</t>
        </is>
      </c>
      <c r="B745" t="inlineStr">
        <is>
          <t>CUST-0385</t>
        </is>
      </c>
      <c r="C745" s="11" t="n">
        <v>46130</v>
      </c>
      <c r="D745" t="inlineStr">
        <is>
          <t>Feature Request</t>
        </is>
      </c>
      <c r="E745" t="inlineStr">
        <is>
          <t>Starter</t>
        </is>
      </c>
      <c r="F745" t="inlineStr">
        <is>
          <t>SMB</t>
        </is>
      </c>
      <c r="G745" t="inlineStr">
        <is>
          <t>Integrations</t>
        </is>
      </c>
      <c r="H745" t="inlineStr">
        <is>
          <t>Feature Request</t>
        </is>
      </c>
      <c r="I745" t="inlineStr">
        <is>
          <t>FYI for the product team. Requesting a native accounting integration to remove manual re-entry. Let us know if you need examples.</t>
        </is>
      </c>
      <c r="J745" t="inlineStr">
        <is>
          <t>Neutral</t>
        </is>
      </c>
      <c r="K745" t="inlineStr">
        <is>
          <t>Low</t>
        </is>
      </c>
      <c r="L745" t="inlineStr">
        <is>
          <t>Workflow Slowdown</t>
        </is>
      </c>
      <c r="M745" t="inlineStr">
        <is>
          <t>int_native</t>
        </is>
      </c>
      <c r="N745" t="inlineStr">
        <is>
          <t>Native integrations</t>
        </is>
      </c>
      <c r="O745" t="inlineStr">
        <is>
          <t>2026-04</t>
        </is>
      </c>
    </row>
    <row r="746">
      <c r="A746" t="inlineStr">
        <is>
          <t>FB-00745</t>
        </is>
      </c>
      <c r="B746" t="inlineStr">
        <is>
          <t>CUST-0108</t>
        </is>
      </c>
      <c r="C746" s="11" t="n">
        <v>46130</v>
      </c>
      <c r="D746" t="inlineStr">
        <is>
          <t>In-App Feedback</t>
        </is>
      </c>
      <c r="E746" t="inlineStr">
        <is>
          <t>Enterprise</t>
        </is>
      </c>
      <c r="F746" t="inlineStr">
        <is>
          <t>Mid-Market</t>
        </is>
      </c>
      <c r="G746" t="inlineStr">
        <is>
          <t>Reporting</t>
        </is>
      </c>
      <c r="H746" t="inlineStr">
        <is>
          <t>Bug</t>
        </is>
      </c>
      <c r="I746" t="inlineStr">
        <is>
          <t>Our Excel export drops formatting and shows dates as numbers. We estimate we lose roughly 27 hours a month on this. Happy to join a feedback call.</t>
        </is>
      </c>
      <c r="J746" t="inlineStr">
        <is>
          <t>Neutral</t>
        </is>
      </c>
      <c r="K746" t="inlineStr">
        <is>
          <t>High</t>
        </is>
      </c>
      <c r="L746" t="inlineStr">
        <is>
          <t>Blocks Key Task</t>
        </is>
      </c>
      <c r="M746" t="inlineStr">
        <is>
          <t>rep_export</t>
        </is>
      </c>
      <c r="N746" t="inlineStr">
        <is>
          <t>Broken report exports</t>
        </is>
      </c>
      <c r="O746" t="inlineStr">
        <is>
          <t>2026-04</t>
        </is>
      </c>
    </row>
    <row r="747">
      <c r="A747" t="inlineStr">
        <is>
          <t>FB-00746</t>
        </is>
      </c>
      <c r="B747" t="inlineStr">
        <is>
          <t>CUST-0131</t>
        </is>
      </c>
      <c r="C747" s="11" t="n">
        <v>46130</v>
      </c>
      <c r="D747" t="inlineStr">
        <is>
          <t>In-App Feedback</t>
        </is>
      </c>
      <c r="E747" t="inlineStr">
        <is>
          <t>Starter</t>
        </is>
      </c>
      <c r="F747" t="inlineStr">
        <is>
          <t>SMB</t>
        </is>
      </c>
      <c r="G747" t="inlineStr">
        <is>
          <t>Workflow Automation</t>
        </is>
      </c>
      <c r="H747" t="inlineStr">
        <is>
          <t>Usability Issue</t>
        </is>
      </c>
      <c r="I747" t="inlineStr">
        <is>
          <t>The automation canvas is hard to follow once a flow has more than a handful of steps. It affects our quarterly planning process every cycle. Support suggested logging it here.</t>
        </is>
      </c>
      <c r="J747" t="inlineStr">
        <is>
          <t>Negative</t>
        </is>
      </c>
      <c r="K747" t="inlineStr">
        <is>
          <t>Medium</t>
        </is>
      </c>
      <c r="L747" t="inlineStr">
        <is>
          <t>Workflow Slowdown</t>
        </is>
      </c>
      <c r="M747" t="inlineStr">
        <is>
          <t>wf_builder</t>
        </is>
      </c>
      <c r="N747" t="inlineStr">
        <is>
          <t>Confusing workflow builder</t>
        </is>
      </c>
      <c r="O747" t="inlineStr">
        <is>
          <t>2026-04</t>
        </is>
      </c>
    </row>
    <row r="748">
      <c r="A748" t="inlineStr">
        <is>
          <t>FB-00747</t>
        </is>
      </c>
      <c r="B748" t="inlineStr">
        <is>
          <t>CUST-0195</t>
        </is>
      </c>
      <c r="C748" s="11" t="n">
        <v>46131</v>
      </c>
      <c r="D748" t="inlineStr">
        <is>
          <t>Feature Request</t>
        </is>
      </c>
      <c r="E748" t="inlineStr">
        <is>
          <t>Professional</t>
        </is>
      </c>
      <c r="F748" t="inlineStr">
        <is>
          <t>SMB</t>
        </is>
      </c>
      <c r="G748" t="inlineStr">
        <is>
          <t>Integrations</t>
        </is>
      </c>
      <c r="H748" t="inlineStr">
        <is>
          <t>Feature Request</t>
        </is>
      </c>
      <c r="I748" t="inlineStr">
        <is>
          <t>Overall we like the product. Please build a marketing automation connector; our team copies data across systems daily. It happens about 39 times a week for our team of 102.</t>
        </is>
      </c>
      <c r="J748" t="inlineStr">
        <is>
          <t>Positive</t>
        </is>
      </c>
      <c r="K748" t="inlineStr">
        <is>
          <t>High</t>
        </is>
      </c>
      <c r="L748" t="inlineStr">
        <is>
          <t>Workflow Slowdown</t>
        </is>
      </c>
      <c r="M748" t="inlineStr">
        <is>
          <t>int_native</t>
        </is>
      </c>
      <c r="N748" t="inlineStr">
        <is>
          <t>Native integrations</t>
        </is>
      </c>
      <c r="O748" t="inlineStr">
        <is>
          <t>2026-04</t>
        </is>
      </c>
    </row>
    <row r="749">
      <c r="A749" t="inlineStr">
        <is>
          <t>FB-00748</t>
        </is>
      </c>
      <c r="B749" t="inlineStr">
        <is>
          <t>CUST-0102</t>
        </is>
      </c>
      <c r="C749" s="11" t="n">
        <v>46131</v>
      </c>
      <c r="D749" t="inlineStr">
        <is>
          <t>Support Ticket</t>
        </is>
      </c>
      <c r="E749" t="inlineStr">
        <is>
          <t>Professional</t>
        </is>
      </c>
      <c r="F749" t="inlineStr">
        <is>
          <t>Mid-Market</t>
        </is>
      </c>
      <c r="G749" t="inlineStr">
        <is>
          <t>Integrations</t>
        </is>
      </c>
      <c r="H749" t="inlineStr">
        <is>
          <t>Integration Issue</t>
        </is>
      </c>
      <c r="I749" t="inlineStr">
        <is>
          <t>After the token expires, Outlook calendar sync stops with no warning. We estimate we lose roughly 54 hours a month on this.</t>
        </is>
      </c>
      <c r="J749" t="inlineStr">
        <is>
          <t>Neutral</t>
        </is>
      </c>
      <c r="K749" t="inlineStr">
        <is>
          <t>Critical</t>
        </is>
      </c>
      <c r="L749" t="inlineStr">
        <is>
          <t>Revenue/Operations Risk</t>
        </is>
      </c>
      <c r="M749" t="inlineStr">
        <is>
          <t>int_email</t>
        </is>
      </c>
      <c r="N749" t="inlineStr">
        <is>
          <t>Email and calendar sync drops</t>
        </is>
      </c>
      <c r="O749" t="inlineStr">
        <is>
          <t>2026-04</t>
        </is>
      </c>
    </row>
    <row r="750">
      <c r="A750" t="inlineStr">
        <is>
          <t>FB-00749</t>
        </is>
      </c>
      <c r="B750" t="inlineStr">
        <is>
          <t>CUST-0197</t>
        </is>
      </c>
      <c r="C750" s="11" t="n">
        <v>46131</v>
      </c>
      <c r="D750" t="inlineStr">
        <is>
          <t>Customer Survey</t>
        </is>
      </c>
      <c r="E750" t="inlineStr">
        <is>
          <t>Professional</t>
        </is>
      </c>
      <c r="F750" t="inlineStr">
        <is>
          <t>Mid-Market</t>
        </is>
      </c>
      <c r="G750" t="inlineStr">
        <is>
          <t>Reporting</t>
        </is>
      </c>
      <c r="H750" t="inlineStr">
        <is>
          <t>Performance Issue</t>
        </is>
      </c>
      <c r="I750" t="inlineStr">
        <is>
          <t>Our report load time spins for a minute before showing any chart.</t>
        </is>
      </c>
      <c r="J750" t="inlineStr">
        <is>
          <t>Negative</t>
        </is>
      </c>
      <c r="K750" t="inlineStr">
        <is>
          <t>Low</t>
        </is>
      </c>
      <c r="L750" t="inlineStr">
        <is>
          <t>Minor Inconvenience</t>
        </is>
      </c>
      <c r="M750" t="inlineStr">
        <is>
          <t>rep_slow</t>
        </is>
      </c>
      <c r="N750" t="inlineStr">
        <is>
          <t>Slow dashboards</t>
        </is>
      </c>
      <c r="O750" t="inlineStr">
        <is>
          <t>2026-04</t>
        </is>
      </c>
    </row>
    <row r="751">
      <c r="A751" t="inlineStr">
        <is>
          <t>FB-00750</t>
        </is>
      </c>
      <c r="B751" t="inlineStr">
        <is>
          <t>CUST-0062</t>
        </is>
      </c>
      <c r="C751" s="11" t="n">
        <v>46131</v>
      </c>
      <c r="D751" t="inlineStr">
        <is>
          <t>Support Ticket</t>
        </is>
      </c>
      <c r="E751" t="inlineStr">
        <is>
          <t>Professional</t>
        </is>
      </c>
      <c r="F751" t="inlineStr">
        <is>
          <t>Mid-Market</t>
        </is>
      </c>
      <c r="G751" t="inlineStr">
        <is>
          <t>Contact Management</t>
        </is>
      </c>
      <c r="H751" t="inlineStr">
        <is>
          <t>Bug</t>
        </is>
      </c>
      <c r="I751" t="inlineStr">
        <is>
          <t>Sharing this from our team. The import field mapping rejects files with accented characters in names. Let us know if you need examples.</t>
        </is>
      </c>
      <c r="J751" t="inlineStr">
        <is>
          <t>Neutral</t>
        </is>
      </c>
      <c r="K751" t="inlineStr">
        <is>
          <t>High</t>
        </is>
      </c>
      <c r="L751" t="inlineStr">
        <is>
          <t>Blocks Key Task</t>
        </is>
      </c>
      <c r="M751" t="inlineStr">
        <is>
          <t>contact_import</t>
        </is>
      </c>
      <c r="N751" t="inlineStr">
        <is>
          <t>Unreliable contact imports</t>
        </is>
      </c>
      <c r="O751" t="inlineStr">
        <is>
          <t>2026-04</t>
        </is>
      </c>
    </row>
    <row r="752">
      <c r="A752" t="inlineStr">
        <is>
          <t>FB-00751</t>
        </is>
      </c>
      <c r="B752" t="inlineStr">
        <is>
          <t>CUST-0015</t>
        </is>
      </c>
      <c r="C752" s="11" t="n">
        <v>46131</v>
      </c>
      <c r="D752" t="inlineStr">
        <is>
          <t>In-App Feedback</t>
        </is>
      </c>
      <c r="E752" t="inlineStr">
        <is>
          <t>Professional</t>
        </is>
      </c>
      <c r="F752" t="inlineStr">
        <is>
          <t>Mid-Market</t>
        </is>
      </c>
      <c r="G752" t="inlineStr">
        <is>
          <t>Contact Management</t>
        </is>
      </c>
      <c r="H752" t="inlineStr">
        <is>
          <t>Bug</t>
        </is>
      </c>
      <c r="I752" t="inlineStr">
        <is>
          <t>This has been a recurring problem for us. Our spreadsheet import scrambles phone and email columns even after we map them correctly. Please look into it soon.</t>
        </is>
      </c>
      <c r="J752" t="inlineStr">
        <is>
          <t>Negative</t>
        </is>
      </c>
      <c r="K752" t="inlineStr">
        <is>
          <t>High</t>
        </is>
      </c>
      <c r="L752" t="inlineStr">
        <is>
          <t>Workflow Slowdown</t>
        </is>
      </c>
      <c r="M752" t="inlineStr">
        <is>
          <t>contact_import</t>
        </is>
      </c>
      <c r="N752" t="inlineStr">
        <is>
          <t>Unreliable contact imports</t>
        </is>
      </c>
      <c r="O752" t="inlineStr">
        <is>
          <t>2026-04</t>
        </is>
      </c>
    </row>
    <row r="753">
      <c r="A753" t="inlineStr">
        <is>
          <t>FB-00752</t>
        </is>
      </c>
      <c r="B753" t="inlineStr">
        <is>
          <t>CUST-0200</t>
        </is>
      </c>
      <c r="C753" s="11" t="n">
        <v>46131</v>
      </c>
      <c r="D753" t="inlineStr">
        <is>
          <t>In-App Feedback</t>
        </is>
      </c>
      <c r="E753" t="inlineStr">
        <is>
          <t>Professional</t>
        </is>
      </c>
      <c r="F753" t="inlineStr">
        <is>
          <t>Mid-Market</t>
        </is>
      </c>
      <c r="G753" t="inlineStr">
        <is>
          <t>Contact Management</t>
        </is>
      </c>
      <c r="H753" t="inlineStr">
        <is>
          <t>Bug</t>
        </is>
      </c>
      <c r="I753" t="inlineStr">
        <is>
          <t>The spreadsheet import fails halfway through with a generic error and no row-level detail. We estimate we lose roughly 13 hours a month on this.</t>
        </is>
      </c>
      <c r="J753" t="inlineStr">
        <is>
          <t>Negative</t>
        </is>
      </c>
      <c r="K753" t="inlineStr">
        <is>
          <t>Low</t>
        </is>
      </c>
      <c r="L753" t="inlineStr">
        <is>
          <t>Minor Inconvenience</t>
        </is>
      </c>
      <c r="M753" t="inlineStr">
        <is>
          <t>contact_import</t>
        </is>
      </c>
      <c r="N753" t="inlineStr">
        <is>
          <t>Unreliable contact imports</t>
        </is>
      </c>
      <c r="O753" t="inlineStr">
        <is>
          <t>2026-04</t>
        </is>
      </c>
    </row>
    <row r="754">
      <c r="A754" t="inlineStr">
        <is>
          <t>FB-00753</t>
        </is>
      </c>
      <c r="B754" t="inlineStr">
        <is>
          <t>CUST-0188</t>
        </is>
      </c>
      <c r="C754" s="11" t="n">
        <v>46132</v>
      </c>
      <c r="D754" t="inlineStr">
        <is>
          <t>Customer Survey</t>
        </is>
      </c>
      <c r="E754" t="inlineStr">
        <is>
          <t>Enterprise</t>
        </is>
      </c>
      <c r="F754" t="inlineStr">
        <is>
          <t>Mid-Market</t>
        </is>
      </c>
      <c r="G754" t="inlineStr">
        <is>
          <t>User Interface</t>
        </is>
      </c>
      <c r="H754" t="inlineStr">
        <is>
          <t>Usability Issue</t>
        </is>
      </c>
      <c r="I754" t="inlineStr">
        <is>
          <t>Feedback from our monthly review. New hires get lost in the navigation menu; it takes weeks to learn. So far 82 people on our side have reported it. Let us know if you need examples.</t>
        </is>
      </c>
      <c r="J754" t="inlineStr">
        <is>
          <t>Neutral</t>
        </is>
      </c>
      <c r="K754" t="inlineStr">
        <is>
          <t>Medium</t>
        </is>
      </c>
      <c r="L754" t="inlineStr">
        <is>
          <t>Workflow Slowdown</t>
        </is>
      </c>
      <c r="M754" t="inlineStr">
        <is>
          <t>ui_nav</t>
        </is>
      </c>
      <c r="N754" t="inlineStr">
        <is>
          <t>Cluttered navigation</t>
        </is>
      </c>
      <c r="O754" t="inlineStr">
        <is>
          <t>2026-04</t>
        </is>
      </c>
    </row>
    <row r="755">
      <c r="A755" t="inlineStr">
        <is>
          <t>FB-00754</t>
        </is>
      </c>
      <c r="B755" t="inlineStr">
        <is>
          <t>CUST-0162</t>
        </is>
      </c>
      <c r="C755" s="11" t="n">
        <v>46132</v>
      </c>
      <c r="D755" t="inlineStr">
        <is>
          <t>In-App Feedback</t>
        </is>
      </c>
      <c r="E755" t="inlineStr">
        <is>
          <t>Professional</t>
        </is>
      </c>
      <c r="F755" t="inlineStr">
        <is>
          <t>Mid-Market</t>
        </is>
      </c>
      <c r="G755" t="inlineStr">
        <is>
          <t>Lead Management</t>
        </is>
      </c>
      <c r="H755" t="inlineStr">
        <is>
          <t>Performance Issue</t>
        </is>
      </c>
      <c r="I755" t="inlineStr">
        <is>
          <t>This has been a recurring problem for us. Reps have stopped using the board because of lead view load times.</t>
        </is>
      </c>
      <c r="J755" t="inlineStr">
        <is>
          <t>Negative</t>
        </is>
      </c>
      <c r="K755" t="inlineStr">
        <is>
          <t>High</t>
        </is>
      </c>
      <c r="L755" t="inlineStr">
        <is>
          <t>Blocks Key Task</t>
        </is>
      </c>
      <c r="M755" t="inlineStr">
        <is>
          <t>lead_slow</t>
        </is>
      </c>
      <c r="N755" t="inlineStr">
        <is>
          <t>Slow lead lists and pipeline board</t>
        </is>
      </c>
      <c r="O755" t="inlineStr">
        <is>
          <t>2026-04</t>
        </is>
      </c>
    </row>
    <row r="756">
      <c r="A756" t="inlineStr">
        <is>
          <t>FB-00755</t>
        </is>
      </c>
      <c r="B756" t="inlineStr">
        <is>
          <t>CUST-0030</t>
        </is>
      </c>
      <c r="C756" s="11" t="n">
        <v>46133</v>
      </c>
      <c r="D756" t="inlineStr">
        <is>
          <t>Support Ticket</t>
        </is>
      </c>
      <c r="E756" t="inlineStr">
        <is>
          <t>Professional</t>
        </is>
      </c>
      <c r="F756" t="inlineStr">
        <is>
          <t>Mid-Market</t>
        </is>
      </c>
      <c r="G756" t="inlineStr">
        <is>
          <t>Reporting</t>
        </is>
      </c>
      <c r="H756" t="inlineStr">
        <is>
          <t>Feature Request</t>
        </is>
      </c>
      <c r="I756" t="inlineStr">
        <is>
          <t>Sharing this from our team. Requesting a custom report builder so leadership gets numbers without logging in. So far 114 people on our side have reported it. Happy to join a feedback call.</t>
        </is>
      </c>
      <c r="J756" t="inlineStr">
        <is>
          <t>Neutral</t>
        </is>
      </c>
      <c r="K756" t="inlineStr">
        <is>
          <t>Low</t>
        </is>
      </c>
      <c r="L756" t="inlineStr">
        <is>
          <t>Blocks Key Task</t>
        </is>
      </c>
      <c r="M756" t="inlineStr">
        <is>
          <t>rep_custom</t>
        </is>
      </c>
      <c r="N756" t="inlineStr">
        <is>
          <t>Custom and scheduled reports</t>
        </is>
      </c>
      <c r="O756" t="inlineStr">
        <is>
          <t>2026-04</t>
        </is>
      </c>
    </row>
    <row r="757">
      <c r="A757" t="inlineStr">
        <is>
          <t>FB-00756</t>
        </is>
      </c>
      <c r="B757" t="inlineStr">
        <is>
          <t>CUST-0325</t>
        </is>
      </c>
      <c r="C757" s="11" t="n">
        <v>46133</v>
      </c>
      <c r="D757" t="inlineStr">
        <is>
          <t>Feature Request</t>
        </is>
      </c>
      <c r="E757" t="inlineStr">
        <is>
          <t>Starter</t>
        </is>
      </c>
      <c r="F757" t="inlineStr">
        <is>
          <t>SMB</t>
        </is>
      </c>
      <c r="G757" t="inlineStr">
        <is>
          <t>Lead Management</t>
        </is>
      </c>
      <c r="H757" t="inlineStr">
        <is>
          <t>Feature Request</t>
        </is>
      </c>
      <c r="I757" t="inlineStr">
        <is>
          <t>Would love to see a lead score model that marketing and sales can both tune. So far 70 people on our side have reported it.</t>
        </is>
      </c>
      <c r="J757" t="inlineStr">
        <is>
          <t>Neutral</t>
        </is>
      </c>
      <c r="K757" t="inlineStr">
        <is>
          <t>Low</t>
        </is>
      </c>
      <c r="L757" t="inlineStr">
        <is>
          <t>Minor Inconvenience</t>
        </is>
      </c>
      <c r="M757" t="inlineStr">
        <is>
          <t>lead_score</t>
        </is>
      </c>
      <c r="N757" t="inlineStr">
        <is>
          <t>Automated lead scoring</t>
        </is>
      </c>
      <c r="O757" t="inlineStr">
        <is>
          <t>2026-04</t>
        </is>
      </c>
    </row>
    <row r="758">
      <c r="A758" t="inlineStr">
        <is>
          <t>FB-00757</t>
        </is>
      </c>
      <c r="B758" t="inlineStr">
        <is>
          <t>CUST-0313</t>
        </is>
      </c>
      <c r="C758" s="11" t="n">
        <v>46133</v>
      </c>
      <c r="D758" t="inlineStr">
        <is>
          <t>Feature Request</t>
        </is>
      </c>
      <c r="E758" t="inlineStr">
        <is>
          <t>Starter</t>
        </is>
      </c>
      <c r="F758" t="inlineStr">
        <is>
          <t>SMB</t>
        </is>
      </c>
      <c r="G758" t="inlineStr">
        <is>
          <t>Contact Management</t>
        </is>
      </c>
      <c r="H758" t="inlineStr">
        <is>
          <t>Feature Request</t>
        </is>
      </c>
      <c r="I758" t="inlineStr">
        <is>
          <t>Feedback from our monthly review. We need contact de-duplication tooling because our database has years of overlapping records.</t>
        </is>
      </c>
      <c r="J758" t="inlineStr">
        <is>
          <t>Neutral</t>
        </is>
      </c>
      <c r="K758" t="inlineStr">
        <is>
          <t>Medium</t>
        </is>
      </c>
      <c r="L758" t="inlineStr">
        <is>
          <t>Minor Inconvenience</t>
        </is>
      </c>
      <c r="M758" t="inlineStr">
        <is>
          <t>contact_dedupe</t>
        </is>
      </c>
      <c r="N758" t="inlineStr">
        <is>
          <t>Bulk contact merge</t>
        </is>
      </c>
      <c r="O758" t="inlineStr">
        <is>
          <t>2026-04</t>
        </is>
      </c>
    </row>
    <row r="759">
      <c r="A759" t="inlineStr">
        <is>
          <t>FB-00758</t>
        </is>
      </c>
      <c r="B759" t="inlineStr">
        <is>
          <t>CUST-0207</t>
        </is>
      </c>
      <c r="C759" s="11" t="n">
        <v>46133</v>
      </c>
      <c r="D759" t="inlineStr">
        <is>
          <t>Support Ticket</t>
        </is>
      </c>
      <c r="E759" t="inlineStr">
        <is>
          <t>Professional</t>
        </is>
      </c>
      <c r="F759" t="inlineStr">
        <is>
          <t>Mid-Market</t>
        </is>
      </c>
      <c r="G759" t="inlineStr">
        <is>
          <t>Contact Management</t>
        </is>
      </c>
      <c r="H759" t="inlineStr">
        <is>
          <t>Bug</t>
        </is>
      </c>
      <c r="I759" t="inlineStr">
        <is>
          <t>Escalating on behalf of our ops lead. The import field mapping silently skipped rows and we only noticed days later. Our customer success lead flagged it while onboarding 85 new users. Support suggested logging it here.</t>
        </is>
      </c>
      <c r="J759" t="inlineStr">
        <is>
          <t>Negative</t>
        </is>
      </c>
      <c r="K759" t="inlineStr">
        <is>
          <t>Medium</t>
        </is>
      </c>
      <c r="L759" t="inlineStr">
        <is>
          <t>Workflow Slowdown</t>
        </is>
      </c>
      <c r="M759" t="inlineStr">
        <is>
          <t>contact_import</t>
        </is>
      </c>
      <c r="N759" t="inlineStr">
        <is>
          <t>Unreliable contact imports</t>
        </is>
      </c>
      <c r="O759" t="inlineStr">
        <is>
          <t>2026-04</t>
        </is>
      </c>
    </row>
    <row r="760">
      <c r="A760" t="inlineStr">
        <is>
          <t>FB-00759</t>
        </is>
      </c>
      <c r="B760" t="inlineStr">
        <is>
          <t>CUST-0128</t>
        </is>
      </c>
      <c r="C760" s="11" t="n">
        <v>46134</v>
      </c>
      <c r="D760" t="inlineStr">
        <is>
          <t>Customer Survey</t>
        </is>
      </c>
      <c r="E760" t="inlineStr">
        <is>
          <t>Professional</t>
        </is>
      </c>
      <c r="F760" t="inlineStr">
        <is>
          <t>SMB</t>
        </is>
      </c>
      <c r="G760" t="inlineStr">
        <is>
          <t>Workflow Automation</t>
        </is>
      </c>
      <c r="H760" t="inlineStr">
        <is>
          <t>Feature Request</t>
        </is>
      </c>
      <c r="I760" t="inlineStr">
        <is>
          <t>Requesting approval steps; today approvals happen over chat. It affects our month-end reporting process every cycle. Let us know if you need examples.</t>
        </is>
      </c>
      <c r="J760" t="inlineStr">
        <is>
          <t>Neutral</t>
        </is>
      </c>
      <c r="K760" t="inlineStr">
        <is>
          <t>Low</t>
        </is>
      </c>
      <c r="L760" t="inlineStr">
        <is>
          <t>Minor Inconvenience</t>
        </is>
      </c>
      <c r="M760" t="inlineStr">
        <is>
          <t>wf_approval</t>
        </is>
      </c>
      <c r="N760" t="inlineStr">
        <is>
          <t>Approval steps in workflows</t>
        </is>
      </c>
      <c r="O760" t="inlineStr">
        <is>
          <t>2026-04</t>
        </is>
      </c>
    </row>
    <row r="761">
      <c r="A761" t="inlineStr">
        <is>
          <t>FB-00760</t>
        </is>
      </c>
      <c r="B761" t="inlineStr">
        <is>
          <t>CUST-0242</t>
        </is>
      </c>
      <c r="C761" s="11" t="n">
        <v>46135</v>
      </c>
      <c r="D761" t="inlineStr">
        <is>
          <t>Customer Survey</t>
        </is>
      </c>
      <c r="E761" t="inlineStr">
        <is>
          <t>Starter</t>
        </is>
      </c>
      <c r="F761" t="inlineStr">
        <is>
          <t>SMB</t>
        </is>
      </c>
      <c r="G761" t="inlineStr">
        <is>
          <t>Lead Management</t>
        </is>
      </c>
      <c r="H761" t="inlineStr">
        <is>
          <t>Performance Issue</t>
        </is>
      </c>
      <c r="I761" t="inlineStr">
        <is>
          <t>Complaint about lead view load times: the board freezes while cards render. It affects our weekly pipeline review process every cycle.</t>
        </is>
      </c>
      <c r="J761" t="inlineStr">
        <is>
          <t>Negative</t>
        </is>
      </c>
      <c r="K761" t="inlineStr">
        <is>
          <t>High</t>
        </is>
      </c>
      <c r="L761" t="inlineStr">
        <is>
          <t>Blocks Key Task</t>
        </is>
      </c>
      <c r="M761" t="inlineStr">
        <is>
          <t>lead_slow</t>
        </is>
      </c>
      <c r="N761" t="inlineStr">
        <is>
          <t>Slow lead lists and pipeline board</t>
        </is>
      </c>
      <c r="O761" t="inlineStr">
        <is>
          <t>2026-04</t>
        </is>
      </c>
    </row>
    <row r="762">
      <c r="A762" t="inlineStr">
        <is>
          <t>FB-00761</t>
        </is>
      </c>
      <c r="B762" t="inlineStr">
        <is>
          <t>CUST-0140</t>
        </is>
      </c>
      <c r="C762" s="11" t="n">
        <v>46135</v>
      </c>
      <c r="D762" t="inlineStr">
        <is>
          <t>In-App Feedback</t>
        </is>
      </c>
      <c r="E762" t="inlineStr">
        <is>
          <t>Professional</t>
        </is>
      </c>
      <c r="F762" t="inlineStr">
        <is>
          <t>Mid-Market</t>
        </is>
      </c>
      <c r="G762" t="inlineStr">
        <is>
          <t>Integrations</t>
        </is>
      </c>
      <c r="H762" t="inlineStr">
        <is>
          <t>Integration Issue</t>
        </is>
      </c>
      <c r="I762" t="inlineStr">
        <is>
          <t>Noting this during onboarding. We keep hitting API rate limits during nightly syncs with our data warehouse. We estimate we lose roughly 56 hours a month on this.</t>
        </is>
      </c>
      <c r="J762" t="inlineStr">
        <is>
          <t>Neutral</t>
        </is>
      </c>
      <c r="K762" t="inlineStr">
        <is>
          <t>Medium</t>
        </is>
      </c>
      <c r="L762" t="inlineStr">
        <is>
          <t>Minor Inconvenience</t>
        </is>
      </c>
      <c r="M762" t="inlineStr">
        <is>
          <t>int_api</t>
        </is>
      </c>
      <c r="N762" t="inlineStr">
        <is>
          <t>API limits and webhook failures</t>
        </is>
      </c>
      <c r="O762" t="inlineStr">
        <is>
          <t>2026-04</t>
        </is>
      </c>
    </row>
    <row r="763">
      <c r="A763" t="inlineStr">
        <is>
          <t>FB-00762</t>
        </is>
      </c>
      <c r="B763" t="inlineStr">
        <is>
          <t>CUST-0149</t>
        </is>
      </c>
      <c r="C763" s="11" t="n">
        <v>46135</v>
      </c>
      <c r="D763" t="inlineStr">
        <is>
          <t>Customer Survey</t>
        </is>
      </c>
      <c r="E763" t="inlineStr">
        <is>
          <t>Professional</t>
        </is>
      </c>
      <c r="F763" t="inlineStr">
        <is>
          <t>Mid-Market</t>
        </is>
      </c>
      <c r="G763" t="inlineStr">
        <is>
          <t>Workflow Automation</t>
        </is>
      </c>
      <c r="H763" t="inlineStr">
        <is>
          <t>Feature Request</t>
        </is>
      </c>
      <c r="I763" t="inlineStr">
        <is>
          <t>Great support experience recently. Requesting a discount approval flow; today approvals happen over chat. It affects our lead handoff process every cycle. Keep up the good work.</t>
        </is>
      </c>
      <c r="J763" t="inlineStr">
        <is>
          <t>Positive</t>
        </is>
      </c>
      <c r="K763" t="inlineStr">
        <is>
          <t>Low</t>
        </is>
      </c>
      <c r="L763" t="inlineStr">
        <is>
          <t>Minor Inconvenience</t>
        </is>
      </c>
      <c r="M763" t="inlineStr">
        <is>
          <t>wf_approval</t>
        </is>
      </c>
      <c r="N763" t="inlineStr">
        <is>
          <t>Approval steps in workflows</t>
        </is>
      </c>
      <c r="O763" t="inlineStr">
        <is>
          <t>2026-04</t>
        </is>
      </c>
    </row>
    <row r="764">
      <c r="A764" t="inlineStr">
        <is>
          <t>FB-00763</t>
        </is>
      </c>
      <c r="B764" t="inlineStr">
        <is>
          <t>CUST-0003</t>
        </is>
      </c>
      <c r="C764" s="11" t="n">
        <v>46135</v>
      </c>
      <c r="D764" t="inlineStr">
        <is>
          <t>In-App Feedback</t>
        </is>
      </c>
      <c r="E764" t="inlineStr">
        <is>
          <t>Starter</t>
        </is>
      </c>
      <c r="F764" t="inlineStr">
        <is>
          <t>Mid-Market</t>
        </is>
      </c>
      <c r="G764" t="inlineStr">
        <is>
          <t>User Interface</t>
        </is>
      </c>
      <c r="H764" t="inlineStr">
        <is>
          <t>Performance Issue</t>
        </is>
      </c>
      <c r="I764" t="inlineStr">
        <is>
          <t>Escalating on behalf of our ops lead. UI freezing makes data entry frustrating during live calls. Please look into it soon.</t>
        </is>
      </c>
      <c r="J764" t="inlineStr">
        <is>
          <t>Negative</t>
        </is>
      </c>
      <c r="K764" t="inlineStr">
        <is>
          <t>Medium</t>
        </is>
      </c>
      <c r="L764" t="inlineStr">
        <is>
          <t>Workflow Slowdown</t>
        </is>
      </c>
      <c r="M764" t="inlineStr">
        <is>
          <t>ui_perf</t>
        </is>
      </c>
      <c r="N764" t="inlineStr">
        <is>
          <t>Laggy pages</t>
        </is>
      </c>
      <c r="O764" t="inlineStr">
        <is>
          <t>2026-04</t>
        </is>
      </c>
    </row>
    <row r="765">
      <c r="A765" t="inlineStr">
        <is>
          <t>FB-00764</t>
        </is>
      </c>
      <c r="B765" t="inlineStr">
        <is>
          <t>CUST-0286</t>
        </is>
      </c>
      <c r="C765" s="11" t="n">
        <v>46135</v>
      </c>
      <c r="D765" t="inlineStr">
        <is>
          <t>Feature Request</t>
        </is>
      </c>
      <c r="E765" t="inlineStr">
        <is>
          <t>Enterprise</t>
        </is>
      </c>
      <c r="F765" t="inlineStr">
        <is>
          <t>Enterprise</t>
        </is>
      </c>
      <c r="G765" t="inlineStr">
        <is>
          <t>Integrations</t>
        </is>
      </c>
      <c r="H765" t="inlineStr">
        <is>
          <t>Feature Request</t>
        </is>
      </c>
      <c r="I765" t="inlineStr">
        <is>
          <t>Not what we expected for the price. Requesting a native accounting integration to remove manual re-entry. So far 29 people on our side have reported it.</t>
        </is>
      </c>
      <c r="J765" t="inlineStr">
        <is>
          <t>Negative</t>
        </is>
      </c>
      <c r="K765" t="inlineStr">
        <is>
          <t>High</t>
        </is>
      </c>
      <c r="L765" t="inlineStr">
        <is>
          <t>Blocks Key Task</t>
        </is>
      </c>
      <c r="M765" t="inlineStr">
        <is>
          <t>int_native</t>
        </is>
      </c>
      <c r="N765" t="inlineStr">
        <is>
          <t>Native integrations</t>
        </is>
      </c>
      <c r="O765" t="inlineStr">
        <is>
          <t>2026-04</t>
        </is>
      </c>
    </row>
    <row r="766">
      <c r="A766" t="inlineStr">
        <is>
          <t>FB-00765</t>
        </is>
      </c>
      <c r="B766" t="inlineStr">
        <is>
          <t>CUST-0124</t>
        </is>
      </c>
      <c r="C766" s="11" t="n">
        <v>46136</v>
      </c>
      <c r="D766" t="inlineStr">
        <is>
          <t>In-App Feedback</t>
        </is>
      </c>
      <c r="E766" t="inlineStr">
        <is>
          <t>Starter</t>
        </is>
      </c>
      <c r="F766" t="inlineStr">
        <is>
          <t>SMB</t>
        </is>
      </c>
      <c r="G766" t="inlineStr">
        <is>
          <t>Workflow Automation</t>
        </is>
      </c>
      <c r="H766" t="inlineStr">
        <is>
          <t>Bug</t>
        </is>
      </c>
      <c r="I766" t="inlineStr">
        <is>
          <t>Our team keeps running into this. We are hitting automation misfires: emails don't send and nobody gets notified. Please look into it soon.</t>
        </is>
      </c>
      <c r="J766" t="inlineStr">
        <is>
          <t>Negative</t>
        </is>
      </c>
      <c r="K766" t="inlineStr">
        <is>
          <t>High</t>
        </is>
      </c>
      <c r="L766" t="inlineStr">
        <is>
          <t>Blocks Key Task</t>
        </is>
      </c>
      <c r="M766" t="inlineStr">
        <is>
          <t>wf_fail</t>
        </is>
      </c>
      <c r="N766" t="inlineStr">
        <is>
          <t>Workflows failing silently</t>
        </is>
      </c>
      <c r="O766" t="inlineStr">
        <is>
          <t>2026-04</t>
        </is>
      </c>
    </row>
    <row r="767">
      <c r="A767" t="inlineStr">
        <is>
          <t>FB-00766</t>
        </is>
      </c>
      <c r="B767" t="inlineStr">
        <is>
          <t>CUST-0153</t>
        </is>
      </c>
      <c r="C767" s="11" t="n">
        <v>46136</v>
      </c>
      <c r="D767" t="inlineStr">
        <is>
          <t>In-App Feedback</t>
        </is>
      </c>
      <c r="E767" t="inlineStr">
        <is>
          <t>Enterprise</t>
        </is>
      </c>
      <c r="F767" t="inlineStr">
        <is>
          <t>Enterprise</t>
        </is>
      </c>
      <c r="G767" t="inlineStr">
        <is>
          <t>Reporting</t>
        </is>
      </c>
      <c r="H767" t="inlineStr">
        <is>
          <t>Feature Request</t>
        </is>
      </c>
      <c r="I767" t="inlineStr">
        <is>
          <t>Please add scheduled report emails; today an analyst rebuilds the same report every week. So far 83 people on our side have reported it. Happy to beta test.</t>
        </is>
      </c>
      <c r="J767" t="inlineStr">
        <is>
          <t>Positive</t>
        </is>
      </c>
      <c r="K767" t="inlineStr">
        <is>
          <t>Low</t>
        </is>
      </c>
      <c r="L767" t="inlineStr">
        <is>
          <t>Minor Inconvenience</t>
        </is>
      </c>
      <c r="M767" t="inlineStr">
        <is>
          <t>rep_custom</t>
        </is>
      </c>
      <c r="N767" t="inlineStr">
        <is>
          <t>Custom and scheduled reports</t>
        </is>
      </c>
      <c r="O767" t="inlineStr">
        <is>
          <t>2026-04</t>
        </is>
      </c>
    </row>
    <row r="768">
      <c r="A768" t="inlineStr">
        <is>
          <t>FB-00767</t>
        </is>
      </c>
      <c r="B768" t="inlineStr">
        <is>
          <t>CUST-0048</t>
        </is>
      </c>
      <c r="C768" s="11" t="n">
        <v>46137</v>
      </c>
      <c r="D768" t="inlineStr">
        <is>
          <t>In-App Feedback</t>
        </is>
      </c>
      <c r="E768" t="inlineStr">
        <is>
          <t>Starter</t>
        </is>
      </c>
      <c r="F768" t="inlineStr">
        <is>
          <t>SMB</t>
        </is>
      </c>
      <c r="G768" t="inlineStr">
        <is>
          <t>Contact Management</t>
        </is>
      </c>
      <c r="H768" t="inlineStr">
        <is>
          <t>Performance Issue</t>
        </is>
      </c>
      <c r="I768" t="inlineStr">
        <is>
          <t>Our team keeps running into this. Our contact search is slow and often returns stale results right after an update. So far 26 people on our side have reported it. Please look into it soon.</t>
        </is>
      </c>
      <c r="J768" t="inlineStr">
        <is>
          <t>Negative</t>
        </is>
      </c>
      <c r="K768" t="inlineStr">
        <is>
          <t>High</t>
        </is>
      </c>
      <c r="L768" t="inlineStr">
        <is>
          <t>Blocks Key Task</t>
        </is>
      </c>
      <c r="M768" t="inlineStr">
        <is>
          <t>contact_search</t>
        </is>
      </c>
      <c r="N768" t="inlineStr">
        <is>
          <t>Slow contact search</t>
        </is>
      </c>
      <c r="O768" t="inlineStr">
        <is>
          <t>2026-04</t>
        </is>
      </c>
    </row>
    <row r="769">
      <c r="A769" t="inlineStr">
        <is>
          <t>FB-00768</t>
        </is>
      </c>
      <c r="B769" t="inlineStr">
        <is>
          <t>CUST-0378</t>
        </is>
      </c>
      <c r="C769" s="11" t="n">
        <v>46137</v>
      </c>
      <c r="D769" t="inlineStr">
        <is>
          <t>Customer Survey</t>
        </is>
      </c>
      <c r="E769" t="inlineStr">
        <is>
          <t>Starter</t>
        </is>
      </c>
      <c r="F769" t="inlineStr">
        <is>
          <t>SMB</t>
        </is>
      </c>
      <c r="G769" t="inlineStr">
        <is>
          <t>Workflow Automation</t>
        </is>
      </c>
      <c r="H769" t="inlineStr">
        <is>
          <t>Usability Issue</t>
        </is>
      </c>
      <c r="I769" t="inlineStr">
        <is>
          <t>Our new admins struggle with the workflow builder; there is no guidance or validation. So far 82 people on our side have reported it.</t>
        </is>
      </c>
      <c r="J769" t="inlineStr">
        <is>
          <t>Negative</t>
        </is>
      </c>
      <c r="K769" t="inlineStr">
        <is>
          <t>Medium</t>
        </is>
      </c>
      <c r="L769" t="inlineStr">
        <is>
          <t>Workflow Slowdown</t>
        </is>
      </c>
      <c r="M769" t="inlineStr">
        <is>
          <t>wf_builder</t>
        </is>
      </c>
      <c r="N769" t="inlineStr">
        <is>
          <t>Confusing workflow builder</t>
        </is>
      </c>
      <c r="O769" t="inlineStr">
        <is>
          <t>2026-04</t>
        </is>
      </c>
    </row>
    <row r="770">
      <c r="A770" t="inlineStr">
        <is>
          <t>FB-00769</t>
        </is>
      </c>
      <c r="B770" t="inlineStr">
        <is>
          <t>CUST-0277</t>
        </is>
      </c>
      <c r="C770" s="11" t="n">
        <v>46137</v>
      </c>
      <c r="D770" t="inlineStr">
        <is>
          <t>Feature Request</t>
        </is>
      </c>
      <c r="E770" t="inlineStr">
        <is>
          <t>Professional</t>
        </is>
      </c>
      <c r="F770" t="inlineStr">
        <is>
          <t>Mid-Market</t>
        </is>
      </c>
      <c r="G770" t="inlineStr">
        <is>
          <t>Lead Management</t>
        </is>
      </c>
      <c r="H770" t="inlineStr">
        <is>
          <t>Feature Request</t>
        </is>
      </c>
      <c r="I770" t="inlineStr">
        <is>
          <t>Overall we like the product. We need a lead score model so reps can focus on the prospects most likely to close.</t>
        </is>
      </c>
      <c r="J770" t="inlineStr">
        <is>
          <t>Positive</t>
        </is>
      </c>
      <c r="K770" t="inlineStr">
        <is>
          <t>Low</t>
        </is>
      </c>
      <c r="L770" t="inlineStr">
        <is>
          <t>Minor Inconvenience</t>
        </is>
      </c>
      <c r="M770" t="inlineStr">
        <is>
          <t>lead_score</t>
        </is>
      </c>
      <c r="N770" t="inlineStr">
        <is>
          <t>Automated lead scoring</t>
        </is>
      </c>
      <c r="O770" t="inlineStr">
        <is>
          <t>2026-04</t>
        </is>
      </c>
    </row>
    <row r="771">
      <c r="A771" t="inlineStr">
        <is>
          <t>FB-00770</t>
        </is>
      </c>
      <c r="B771" t="inlineStr">
        <is>
          <t>CUST-0315</t>
        </is>
      </c>
      <c r="C771" s="11" t="n">
        <v>46138</v>
      </c>
      <c r="D771" t="inlineStr">
        <is>
          <t>Customer Survey</t>
        </is>
      </c>
      <c r="E771" t="inlineStr">
        <is>
          <t>Professional</t>
        </is>
      </c>
      <c r="F771" t="inlineStr">
        <is>
          <t>SMB</t>
        </is>
      </c>
      <c r="G771" t="inlineStr">
        <is>
          <t>Workflow Automation</t>
        </is>
      </c>
      <c r="H771" t="inlineStr">
        <is>
          <t>Bug</t>
        </is>
      </c>
      <c r="I771" t="inlineStr">
        <is>
          <t>Several workflow runs failing silently left deals stuck in the wrong stage. It affects our weekly pipeline review process every cycle. Let us know if you need examples.</t>
        </is>
      </c>
      <c r="J771" t="inlineStr">
        <is>
          <t>Neutral</t>
        </is>
      </c>
      <c r="K771" t="inlineStr">
        <is>
          <t>High</t>
        </is>
      </c>
      <c r="L771" t="inlineStr">
        <is>
          <t>Blocks Key Task</t>
        </is>
      </c>
      <c r="M771" t="inlineStr">
        <is>
          <t>wf_fail</t>
        </is>
      </c>
      <c r="N771" t="inlineStr">
        <is>
          <t>Workflows failing silently</t>
        </is>
      </c>
      <c r="O771" t="inlineStr">
        <is>
          <t>2026-04</t>
        </is>
      </c>
    </row>
    <row r="772">
      <c r="A772" t="inlineStr">
        <is>
          <t>FB-00771</t>
        </is>
      </c>
      <c r="B772" t="inlineStr">
        <is>
          <t>CUST-0384</t>
        </is>
      </c>
      <c r="C772" s="11" t="n">
        <v>46138</v>
      </c>
      <c r="D772" t="inlineStr">
        <is>
          <t>Feature Request</t>
        </is>
      </c>
      <c r="E772" t="inlineStr">
        <is>
          <t>Enterprise</t>
        </is>
      </c>
      <c r="F772" t="inlineStr">
        <is>
          <t>Mid-Market</t>
        </is>
      </c>
      <c r="G772" t="inlineStr">
        <is>
          <t>Integrations</t>
        </is>
      </c>
      <c r="H772" t="inlineStr">
        <is>
          <t>Feature Request</t>
        </is>
      </c>
      <c r="I772" t="inlineStr">
        <is>
          <t>FYI for the product team. Requesting SSO support for our compliance audit. We estimate we lose roughly 16 hours a month on this.</t>
        </is>
      </c>
      <c r="J772" t="inlineStr">
        <is>
          <t>Neutral</t>
        </is>
      </c>
      <c r="K772" t="inlineStr">
        <is>
          <t>Low</t>
        </is>
      </c>
      <c r="L772" t="inlineStr">
        <is>
          <t>Workflow Slowdown</t>
        </is>
      </c>
      <c r="M772" t="inlineStr">
        <is>
          <t>int_sso</t>
        </is>
      </c>
      <c r="N772" t="inlineStr">
        <is>
          <t>SSO and provisioning</t>
        </is>
      </c>
      <c r="O772" t="inlineStr">
        <is>
          <t>2026-04</t>
        </is>
      </c>
    </row>
    <row r="773">
      <c r="A773" t="inlineStr">
        <is>
          <t>FB-00772</t>
        </is>
      </c>
      <c r="B773" t="inlineStr">
        <is>
          <t>CUST-0102</t>
        </is>
      </c>
      <c r="C773" s="11" t="n">
        <v>46138</v>
      </c>
      <c r="D773" t="inlineStr">
        <is>
          <t>Customer Survey</t>
        </is>
      </c>
      <c r="E773" t="inlineStr">
        <is>
          <t>Professional</t>
        </is>
      </c>
      <c r="F773" t="inlineStr">
        <is>
          <t>Mid-Market</t>
        </is>
      </c>
      <c r="G773" t="inlineStr">
        <is>
          <t>Lead Management</t>
        </is>
      </c>
      <c r="H773" t="inlineStr">
        <is>
          <t>Performance Issue</t>
        </is>
      </c>
      <c r="I773" t="inlineStr">
        <is>
          <t>Complaint about lead list loading: the board freezes while cards render. It affects our onboarding process every cycle.</t>
        </is>
      </c>
      <c r="J773" t="inlineStr">
        <is>
          <t>Negative</t>
        </is>
      </c>
      <c r="K773" t="inlineStr">
        <is>
          <t>Low</t>
        </is>
      </c>
      <c r="L773" t="inlineStr">
        <is>
          <t>Minor Inconvenience</t>
        </is>
      </c>
      <c r="M773" t="inlineStr">
        <is>
          <t>lead_slow</t>
        </is>
      </c>
      <c r="N773" t="inlineStr">
        <is>
          <t>Slow lead lists and pipeline board</t>
        </is>
      </c>
      <c r="O773" t="inlineStr">
        <is>
          <t>2026-04</t>
        </is>
      </c>
    </row>
    <row r="774">
      <c r="A774" t="inlineStr">
        <is>
          <t>FB-00773</t>
        </is>
      </c>
      <c r="B774" t="inlineStr">
        <is>
          <t>CUST-0096</t>
        </is>
      </c>
      <c r="C774" s="11" t="n">
        <v>46139</v>
      </c>
      <c r="D774" t="inlineStr">
        <is>
          <t>In-App Feedback</t>
        </is>
      </c>
      <c r="E774" t="inlineStr">
        <is>
          <t>Enterprise</t>
        </is>
      </c>
      <c r="F774" t="inlineStr">
        <is>
          <t>Enterprise</t>
        </is>
      </c>
      <c r="G774" t="inlineStr">
        <is>
          <t>Workflow Automation</t>
        </is>
      </c>
      <c r="H774" t="inlineStr">
        <is>
          <t>Feature Request</t>
        </is>
      </c>
      <c r="I774" t="inlineStr">
        <is>
          <t>Please provide workflow templates for common processes like onboarding and renewals. We estimate we lose roughly 43 hours a month on this. Let us know if you need examples.</t>
        </is>
      </c>
      <c r="J774" t="inlineStr">
        <is>
          <t>Neutral</t>
        </is>
      </c>
      <c r="K774" t="inlineStr">
        <is>
          <t>Low</t>
        </is>
      </c>
      <c r="L774" t="inlineStr">
        <is>
          <t>Workflow Slowdown</t>
        </is>
      </c>
      <c r="M774" t="inlineStr">
        <is>
          <t>wf_templates</t>
        </is>
      </c>
      <c r="N774" t="inlineStr">
        <is>
          <t>Workflow templates</t>
        </is>
      </c>
      <c r="O774" t="inlineStr">
        <is>
          <t>2026-04</t>
        </is>
      </c>
    </row>
    <row r="775">
      <c r="A775" t="inlineStr">
        <is>
          <t>FB-00774</t>
        </is>
      </c>
      <c r="B775" t="inlineStr">
        <is>
          <t>CUST-0268</t>
        </is>
      </c>
      <c r="C775" s="11" t="n">
        <v>46139</v>
      </c>
      <c r="D775" t="inlineStr">
        <is>
          <t>In-App Feedback</t>
        </is>
      </c>
      <c r="E775" t="inlineStr">
        <is>
          <t>Professional</t>
        </is>
      </c>
      <c r="F775" t="inlineStr">
        <is>
          <t>Enterprise</t>
        </is>
      </c>
      <c r="G775" t="inlineStr">
        <is>
          <t>Integrations</t>
        </is>
      </c>
      <c r="H775" t="inlineStr">
        <is>
          <t>Integration Issue</t>
        </is>
      </c>
      <c r="I775" t="inlineStr">
        <is>
          <t>After the token expires, Outlook calendar sync stops with no warning. Our finance analyst flagged it while onboarding 77 new users.</t>
        </is>
      </c>
      <c r="J775" t="inlineStr">
        <is>
          <t>Neutral</t>
        </is>
      </c>
      <c r="K775" t="inlineStr">
        <is>
          <t>Low</t>
        </is>
      </c>
      <c r="L775" t="inlineStr">
        <is>
          <t>Minor Inconvenience</t>
        </is>
      </c>
      <c r="M775" t="inlineStr">
        <is>
          <t>int_email</t>
        </is>
      </c>
      <c r="N775" t="inlineStr">
        <is>
          <t>Email and calendar sync drops</t>
        </is>
      </c>
      <c r="O775" t="inlineStr">
        <is>
          <t>2026-04</t>
        </is>
      </c>
    </row>
    <row r="776">
      <c r="A776" t="inlineStr">
        <is>
          <t>FB-00775</t>
        </is>
      </c>
      <c r="B776" t="inlineStr">
        <is>
          <t>CUST-0165</t>
        </is>
      </c>
      <c r="C776" s="11" t="n">
        <v>46139</v>
      </c>
      <c r="D776" t="inlineStr">
        <is>
          <t>In-App Feedback</t>
        </is>
      </c>
      <c r="E776" t="inlineStr">
        <is>
          <t>Enterprise</t>
        </is>
      </c>
      <c r="F776" t="inlineStr">
        <is>
          <t>Mid-Market</t>
        </is>
      </c>
      <c r="G776" t="inlineStr">
        <is>
          <t>Integrations</t>
        </is>
      </c>
      <c r="H776" t="inlineStr">
        <is>
          <t>Feature Request</t>
        </is>
      </c>
      <c r="I776" t="inlineStr">
        <is>
          <t>Requesting a marketing automation connector to remove manual re-entry. We estimate we lose roughly 47 hours a month on this. Happy to join a feedback call.</t>
        </is>
      </c>
      <c r="J776" t="inlineStr">
        <is>
          <t>Neutral</t>
        </is>
      </c>
      <c r="K776" t="inlineStr">
        <is>
          <t>Low</t>
        </is>
      </c>
      <c r="L776" t="inlineStr">
        <is>
          <t>Minor Inconvenience</t>
        </is>
      </c>
      <c r="M776" t="inlineStr">
        <is>
          <t>int_native</t>
        </is>
      </c>
      <c r="N776" t="inlineStr">
        <is>
          <t>Native integrations</t>
        </is>
      </c>
      <c r="O776" t="inlineStr">
        <is>
          <t>2026-04</t>
        </is>
      </c>
    </row>
    <row r="777">
      <c r="A777" t="inlineStr">
        <is>
          <t>FB-00776</t>
        </is>
      </c>
      <c r="B777" t="inlineStr">
        <is>
          <t>CUST-0376</t>
        </is>
      </c>
      <c r="C777" s="11" t="n">
        <v>46139</v>
      </c>
      <c r="D777" t="inlineStr">
        <is>
          <t>Support Ticket</t>
        </is>
      </c>
      <c r="E777" t="inlineStr">
        <is>
          <t>Professional</t>
        </is>
      </c>
      <c r="F777" t="inlineStr">
        <is>
          <t>Enterprise</t>
        </is>
      </c>
      <c r="G777" t="inlineStr">
        <is>
          <t>Lead Management</t>
        </is>
      </c>
      <c r="H777" t="inlineStr">
        <is>
          <t>Performance Issue</t>
        </is>
      </c>
      <c r="I777" t="inlineStr">
        <is>
          <t>The lead view load times gets very slow once we pass a few thousand open leads. Our RevOps lead flagged it while onboarding 37 new users. Please look into it soon.</t>
        </is>
      </c>
      <c r="J777" t="inlineStr">
        <is>
          <t>Negative</t>
        </is>
      </c>
      <c r="K777" t="inlineStr">
        <is>
          <t>Medium</t>
        </is>
      </c>
      <c r="L777" t="inlineStr">
        <is>
          <t>Workflow Slowdown</t>
        </is>
      </c>
      <c r="M777" t="inlineStr">
        <is>
          <t>lead_slow</t>
        </is>
      </c>
      <c r="N777" t="inlineStr">
        <is>
          <t>Slow lead lists and pipeline board</t>
        </is>
      </c>
      <c r="O777" t="inlineStr">
        <is>
          <t>2026-04</t>
        </is>
      </c>
    </row>
    <row r="778">
      <c r="A778" t="inlineStr">
        <is>
          <t>FB-00777</t>
        </is>
      </c>
      <c r="B778" t="inlineStr">
        <is>
          <t>CUST-0251</t>
        </is>
      </c>
      <c r="C778" s="11" t="n">
        <v>46139</v>
      </c>
      <c r="D778" t="inlineStr">
        <is>
          <t>Customer Survey</t>
        </is>
      </c>
      <c r="E778" t="inlineStr">
        <is>
          <t>Professional</t>
        </is>
      </c>
      <c r="F778" t="inlineStr">
        <is>
          <t>Mid-Market</t>
        </is>
      </c>
      <c r="G778" t="inlineStr">
        <is>
          <t>Reporting</t>
        </is>
      </c>
      <c r="H778" t="inlineStr">
        <is>
          <t>Feature Request</t>
        </is>
      </c>
      <c r="I778" t="inlineStr">
        <is>
          <t>Recent updates have been a nice improvement. Requesting scheduled report emails so leadership gets numbers without logging in. Our sales manager flagged it while onboarding 56 new users.</t>
        </is>
      </c>
      <c r="J778" t="inlineStr">
        <is>
          <t>Positive</t>
        </is>
      </c>
      <c r="K778" t="inlineStr">
        <is>
          <t>Medium</t>
        </is>
      </c>
      <c r="L778" t="inlineStr">
        <is>
          <t>Blocks Key Task</t>
        </is>
      </c>
      <c r="M778" t="inlineStr">
        <is>
          <t>rep_custom</t>
        </is>
      </c>
      <c r="N778" t="inlineStr">
        <is>
          <t>Custom and scheduled reports</t>
        </is>
      </c>
      <c r="O778" t="inlineStr">
        <is>
          <t>2026-04</t>
        </is>
      </c>
    </row>
    <row r="779">
      <c r="A779" t="inlineStr">
        <is>
          <t>FB-00778</t>
        </is>
      </c>
      <c r="B779" t="inlineStr">
        <is>
          <t>CUST-0229</t>
        </is>
      </c>
      <c r="C779" s="11" t="n">
        <v>46139</v>
      </c>
      <c r="D779" t="inlineStr">
        <is>
          <t>In-App Feedback</t>
        </is>
      </c>
      <c r="E779" t="inlineStr">
        <is>
          <t>Starter</t>
        </is>
      </c>
      <c r="F779" t="inlineStr">
        <is>
          <t>Mid-Market</t>
        </is>
      </c>
      <c r="G779" t="inlineStr">
        <is>
          <t>Contact Management</t>
        </is>
      </c>
      <c r="H779" t="inlineStr">
        <is>
          <t>Bug</t>
        </is>
      </c>
      <c r="I779" t="inlineStr">
        <is>
          <t>Our spreadsheet import scrambles phone and email columns even after we map them correctly. It affects our quarterly planning process every cycle.</t>
        </is>
      </c>
      <c r="J779" t="inlineStr">
        <is>
          <t>Neutral</t>
        </is>
      </c>
      <c r="K779" t="inlineStr">
        <is>
          <t>Critical</t>
        </is>
      </c>
      <c r="L779" t="inlineStr">
        <is>
          <t>Revenue/Operations Risk</t>
        </is>
      </c>
      <c r="M779" t="inlineStr">
        <is>
          <t>contact_import</t>
        </is>
      </c>
      <c r="N779" t="inlineStr">
        <is>
          <t>Unreliable contact imports</t>
        </is>
      </c>
      <c r="O779" t="inlineStr">
        <is>
          <t>2026-04</t>
        </is>
      </c>
    </row>
    <row r="780">
      <c r="A780" t="inlineStr">
        <is>
          <t>FB-00779</t>
        </is>
      </c>
      <c r="B780" t="inlineStr">
        <is>
          <t>CUST-0284</t>
        </is>
      </c>
      <c r="C780" s="11" t="n">
        <v>46140</v>
      </c>
      <c r="D780" t="inlineStr">
        <is>
          <t>Feature Request</t>
        </is>
      </c>
      <c r="E780" t="inlineStr">
        <is>
          <t>Enterprise</t>
        </is>
      </c>
      <c r="F780" t="inlineStr">
        <is>
          <t>Enterprise</t>
        </is>
      </c>
      <c r="G780" t="inlineStr">
        <is>
          <t>Workflow Automation</t>
        </is>
      </c>
      <c r="H780" t="inlineStr">
        <is>
          <t>Feature Request</t>
        </is>
      </c>
      <c r="I780" t="inlineStr">
        <is>
          <t>Recent updates have been a nice improvement. Adding multi-level approvals is a blocker for our finance team. It happens about 17 times a week for our team of 97.</t>
        </is>
      </c>
      <c r="J780" t="inlineStr">
        <is>
          <t>Positive</t>
        </is>
      </c>
      <c r="K780" t="inlineStr">
        <is>
          <t>Low</t>
        </is>
      </c>
      <c r="L780" t="inlineStr">
        <is>
          <t>Blocks Key Task</t>
        </is>
      </c>
      <c r="M780" t="inlineStr">
        <is>
          <t>wf_approval</t>
        </is>
      </c>
      <c r="N780" t="inlineStr">
        <is>
          <t>Approval steps in workflows</t>
        </is>
      </c>
      <c r="O780" t="inlineStr">
        <is>
          <t>2026-04</t>
        </is>
      </c>
    </row>
    <row r="781">
      <c r="A781" t="inlineStr">
        <is>
          <t>FB-00780</t>
        </is>
      </c>
      <c r="B781" t="inlineStr">
        <is>
          <t>CUST-0069</t>
        </is>
      </c>
      <c r="C781" s="11" t="n">
        <v>46140</v>
      </c>
      <c r="D781" t="inlineStr">
        <is>
          <t>Customer Survey</t>
        </is>
      </c>
      <c r="E781" t="inlineStr">
        <is>
          <t>Starter</t>
        </is>
      </c>
      <c r="F781" t="inlineStr">
        <is>
          <t>Mid-Market</t>
        </is>
      </c>
      <c r="G781" t="inlineStr">
        <is>
          <t>Contact Management</t>
        </is>
      </c>
      <c r="H781" t="inlineStr">
        <is>
          <t>Feature Request</t>
        </is>
      </c>
      <c r="I781" t="inlineStr">
        <is>
          <t>Please extend custom contact fields; the current limit is too small for our use case. It affects our month-end reporting process every cycle. Let us know if you need examples.</t>
        </is>
      </c>
      <c r="J781" t="inlineStr">
        <is>
          <t>Neutral</t>
        </is>
      </c>
      <c r="K781" t="inlineStr">
        <is>
          <t>Medium</t>
        </is>
      </c>
      <c r="L781" t="inlineStr">
        <is>
          <t>Workflow Slowdown</t>
        </is>
      </c>
      <c r="M781" t="inlineStr">
        <is>
          <t>contact_custom</t>
        </is>
      </c>
      <c r="N781" t="inlineStr">
        <is>
          <t>Custom fields and hierarchy</t>
        </is>
      </c>
      <c r="O781" t="inlineStr">
        <is>
          <t>2026-04</t>
        </is>
      </c>
    </row>
    <row r="782">
      <c r="A782" t="inlineStr">
        <is>
          <t>FB-00781</t>
        </is>
      </c>
      <c r="B782" t="inlineStr">
        <is>
          <t>CUST-0175</t>
        </is>
      </c>
      <c r="C782" s="11" t="n">
        <v>46140</v>
      </c>
      <c r="D782" t="inlineStr">
        <is>
          <t>In-App Feedback</t>
        </is>
      </c>
      <c r="E782" t="inlineStr">
        <is>
          <t>Professional</t>
        </is>
      </c>
      <c r="F782" t="inlineStr">
        <is>
          <t>Mid-Market</t>
        </is>
      </c>
      <c r="G782" t="inlineStr">
        <is>
          <t>Integrations</t>
        </is>
      </c>
      <c r="H782" t="inlineStr">
        <is>
          <t>Integration Issue</t>
        </is>
      </c>
      <c r="I782" t="inlineStr">
        <is>
          <t>Not what we expected for the price. After the token expires, Outlook calendar sync stops with no warning. We need a fix before renewal.</t>
        </is>
      </c>
      <c r="J782" t="inlineStr">
        <is>
          <t>Negative</t>
        </is>
      </c>
      <c r="K782" t="inlineStr">
        <is>
          <t>Medium</t>
        </is>
      </c>
      <c r="L782" t="inlineStr">
        <is>
          <t>Minor Inconvenience</t>
        </is>
      </c>
      <c r="M782" t="inlineStr">
        <is>
          <t>int_email</t>
        </is>
      </c>
      <c r="N782" t="inlineStr">
        <is>
          <t>Email and calendar sync drops</t>
        </is>
      </c>
      <c r="O782" t="inlineStr">
        <is>
          <t>2026-04</t>
        </is>
      </c>
    </row>
    <row r="783">
      <c r="A783" t="inlineStr">
        <is>
          <t>FB-00782</t>
        </is>
      </c>
      <c r="B783" t="inlineStr">
        <is>
          <t>CUST-0146</t>
        </is>
      </c>
      <c r="C783" s="11" t="n">
        <v>46140</v>
      </c>
      <c r="D783" t="inlineStr">
        <is>
          <t>Support Ticket</t>
        </is>
      </c>
      <c r="E783" t="inlineStr">
        <is>
          <t>Starter</t>
        </is>
      </c>
      <c r="F783" t="inlineStr">
        <is>
          <t>SMB</t>
        </is>
      </c>
      <c r="G783" t="inlineStr">
        <is>
          <t>Lead Management</t>
        </is>
      </c>
      <c r="H783" t="inlineStr">
        <is>
          <t>Feature Request</t>
        </is>
      </c>
      <c r="I783" t="inlineStr">
        <is>
          <t>Would love to see lead scoring rules that marketing and sales can both tune. Our marketing ops owner flagged it while onboarding 105 new users. Happy to join a feedback call.</t>
        </is>
      </c>
      <c r="J783" t="inlineStr">
        <is>
          <t>Neutral</t>
        </is>
      </c>
      <c r="K783" t="inlineStr">
        <is>
          <t>Low</t>
        </is>
      </c>
      <c r="L783" t="inlineStr">
        <is>
          <t>Minor Inconvenience</t>
        </is>
      </c>
      <c r="M783" t="inlineStr">
        <is>
          <t>lead_score</t>
        </is>
      </c>
      <c r="N783" t="inlineStr">
        <is>
          <t>Automated lead scoring</t>
        </is>
      </c>
      <c r="O783" t="inlineStr">
        <is>
          <t>2026-04</t>
        </is>
      </c>
    </row>
    <row r="784">
      <c r="A784" t="inlineStr">
        <is>
          <t>FB-00783</t>
        </is>
      </c>
      <c r="B784" t="inlineStr">
        <is>
          <t>CUST-0017</t>
        </is>
      </c>
      <c r="C784" s="11" t="n">
        <v>46140</v>
      </c>
      <c r="D784" t="inlineStr">
        <is>
          <t>Feature Request</t>
        </is>
      </c>
      <c r="E784" t="inlineStr">
        <is>
          <t>Starter</t>
        </is>
      </c>
      <c r="F784" t="inlineStr">
        <is>
          <t>Mid-Market</t>
        </is>
      </c>
      <c r="G784" t="inlineStr">
        <is>
          <t>Lead Management</t>
        </is>
      </c>
      <c r="H784" t="inlineStr">
        <is>
          <t>Feature Request</t>
        </is>
      </c>
      <c r="I784" t="inlineStr">
        <is>
          <t>Right now reps rank leads by gut feel; lead scoring rules would fix that. Let us know if you need examples.</t>
        </is>
      </c>
      <c r="J784" t="inlineStr">
        <is>
          <t>Neutral</t>
        </is>
      </c>
      <c r="K784" t="inlineStr">
        <is>
          <t>Low</t>
        </is>
      </c>
      <c r="L784" t="inlineStr">
        <is>
          <t>Minor Inconvenience</t>
        </is>
      </c>
      <c r="M784" t="inlineStr">
        <is>
          <t>lead_score</t>
        </is>
      </c>
      <c r="N784" t="inlineStr">
        <is>
          <t>Automated lead scoring</t>
        </is>
      </c>
      <c r="O784" t="inlineStr">
        <is>
          <t>2026-04</t>
        </is>
      </c>
    </row>
    <row r="785">
      <c r="A785" t="inlineStr">
        <is>
          <t>FB-00784</t>
        </is>
      </c>
      <c r="B785" t="inlineStr">
        <is>
          <t>CUST-0133</t>
        </is>
      </c>
      <c r="C785" s="11" t="n">
        <v>46141</v>
      </c>
      <c r="D785" t="inlineStr">
        <is>
          <t>Customer Survey</t>
        </is>
      </c>
      <c r="E785" t="inlineStr">
        <is>
          <t>Professional</t>
        </is>
      </c>
      <c r="F785" t="inlineStr">
        <is>
          <t>Mid-Market</t>
        </is>
      </c>
      <c r="G785" t="inlineStr">
        <is>
          <t>Workflow Automation</t>
        </is>
      </c>
      <c r="H785" t="inlineStr">
        <is>
          <t>Usability Issue</t>
        </is>
      </c>
      <c r="I785" t="inlineStr">
        <is>
          <t>Feedback from our monthly review. Our new admins struggle with the workflow builder; there is no guidance or validation. It happens about 14 times a week for our team of 64. Happy to join a feedback call.</t>
        </is>
      </c>
      <c r="J785" t="inlineStr">
        <is>
          <t>Neutral</t>
        </is>
      </c>
      <c r="K785" t="inlineStr">
        <is>
          <t>Low</t>
        </is>
      </c>
      <c r="L785" t="inlineStr">
        <is>
          <t>Workflow Slowdown</t>
        </is>
      </c>
      <c r="M785" t="inlineStr">
        <is>
          <t>wf_builder</t>
        </is>
      </c>
      <c r="N785" t="inlineStr">
        <is>
          <t>Confusing workflow builder</t>
        </is>
      </c>
      <c r="O785" t="inlineStr">
        <is>
          <t>2026-04</t>
        </is>
      </c>
    </row>
    <row r="786">
      <c r="A786" t="inlineStr">
        <is>
          <t>FB-00785</t>
        </is>
      </c>
      <c r="B786" t="inlineStr">
        <is>
          <t>CUST-0062</t>
        </is>
      </c>
      <c r="C786" s="11" t="n">
        <v>46141</v>
      </c>
      <c r="D786" t="inlineStr">
        <is>
          <t>In-App Feedback</t>
        </is>
      </c>
      <c r="E786" t="inlineStr">
        <is>
          <t>Professional</t>
        </is>
      </c>
      <c r="F786" t="inlineStr">
        <is>
          <t>Mid-Market</t>
        </is>
      </c>
      <c r="G786" t="inlineStr">
        <is>
          <t>Lead Management</t>
        </is>
      </c>
      <c r="H786" t="inlineStr">
        <is>
          <t>Performance Issue</t>
        </is>
      </c>
      <c r="I786" t="inlineStr">
        <is>
          <t>Noting this during onboarding. Complaint about lead list loading: the board freezes while cards render. So far 49 people on our side have reported it.</t>
        </is>
      </c>
      <c r="J786" t="inlineStr">
        <is>
          <t>Neutral</t>
        </is>
      </c>
      <c r="K786" t="inlineStr">
        <is>
          <t>High</t>
        </is>
      </c>
      <c r="L786" t="inlineStr">
        <is>
          <t>Revenue/Operations Risk</t>
        </is>
      </c>
      <c r="M786" t="inlineStr">
        <is>
          <t>lead_slow</t>
        </is>
      </c>
      <c r="N786" t="inlineStr">
        <is>
          <t>Slow lead lists and pipeline board</t>
        </is>
      </c>
      <c r="O786" t="inlineStr">
        <is>
          <t>2026-04</t>
        </is>
      </c>
    </row>
    <row r="787">
      <c r="A787" t="inlineStr">
        <is>
          <t>FB-00786</t>
        </is>
      </c>
      <c r="B787" t="inlineStr">
        <is>
          <t>CUST-0399</t>
        </is>
      </c>
      <c r="C787" s="11" t="n">
        <v>46141</v>
      </c>
      <c r="D787" t="inlineStr">
        <is>
          <t>Support Ticket</t>
        </is>
      </c>
      <c r="E787" t="inlineStr">
        <is>
          <t>Enterprise</t>
        </is>
      </c>
      <c r="F787" t="inlineStr">
        <is>
          <t>Enterprise</t>
        </is>
      </c>
      <c r="G787" t="inlineStr">
        <is>
          <t>Integrations</t>
        </is>
      </c>
      <c r="H787" t="inlineStr">
        <is>
          <t>Integration Issue</t>
        </is>
      </c>
      <c r="I787" t="inlineStr">
        <is>
          <t>Overall we like the product. Reps no longer trust email sync, so they log activity by hand. It happens about 23 times a week for our team of 37. Keep up the good work.</t>
        </is>
      </c>
      <c r="J787" t="inlineStr">
        <is>
          <t>Positive</t>
        </is>
      </c>
      <c r="K787" t="inlineStr">
        <is>
          <t>Medium</t>
        </is>
      </c>
      <c r="L787" t="inlineStr">
        <is>
          <t>Minor Inconvenience</t>
        </is>
      </c>
      <c r="M787" t="inlineStr">
        <is>
          <t>int_email</t>
        </is>
      </c>
      <c r="N787" t="inlineStr">
        <is>
          <t>Email and calendar sync drops</t>
        </is>
      </c>
      <c r="O787" t="inlineStr">
        <is>
          <t>2026-04</t>
        </is>
      </c>
    </row>
    <row r="788">
      <c r="A788" t="inlineStr">
        <is>
          <t>FB-00787</t>
        </is>
      </c>
      <c r="B788" t="inlineStr">
        <is>
          <t>CUST-0066</t>
        </is>
      </c>
      <c r="C788" s="11" t="n">
        <v>46141</v>
      </c>
      <c r="D788" t="inlineStr">
        <is>
          <t>In-App Feedback</t>
        </is>
      </c>
      <c r="E788" t="inlineStr">
        <is>
          <t>Starter</t>
        </is>
      </c>
      <c r="F788" t="inlineStr">
        <is>
          <t>SMB</t>
        </is>
      </c>
      <c r="G788" t="inlineStr">
        <is>
          <t>Workflow Automation</t>
        </is>
      </c>
      <c r="H788" t="inlineStr">
        <is>
          <t>Usability Issue</t>
        </is>
      </c>
      <c r="I788" t="inlineStr">
        <is>
          <t>Our team keeps running into this. Our new admins struggle with the workflow editor; there is no guidance or validation. Our customer success lead flagged it while onboarding 117 new users. Please look into it soon.</t>
        </is>
      </c>
      <c r="J788" t="inlineStr">
        <is>
          <t>Negative</t>
        </is>
      </c>
      <c r="K788" t="inlineStr">
        <is>
          <t>High</t>
        </is>
      </c>
      <c r="L788" t="inlineStr">
        <is>
          <t>Workflow Slowdown</t>
        </is>
      </c>
      <c r="M788" t="inlineStr">
        <is>
          <t>wf_builder</t>
        </is>
      </c>
      <c r="N788" t="inlineStr">
        <is>
          <t>Confusing workflow builder</t>
        </is>
      </c>
      <c r="O788" t="inlineStr">
        <is>
          <t>2026-04</t>
        </is>
      </c>
    </row>
    <row r="789">
      <c r="A789" t="inlineStr">
        <is>
          <t>FB-00788</t>
        </is>
      </c>
      <c r="B789" t="inlineStr">
        <is>
          <t>CUST-0314</t>
        </is>
      </c>
      <c r="C789" s="11" t="n">
        <v>46141</v>
      </c>
      <c r="D789" t="inlineStr">
        <is>
          <t>Customer Survey</t>
        </is>
      </c>
      <c r="E789" t="inlineStr">
        <is>
          <t>Enterprise</t>
        </is>
      </c>
      <c r="F789" t="inlineStr">
        <is>
          <t>Mid-Market</t>
        </is>
      </c>
      <c r="G789" t="inlineStr">
        <is>
          <t>Integrations</t>
        </is>
      </c>
      <c r="H789" t="inlineStr">
        <is>
          <t>Feature Request</t>
        </is>
      </c>
      <c r="I789" t="inlineStr">
        <is>
          <t>Quick note from our admin. Requesting SSO support for our compliance audit. So far 29 people on our side have reported it. Let us know if you need examples.</t>
        </is>
      </c>
      <c r="J789" t="inlineStr">
        <is>
          <t>Neutral</t>
        </is>
      </c>
      <c r="K789" t="inlineStr">
        <is>
          <t>Medium</t>
        </is>
      </c>
      <c r="L789" t="inlineStr">
        <is>
          <t>Workflow Slowdown</t>
        </is>
      </c>
      <c r="M789" t="inlineStr">
        <is>
          <t>int_sso</t>
        </is>
      </c>
      <c r="N789" t="inlineStr">
        <is>
          <t>SSO and provisioning</t>
        </is>
      </c>
      <c r="O789" t="inlineStr">
        <is>
          <t>2026-04</t>
        </is>
      </c>
    </row>
    <row r="790">
      <c r="A790" t="inlineStr">
        <is>
          <t>FB-00789</t>
        </is>
      </c>
      <c r="B790" t="inlineStr">
        <is>
          <t>CUST-0197</t>
        </is>
      </c>
      <c r="C790" s="11" t="n">
        <v>46142</v>
      </c>
      <c r="D790" t="inlineStr">
        <is>
          <t>Support Ticket</t>
        </is>
      </c>
      <c r="E790" t="inlineStr">
        <is>
          <t>Professional</t>
        </is>
      </c>
      <c r="F790" t="inlineStr">
        <is>
          <t>Mid-Market</t>
        </is>
      </c>
      <c r="G790" t="inlineStr">
        <is>
          <t>Contact Management</t>
        </is>
      </c>
      <c r="H790" t="inlineStr">
        <is>
          <t>Feature Request</t>
        </is>
      </c>
      <c r="I790" t="inlineStr">
        <is>
          <t>FYI for the product team. We need a bulk contact merge because our database has years of overlapping records. So far 9 people on our side have reported it.</t>
        </is>
      </c>
      <c r="J790" t="inlineStr">
        <is>
          <t>Neutral</t>
        </is>
      </c>
      <c r="K790" t="inlineStr">
        <is>
          <t>High</t>
        </is>
      </c>
      <c r="L790" t="inlineStr">
        <is>
          <t>Blocks Key Task</t>
        </is>
      </c>
      <c r="M790" t="inlineStr">
        <is>
          <t>contact_dedupe</t>
        </is>
      </c>
      <c r="N790" t="inlineStr">
        <is>
          <t>Bulk contact merge</t>
        </is>
      </c>
      <c r="O790" t="inlineStr">
        <is>
          <t>2026-04</t>
        </is>
      </c>
    </row>
    <row r="791">
      <c r="A791" t="inlineStr">
        <is>
          <t>FB-00790</t>
        </is>
      </c>
      <c r="B791" t="inlineStr">
        <is>
          <t>CUST-0032</t>
        </is>
      </c>
      <c r="C791" s="11" t="n">
        <v>46142</v>
      </c>
      <c r="D791" t="inlineStr">
        <is>
          <t>Customer Survey</t>
        </is>
      </c>
      <c r="E791" t="inlineStr">
        <is>
          <t>Starter</t>
        </is>
      </c>
      <c r="F791" t="inlineStr">
        <is>
          <t>SMB</t>
        </is>
      </c>
      <c r="G791" t="inlineStr">
        <is>
          <t>Integrations</t>
        </is>
      </c>
      <c r="H791" t="inlineStr">
        <is>
          <t>Feature Request</t>
        </is>
      </c>
      <c r="I791" t="inlineStr">
        <is>
          <t>Please build a native Slack integration; our team copies data across systems daily.</t>
        </is>
      </c>
      <c r="J791" t="inlineStr">
        <is>
          <t>Positive</t>
        </is>
      </c>
      <c r="K791" t="inlineStr">
        <is>
          <t>Medium</t>
        </is>
      </c>
      <c r="L791" t="inlineStr">
        <is>
          <t>Workflow Slowdown</t>
        </is>
      </c>
      <c r="M791" t="inlineStr">
        <is>
          <t>int_native</t>
        </is>
      </c>
      <c r="N791" t="inlineStr">
        <is>
          <t>Native integrations</t>
        </is>
      </c>
      <c r="O791" t="inlineStr">
        <is>
          <t>2026-04</t>
        </is>
      </c>
    </row>
    <row r="792">
      <c r="A792" t="inlineStr">
        <is>
          <t>FB-00791</t>
        </is>
      </c>
      <c r="B792" t="inlineStr">
        <is>
          <t>CUST-0165</t>
        </is>
      </c>
      <c r="C792" s="11" t="n">
        <v>46143</v>
      </c>
      <c r="D792" t="inlineStr">
        <is>
          <t>Customer Survey</t>
        </is>
      </c>
      <c r="E792" t="inlineStr">
        <is>
          <t>Enterprise</t>
        </is>
      </c>
      <c r="F792" t="inlineStr">
        <is>
          <t>Mid-Market</t>
        </is>
      </c>
      <c r="G792" t="inlineStr">
        <is>
          <t>Integrations</t>
        </is>
      </c>
      <c r="H792" t="inlineStr">
        <is>
          <t>Feature Request</t>
        </is>
      </c>
      <c r="I792" t="inlineStr">
        <is>
          <t>Requesting SAML login for our compliance audit. It affects our month-end reporting process every cycle.</t>
        </is>
      </c>
      <c r="J792" t="inlineStr">
        <is>
          <t>Positive</t>
        </is>
      </c>
      <c r="K792" t="inlineStr">
        <is>
          <t>Low</t>
        </is>
      </c>
      <c r="L792" t="inlineStr">
        <is>
          <t>Minor Inconvenience</t>
        </is>
      </c>
      <c r="M792" t="inlineStr">
        <is>
          <t>int_sso</t>
        </is>
      </c>
      <c r="N792" t="inlineStr">
        <is>
          <t>SSO and provisioning</t>
        </is>
      </c>
      <c r="O792" t="inlineStr">
        <is>
          <t>2026-05</t>
        </is>
      </c>
    </row>
    <row r="793">
      <c r="A793" t="inlineStr">
        <is>
          <t>FB-00792</t>
        </is>
      </c>
      <c r="B793" t="inlineStr">
        <is>
          <t>CUST-0082</t>
        </is>
      </c>
      <c r="C793" s="11" t="n">
        <v>46143</v>
      </c>
      <c r="D793" t="inlineStr">
        <is>
          <t>Support Ticket</t>
        </is>
      </c>
      <c r="E793" t="inlineStr">
        <is>
          <t>Starter</t>
        </is>
      </c>
      <c r="F793" t="inlineStr">
        <is>
          <t>SMB</t>
        </is>
      </c>
      <c r="G793" t="inlineStr">
        <is>
          <t>Contact Management</t>
        </is>
      </c>
      <c r="H793" t="inlineStr">
        <is>
          <t>Bug</t>
        </is>
      </c>
      <c r="I793" t="inlineStr">
        <is>
          <t>Not what we expected for the price. The spreadsheet import rejects files with accented characters in names. We need a fix before renewal.</t>
        </is>
      </c>
      <c r="J793" t="inlineStr">
        <is>
          <t>Negative</t>
        </is>
      </c>
      <c r="K793" t="inlineStr">
        <is>
          <t>Medium</t>
        </is>
      </c>
      <c r="L793" t="inlineStr">
        <is>
          <t>Minor Inconvenience</t>
        </is>
      </c>
      <c r="M793" t="inlineStr">
        <is>
          <t>contact_import</t>
        </is>
      </c>
      <c r="N793" t="inlineStr">
        <is>
          <t>Unreliable contact imports</t>
        </is>
      </c>
      <c r="O793" t="inlineStr">
        <is>
          <t>2026-05</t>
        </is>
      </c>
    </row>
    <row r="794">
      <c r="A794" t="inlineStr">
        <is>
          <t>FB-00793</t>
        </is>
      </c>
      <c r="B794" t="inlineStr">
        <is>
          <t>CUST-0248</t>
        </is>
      </c>
      <c r="C794" s="11" t="n">
        <v>46144</v>
      </c>
      <c r="D794" t="inlineStr">
        <is>
          <t>Customer Survey</t>
        </is>
      </c>
      <c r="E794" t="inlineStr">
        <is>
          <t>Starter</t>
        </is>
      </c>
      <c r="F794" t="inlineStr">
        <is>
          <t>SMB</t>
        </is>
      </c>
      <c r="G794" t="inlineStr">
        <is>
          <t>Lead Management</t>
        </is>
      </c>
      <c r="H794" t="inlineStr">
        <is>
          <t>Performance Issue</t>
        </is>
      </c>
      <c r="I794" t="inlineStr">
        <is>
          <t>Raising this again after our last business review. Reps have stopped using the board because of lead view load times. It affects our month-end reporting process every cycle. Is there a workaround?</t>
        </is>
      </c>
      <c r="J794" t="inlineStr">
        <is>
          <t>Negative</t>
        </is>
      </c>
      <c r="K794" t="inlineStr">
        <is>
          <t>Low</t>
        </is>
      </c>
      <c r="L794" t="inlineStr">
        <is>
          <t>Minor Inconvenience</t>
        </is>
      </c>
      <c r="M794" t="inlineStr">
        <is>
          <t>lead_slow</t>
        </is>
      </c>
      <c r="N794" t="inlineStr">
        <is>
          <t>Slow lead lists and pipeline board</t>
        </is>
      </c>
      <c r="O794" t="inlineStr">
        <is>
          <t>2026-05</t>
        </is>
      </c>
    </row>
    <row r="795">
      <c r="A795" t="inlineStr">
        <is>
          <t>FB-00794</t>
        </is>
      </c>
      <c r="B795" t="inlineStr">
        <is>
          <t>CUST-0406</t>
        </is>
      </c>
      <c r="C795" s="11" t="n">
        <v>46144</v>
      </c>
      <c r="D795" t="inlineStr">
        <is>
          <t>In-App Feedback</t>
        </is>
      </c>
      <c r="E795" t="inlineStr">
        <is>
          <t>Professional</t>
        </is>
      </c>
      <c r="F795" t="inlineStr">
        <is>
          <t>Mid-Market</t>
        </is>
      </c>
      <c r="G795" t="inlineStr">
        <is>
          <t>User Interface</t>
        </is>
      </c>
      <c r="H795" t="inlineStr">
        <is>
          <t>Feature Request</t>
        </is>
      </c>
      <c r="I795" t="inlineStr">
        <is>
          <t>Sharing this from our team. Our field reps need offline mobile access to update deals between visits.</t>
        </is>
      </c>
      <c r="J795" t="inlineStr">
        <is>
          <t>Neutral</t>
        </is>
      </c>
      <c r="K795" t="inlineStr">
        <is>
          <t>Low</t>
        </is>
      </c>
      <c r="L795" t="inlineStr">
        <is>
          <t>Workflow Slowdown</t>
        </is>
      </c>
      <c r="M795" t="inlineStr">
        <is>
          <t>ui_mobile</t>
        </is>
      </c>
      <c r="N795" t="inlineStr">
        <is>
          <t>Mobile app</t>
        </is>
      </c>
      <c r="O795" t="inlineStr">
        <is>
          <t>2026-05</t>
        </is>
      </c>
    </row>
    <row r="796">
      <c r="A796" t="inlineStr">
        <is>
          <t>FB-00795</t>
        </is>
      </c>
      <c r="B796" t="inlineStr">
        <is>
          <t>CUST-0419</t>
        </is>
      </c>
      <c r="C796" s="11" t="n">
        <v>46144</v>
      </c>
      <c r="D796" t="inlineStr">
        <is>
          <t>Support Ticket</t>
        </is>
      </c>
      <c r="E796" t="inlineStr">
        <is>
          <t>Starter</t>
        </is>
      </c>
      <c r="F796" t="inlineStr">
        <is>
          <t>SMB</t>
        </is>
      </c>
      <c r="G796" t="inlineStr">
        <is>
          <t>Lead Management</t>
        </is>
      </c>
      <c r="H796" t="inlineStr">
        <is>
          <t>Bug</t>
        </is>
      </c>
      <c r="I796" t="inlineStr">
        <is>
          <t>Escalating on behalf of our ops lead. After every list import we find lead de-duplication failures that have to be cleaned up by hand. We estimate we lose roughly 20 hours a month on this. We need a fix before renewal.</t>
        </is>
      </c>
      <c r="J796" t="inlineStr">
        <is>
          <t>Negative</t>
        </is>
      </c>
      <c r="K796" t="inlineStr">
        <is>
          <t>High</t>
        </is>
      </c>
      <c r="L796" t="inlineStr">
        <is>
          <t>Blocks Key Task</t>
        </is>
      </c>
      <c r="M796" t="inlineStr">
        <is>
          <t>lead_dup</t>
        </is>
      </c>
      <c r="N796" t="inlineStr">
        <is>
          <t>Duplicate leads created</t>
        </is>
      </c>
      <c r="O796" t="inlineStr">
        <is>
          <t>2026-05</t>
        </is>
      </c>
    </row>
    <row r="797">
      <c r="A797" t="inlineStr">
        <is>
          <t>FB-00796</t>
        </is>
      </c>
      <c r="B797" t="inlineStr">
        <is>
          <t>CUST-0306</t>
        </is>
      </c>
      <c r="C797" s="11" t="n">
        <v>46144</v>
      </c>
      <c r="D797" t="inlineStr">
        <is>
          <t>Customer Survey</t>
        </is>
      </c>
      <c r="E797" t="inlineStr">
        <is>
          <t>Professional</t>
        </is>
      </c>
      <c r="F797" t="inlineStr">
        <is>
          <t>SMB</t>
        </is>
      </c>
      <c r="G797" t="inlineStr">
        <is>
          <t>User Interface</t>
        </is>
      </c>
      <c r="H797" t="inlineStr">
        <is>
          <t>Feature Request</t>
        </is>
      </c>
      <c r="I797" t="inlineStr">
        <is>
          <t>Admins ask for bulk actions on lists every time we reorganize territories. It affects our weekly pipeline review process every cycle.</t>
        </is>
      </c>
      <c r="J797" t="inlineStr">
        <is>
          <t>Neutral</t>
        </is>
      </c>
      <c r="K797" t="inlineStr">
        <is>
          <t>Low</t>
        </is>
      </c>
      <c r="L797" t="inlineStr">
        <is>
          <t>Minor Inconvenience</t>
        </is>
      </c>
      <c r="M797" t="inlineStr">
        <is>
          <t>ui_bulk</t>
        </is>
      </c>
      <c r="N797" t="inlineStr">
        <is>
          <t>Bulk actions</t>
        </is>
      </c>
      <c r="O797" t="inlineStr">
        <is>
          <t>2026-05</t>
        </is>
      </c>
    </row>
    <row r="798">
      <c r="A798" t="inlineStr">
        <is>
          <t>FB-00797</t>
        </is>
      </c>
      <c r="B798" t="inlineStr">
        <is>
          <t>CUST-0380</t>
        </is>
      </c>
      <c r="C798" s="11" t="n">
        <v>46144</v>
      </c>
      <c r="D798" t="inlineStr">
        <is>
          <t>Feature Request</t>
        </is>
      </c>
      <c r="E798" t="inlineStr">
        <is>
          <t>Professional</t>
        </is>
      </c>
      <c r="F798" t="inlineStr">
        <is>
          <t>Mid-Market</t>
        </is>
      </c>
      <c r="G798" t="inlineStr">
        <is>
          <t>Integrations</t>
        </is>
      </c>
      <c r="H798" t="inlineStr">
        <is>
          <t>Feature Request</t>
        </is>
      </c>
      <c r="I798" t="inlineStr">
        <is>
          <t>Please build a native accounting integration; our team copies data across systems daily. Our RevOps lead flagged it while onboarding 117 new users. Let us know if you need examples.</t>
        </is>
      </c>
      <c r="J798" t="inlineStr">
        <is>
          <t>Neutral</t>
        </is>
      </c>
      <c r="K798" t="inlineStr">
        <is>
          <t>High</t>
        </is>
      </c>
      <c r="L798" t="inlineStr">
        <is>
          <t>Blocks Key Task</t>
        </is>
      </c>
      <c r="M798" t="inlineStr">
        <is>
          <t>int_native</t>
        </is>
      </c>
      <c r="N798" t="inlineStr">
        <is>
          <t>Native integrations</t>
        </is>
      </c>
      <c r="O798" t="inlineStr">
        <is>
          <t>2026-05</t>
        </is>
      </c>
    </row>
    <row r="799">
      <c r="A799" t="inlineStr">
        <is>
          <t>FB-00798</t>
        </is>
      </c>
      <c r="B799" t="inlineStr">
        <is>
          <t>CUST-0236</t>
        </is>
      </c>
      <c r="C799" s="11" t="n">
        <v>46145</v>
      </c>
      <c r="D799" t="inlineStr">
        <is>
          <t>In-App Feedback</t>
        </is>
      </c>
      <c r="E799" t="inlineStr">
        <is>
          <t>Starter</t>
        </is>
      </c>
      <c r="F799" t="inlineStr">
        <is>
          <t>SMB</t>
        </is>
      </c>
      <c r="G799" t="inlineStr">
        <is>
          <t>Lead Management</t>
        </is>
      </c>
      <c r="H799" t="inlineStr">
        <is>
          <t>Performance Issue</t>
        </is>
      </c>
      <c r="I799" t="inlineStr">
        <is>
          <t>Escalating on behalf of our ops lead. Reps have stopped using the board because of pipeline board loading. We estimate we lose roughly 15 hours a month on this.</t>
        </is>
      </c>
      <c r="J799" t="inlineStr">
        <is>
          <t>Negative</t>
        </is>
      </c>
      <c r="K799" t="inlineStr">
        <is>
          <t>High</t>
        </is>
      </c>
      <c r="L799" t="inlineStr">
        <is>
          <t>Blocks Key Task</t>
        </is>
      </c>
      <c r="M799" t="inlineStr">
        <is>
          <t>lead_slow</t>
        </is>
      </c>
      <c r="N799" t="inlineStr">
        <is>
          <t>Slow lead lists and pipeline board</t>
        </is>
      </c>
      <c r="O799" t="inlineStr">
        <is>
          <t>2026-05</t>
        </is>
      </c>
    </row>
    <row r="800">
      <c r="A800" t="inlineStr">
        <is>
          <t>FB-00799</t>
        </is>
      </c>
      <c r="B800" t="inlineStr">
        <is>
          <t>CUST-0260</t>
        </is>
      </c>
      <c r="C800" s="11" t="n">
        <v>46145</v>
      </c>
      <c r="D800" t="inlineStr">
        <is>
          <t>Support Ticket</t>
        </is>
      </c>
      <c r="E800" t="inlineStr">
        <is>
          <t>Starter</t>
        </is>
      </c>
      <c r="F800" t="inlineStr">
        <is>
          <t>SMB</t>
        </is>
      </c>
      <c r="G800" t="inlineStr">
        <is>
          <t>Contact Management</t>
        </is>
      </c>
      <c r="H800" t="inlineStr">
        <is>
          <t>Bug</t>
        </is>
      </c>
      <c r="I800" t="inlineStr">
        <is>
          <t>The import field mapping fails halfway through with a generic error and no row-level detail. It happens about 32 times a week for our team of 54.</t>
        </is>
      </c>
      <c r="J800" t="inlineStr">
        <is>
          <t>Negative</t>
        </is>
      </c>
      <c r="K800" t="inlineStr">
        <is>
          <t>Medium</t>
        </is>
      </c>
      <c r="L800" t="inlineStr">
        <is>
          <t>Blocks Key Task</t>
        </is>
      </c>
      <c r="M800" t="inlineStr">
        <is>
          <t>contact_import</t>
        </is>
      </c>
      <c r="N800" t="inlineStr">
        <is>
          <t>Unreliable contact imports</t>
        </is>
      </c>
      <c r="O800" t="inlineStr">
        <is>
          <t>2026-05</t>
        </is>
      </c>
    </row>
    <row r="801">
      <c r="A801" t="inlineStr">
        <is>
          <t>FB-00800</t>
        </is>
      </c>
      <c r="B801" t="inlineStr">
        <is>
          <t>CUST-0334</t>
        </is>
      </c>
      <c r="C801" s="11" t="n">
        <v>46145</v>
      </c>
      <c r="D801" t="inlineStr">
        <is>
          <t>Customer Survey</t>
        </is>
      </c>
      <c r="E801" t="inlineStr">
        <is>
          <t>Enterprise</t>
        </is>
      </c>
      <c r="F801" t="inlineStr">
        <is>
          <t>SMB</t>
        </is>
      </c>
      <c r="G801" t="inlineStr">
        <is>
          <t>Reporting</t>
        </is>
      </c>
      <c r="H801" t="inlineStr">
        <is>
          <t>Feature Request</t>
        </is>
      </c>
      <c r="I801" t="inlineStr">
        <is>
          <t>Recent updates have been a nice improvement. We need sales forecasting by team and region for quarterly planning. Thanks to the team.</t>
        </is>
      </c>
      <c r="J801" t="inlineStr">
        <is>
          <t>Positive</t>
        </is>
      </c>
      <c r="K801" t="inlineStr">
        <is>
          <t>Medium</t>
        </is>
      </c>
      <c r="L801" t="inlineStr">
        <is>
          <t>Minor Inconvenience</t>
        </is>
      </c>
      <c r="M801" t="inlineStr">
        <is>
          <t>rep_forecast</t>
        </is>
      </c>
      <c r="N801" t="inlineStr">
        <is>
          <t>Sales forecasting</t>
        </is>
      </c>
      <c r="O801" t="inlineStr">
        <is>
          <t>2026-05</t>
        </is>
      </c>
    </row>
    <row r="802">
      <c r="A802" t="inlineStr">
        <is>
          <t>FB-00801</t>
        </is>
      </c>
      <c r="B802" t="inlineStr">
        <is>
          <t>CUST-0253</t>
        </is>
      </c>
      <c r="C802" s="11" t="n">
        <v>46145</v>
      </c>
      <c r="D802" t="inlineStr">
        <is>
          <t>Support Ticket</t>
        </is>
      </c>
      <c r="E802" t="inlineStr">
        <is>
          <t>Professional</t>
        </is>
      </c>
      <c r="F802" t="inlineStr">
        <is>
          <t>SMB</t>
        </is>
      </c>
      <c r="G802" t="inlineStr">
        <is>
          <t>Workflow Automation</t>
        </is>
      </c>
      <c r="H802" t="inlineStr">
        <is>
          <t>Bug</t>
        </is>
      </c>
      <c r="I802" t="inlineStr">
        <is>
          <t>Noting this during onboarding. Since the last release we've had automation misfires and tasks are being created twice. We estimate we lose roughly 17 hours a month on this.</t>
        </is>
      </c>
      <c r="J802" t="inlineStr">
        <is>
          <t>Neutral</t>
        </is>
      </c>
      <c r="K802" t="inlineStr">
        <is>
          <t>Medium</t>
        </is>
      </c>
      <c r="L802" t="inlineStr">
        <is>
          <t>Workflow Slowdown</t>
        </is>
      </c>
      <c r="M802" t="inlineStr">
        <is>
          <t>wf_fail</t>
        </is>
      </c>
      <c r="N802" t="inlineStr">
        <is>
          <t>Workflows failing silently</t>
        </is>
      </c>
      <c r="O802" t="inlineStr">
        <is>
          <t>2026-05</t>
        </is>
      </c>
    </row>
    <row r="803">
      <c r="A803" t="inlineStr">
        <is>
          <t>FB-00802</t>
        </is>
      </c>
      <c r="B803" t="inlineStr">
        <is>
          <t>CUST-0293</t>
        </is>
      </c>
      <c r="C803" s="11" t="n">
        <v>46145</v>
      </c>
      <c r="D803" t="inlineStr">
        <is>
          <t>Feature Request</t>
        </is>
      </c>
      <c r="E803" t="inlineStr">
        <is>
          <t>Enterprise</t>
        </is>
      </c>
      <c r="F803" t="inlineStr">
        <is>
          <t>Enterprise</t>
        </is>
      </c>
      <c r="G803" t="inlineStr">
        <is>
          <t>Reporting</t>
        </is>
      </c>
      <c r="H803" t="inlineStr">
        <is>
          <t>Feature Request</t>
        </is>
      </c>
      <c r="I803" t="inlineStr">
        <is>
          <t>We need scheduled report emails so non-technical managers can create their own views. Let us know if you need examples.</t>
        </is>
      </c>
      <c r="J803" t="inlineStr">
        <is>
          <t>Neutral</t>
        </is>
      </c>
      <c r="K803" t="inlineStr">
        <is>
          <t>High</t>
        </is>
      </c>
      <c r="L803" t="inlineStr">
        <is>
          <t>Workflow Slowdown</t>
        </is>
      </c>
      <c r="M803" t="inlineStr">
        <is>
          <t>rep_custom</t>
        </is>
      </c>
      <c r="N803" t="inlineStr">
        <is>
          <t>Custom and scheduled reports</t>
        </is>
      </c>
      <c r="O803" t="inlineStr">
        <is>
          <t>2026-05</t>
        </is>
      </c>
    </row>
    <row r="804">
      <c r="A804" t="inlineStr">
        <is>
          <t>FB-00803</t>
        </is>
      </c>
      <c r="B804" t="inlineStr">
        <is>
          <t>CUST-0260</t>
        </is>
      </c>
      <c r="C804" s="11" t="n">
        <v>46146</v>
      </c>
      <c r="D804" t="inlineStr">
        <is>
          <t>Support Ticket</t>
        </is>
      </c>
      <c r="E804" t="inlineStr">
        <is>
          <t>Starter</t>
        </is>
      </c>
      <c r="F804" t="inlineStr">
        <is>
          <t>SMB</t>
        </is>
      </c>
      <c r="G804" t="inlineStr">
        <is>
          <t>Contact Management</t>
        </is>
      </c>
      <c r="H804" t="inlineStr">
        <is>
          <t>Bug</t>
        </is>
      </c>
      <c r="I804" t="inlineStr">
        <is>
          <t>Escalating on behalf of our ops lead. The spreadsheet import fails halfway through with a generic error and no row-level detail. It happens about 29 times a week for our team of 91. Please look into it soon.</t>
        </is>
      </c>
      <c r="J804" t="inlineStr">
        <is>
          <t>Negative</t>
        </is>
      </c>
      <c r="K804" t="inlineStr">
        <is>
          <t>High</t>
        </is>
      </c>
      <c r="L804" t="inlineStr">
        <is>
          <t>Blocks Key Task</t>
        </is>
      </c>
      <c r="M804" t="inlineStr">
        <is>
          <t>contact_import</t>
        </is>
      </c>
      <c r="N804" t="inlineStr">
        <is>
          <t>Unreliable contact imports</t>
        </is>
      </c>
      <c r="O804" t="inlineStr">
        <is>
          <t>2026-05</t>
        </is>
      </c>
    </row>
    <row r="805">
      <c r="A805" t="inlineStr">
        <is>
          <t>FB-00804</t>
        </is>
      </c>
      <c r="B805" t="inlineStr">
        <is>
          <t>CUST-0216</t>
        </is>
      </c>
      <c r="C805" s="11" t="n">
        <v>46147</v>
      </c>
      <c r="D805" t="inlineStr">
        <is>
          <t>In-App Feedback</t>
        </is>
      </c>
      <c r="E805" t="inlineStr">
        <is>
          <t>Starter</t>
        </is>
      </c>
      <c r="F805" t="inlineStr">
        <is>
          <t>Mid-Market</t>
        </is>
      </c>
      <c r="G805" t="inlineStr">
        <is>
          <t>Lead Management</t>
        </is>
      </c>
      <c r="H805" t="inlineStr">
        <is>
          <t>Bug</t>
        </is>
      </c>
      <c r="I805" t="inlineStr">
        <is>
          <t>After every list import we find duplicate lead records that have to be cleaned up by hand. Is there a workaround?</t>
        </is>
      </c>
      <c r="J805" t="inlineStr">
        <is>
          <t>Negative</t>
        </is>
      </c>
      <c r="K805" t="inlineStr">
        <is>
          <t>High</t>
        </is>
      </c>
      <c r="L805" t="inlineStr">
        <is>
          <t>Blocks Key Task</t>
        </is>
      </c>
      <c r="M805" t="inlineStr">
        <is>
          <t>lead_dup</t>
        </is>
      </c>
      <c r="N805" t="inlineStr">
        <is>
          <t>Duplicate leads created</t>
        </is>
      </c>
      <c r="O805" t="inlineStr">
        <is>
          <t>2026-05</t>
        </is>
      </c>
    </row>
    <row r="806">
      <c r="A806" t="inlineStr">
        <is>
          <t>FB-00805</t>
        </is>
      </c>
      <c r="B806" t="inlineStr">
        <is>
          <t>CUST-0372</t>
        </is>
      </c>
      <c r="C806" s="11" t="n">
        <v>46147</v>
      </c>
      <c r="D806" t="inlineStr">
        <is>
          <t>In-App Feedback</t>
        </is>
      </c>
      <c r="E806" t="inlineStr">
        <is>
          <t>Starter</t>
        </is>
      </c>
      <c r="F806" t="inlineStr">
        <is>
          <t>SMB</t>
        </is>
      </c>
      <c r="G806" t="inlineStr">
        <is>
          <t>Contact Management</t>
        </is>
      </c>
      <c r="H806" t="inlineStr">
        <is>
          <t>Bug</t>
        </is>
      </c>
      <c r="I806" t="inlineStr">
        <is>
          <t>Raising this again after our last business review. The contact CSV import rejects files with accented characters in names. It happens about 3 times a week for our team of 108. Is there a workaround?</t>
        </is>
      </c>
      <c r="J806" t="inlineStr">
        <is>
          <t>Negative</t>
        </is>
      </c>
      <c r="K806" t="inlineStr">
        <is>
          <t>Low</t>
        </is>
      </c>
      <c r="L806" t="inlineStr">
        <is>
          <t>Minor Inconvenience</t>
        </is>
      </c>
      <c r="M806" t="inlineStr">
        <is>
          <t>contact_import</t>
        </is>
      </c>
      <c r="N806" t="inlineStr">
        <is>
          <t>Unreliable contact imports</t>
        </is>
      </c>
      <c r="O806" t="inlineStr">
        <is>
          <t>2026-05</t>
        </is>
      </c>
    </row>
    <row r="807">
      <c r="A807" t="inlineStr">
        <is>
          <t>FB-00806</t>
        </is>
      </c>
      <c r="B807" t="inlineStr">
        <is>
          <t>CUST-0099</t>
        </is>
      </c>
      <c r="C807" s="11" t="n">
        <v>46148</v>
      </c>
      <c r="D807" t="inlineStr">
        <is>
          <t>Customer Survey</t>
        </is>
      </c>
      <c r="E807" t="inlineStr">
        <is>
          <t>Starter</t>
        </is>
      </c>
      <c r="F807" t="inlineStr">
        <is>
          <t>Mid-Market</t>
        </is>
      </c>
      <c r="G807" t="inlineStr">
        <is>
          <t>Lead Management</t>
        </is>
      </c>
      <c r="H807" t="inlineStr">
        <is>
          <t>Performance Issue</t>
        </is>
      </c>
      <c r="I807" t="inlineStr">
        <is>
          <t>Frustrated with this one. The pipeline board loading gets very slow once we pass a few thousand open leads. Is there a workaround?</t>
        </is>
      </c>
      <c r="J807" t="inlineStr">
        <is>
          <t>Negative</t>
        </is>
      </c>
      <c r="K807" t="inlineStr">
        <is>
          <t>High</t>
        </is>
      </c>
      <c r="L807" t="inlineStr">
        <is>
          <t>Workflow Slowdown</t>
        </is>
      </c>
      <c r="M807" t="inlineStr">
        <is>
          <t>lead_slow</t>
        </is>
      </c>
      <c r="N807" t="inlineStr">
        <is>
          <t>Slow lead lists and pipeline board</t>
        </is>
      </c>
      <c r="O807" t="inlineStr">
        <is>
          <t>2026-05</t>
        </is>
      </c>
    </row>
    <row r="808">
      <c r="A808" t="inlineStr">
        <is>
          <t>FB-00807</t>
        </is>
      </c>
      <c r="B808" t="inlineStr">
        <is>
          <t>CUST-0187</t>
        </is>
      </c>
      <c r="C808" s="11" t="n">
        <v>46148</v>
      </c>
      <c r="D808" t="inlineStr">
        <is>
          <t>Feature Request</t>
        </is>
      </c>
      <c r="E808" t="inlineStr">
        <is>
          <t>Enterprise</t>
        </is>
      </c>
      <c r="F808" t="inlineStr">
        <is>
          <t>Mid-Market</t>
        </is>
      </c>
      <c r="G808" t="inlineStr">
        <is>
          <t>Integrations</t>
        </is>
      </c>
      <c r="H808" t="inlineStr">
        <is>
          <t>Feature Request</t>
        </is>
      </c>
      <c r="I808" t="inlineStr">
        <is>
          <t>Sharing this from our team. Please add SAML login; managing users by hand does not scale. It happens about 18 times a week for our team of 73.</t>
        </is>
      </c>
      <c r="J808" t="inlineStr">
        <is>
          <t>Neutral</t>
        </is>
      </c>
      <c r="K808" t="inlineStr">
        <is>
          <t>Low</t>
        </is>
      </c>
      <c r="L808" t="inlineStr">
        <is>
          <t>Minor Inconvenience</t>
        </is>
      </c>
      <c r="M808" t="inlineStr">
        <is>
          <t>int_sso</t>
        </is>
      </c>
      <c r="N808" t="inlineStr">
        <is>
          <t>SSO and provisioning</t>
        </is>
      </c>
      <c r="O808" t="inlineStr">
        <is>
          <t>2026-05</t>
        </is>
      </c>
    </row>
    <row r="809">
      <c r="A809" t="inlineStr">
        <is>
          <t>FB-00808</t>
        </is>
      </c>
      <c r="B809" t="inlineStr">
        <is>
          <t>CUST-0232</t>
        </is>
      </c>
      <c r="C809" s="11" t="n">
        <v>46149</v>
      </c>
      <c r="D809" t="inlineStr">
        <is>
          <t>Customer Survey</t>
        </is>
      </c>
      <c r="E809" t="inlineStr">
        <is>
          <t>Enterprise</t>
        </is>
      </c>
      <c r="F809" t="inlineStr">
        <is>
          <t>Mid-Market</t>
        </is>
      </c>
      <c r="G809" t="inlineStr">
        <is>
          <t>Workflow Automation</t>
        </is>
      </c>
      <c r="H809" t="inlineStr">
        <is>
          <t>Feature Request</t>
        </is>
      </c>
      <c r="I809" t="inlineStr">
        <is>
          <t>Feedback from our monthly review. We need approval steps in workflows so managers can sign off on discounts. It affects our weekly pipeline review process every cycle.</t>
        </is>
      </c>
      <c r="J809" t="inlineStr">
        <is>
          <t>Neutral</t>
        </is>
      </c>
      <c r="K809" t="inlineStr">
        <is>
          <t>Low</t>
        </is>
      </c>
      <c r="L809" t="inlineStr">
        <is>
          <t>Minor Inconvenience</t>
        </is>
      </c>
      <c r="M809" t="inlineStr">
        <is>
          <t>wf_approval</t>
        </is>
      </c>
      <c r="N809" t="inlineStr">
        <is>
          <t>Approval steps in workflows</t>
        </is>
      </c>
      <c r="O809" t="inlineStr">
        <is>
          <t>2026-05</t>
        </is>
      </c>
    </row>
    <row r="810">
      <c r="A810" t="inlineStr">
        <is>
          <t>FB-00809</t>
        </is>
      </c>
      <c r="B810" t="inlineStr">
        <is>
          <t>CUST-0284</t>
        </is>
      </c>
      <c r="C810" s="11" t="n">
        <v>46149</v>
      </c>
      <c r="D810" t="inlineStr">
        <is>
          <t>Customer Survey</t>
        </is>
      </c>
      <c r="E810" t="inlineStr">
        <is>
          <t>Enterprise</t>
        </is>
      </c>
      <c r="F810" t="inlineStr">
        <is>
          <t>Enterprise</t>
        </is>
      </c>
      <c r="G810" t="inlineStr">
        <is>
          <t>Contact Management</t>
        </is>
      </c>
      <c r="H810" t="inlineStr">
        <is>
          <t>Bug</t>
        </is>
      </c>
      <c r="I810" t="inlineStr">
        <is>
          <t>The spreadsheet import fails halfway through with a generic error and no row-level detail. It affects our quarterly planning process every cycle. Please look into it soon.</t>
        </is>
      </c>
      <c r="J810" t="inlineStr">
        <is>
          <t>Negative</t>
        </is>
      </c>
      <c r="K810" t="inlineStr">
        <is>
          <t>Low</t>
        </is>
      </c>
      <c r="L810" t="inlineStr">
        <is>
          <t>Workflow Slowdown</t>
        </is>
      </c>
      <c r="M810" t="inlineStr">
        <is>
          <t>contact_import</t>
        </is>
      </c>
      <c r="N810" t="inlineStr">
        <is>
          <t>Unreliable contact imports</t>
        </is>
      </c>
      <c r="O810" t="inlineStr">
        <is>
          <t>2026-05</t>
        </is>
      </c>
    </row>
    <row r="811">
      <c r="A811" t="inlineStr">
        <is>
          <t>FB-00810</t>
        </is>
      </c>
      <c r="B811" t="inlineStr">
        <is>
          <t>CUST-0342</t>
        </is>
      </c>
      <c r="C811" s="11" t="n">
        <v>46149</v>
      </c>
      <c r="D811" t="inlineStr">
        <is>
          <t>Support Ticket</t>
        </is>
      </c>
      <c r="E811" t="inlineStr">
        <is>
          <t>Enterprise</t>
        </is>
      </c>
      <c r="F811" t="inlineStr">
        <is>
          <t>Enterprise</t>
        </is>
      </c>
      <c r="G811" t="inlineStr">
        <is>
          <t>Integrations</t>
        </is>
      </c>
      <c r="H811" t="inlineStr">
        <is>
          <t>Integration Issue</t>
        </is>
      </c>
      <c r="I811" t="inlineStr">
        <is>
          <t>Quick note from our admin. Our Gmail sync keeps disconnecting and activities are missing from the contact timeline. Happy to join a feedback call.</t>
        </is>
      </c>
      <c r="J811" t="inlineStr">
        <is>
          <t>Neutral</t>
        </is>
      </c>
      <c r="K811" t="inlineStr">
        <is>
          <t>Medium</t>
        </is>
      </c>
      <c r="L811" t="inlineStr">
        <is>
          <t>Blocks Key Task</t>
        </is>
      </c>
      <c r="M811" t="inlineStr">
        <is>
          <t>int_email</t>
        </is>
      </c>
      <c r="N811" t="inlineStr">
        <is>
          <t>Email and calendar sync drops</t>
        </is>
      </c>
      <c r="O811" t="inlineStr">
        <is>
          <t>2026-05</t>
        </is>
      </c>
    </row>
    <row r="812">
      <c r="A812" t="inlineStr">
        <is>
          <t>FB-00811</t>
        </is>
      </c>
      <c r="B812" t="inlineStr">
        <is>
          <t>CUST-0344</t>
        </is>
      </c>
      <c r="C812" s="11" t="n">
        <v>46149</v>
      </c>
      <c r="D812" t="inlineStr">
        <is>
          <t>Support Ticket</t>
        </is>
      </c>
      <c r="E812" t="inlineStr">
        <is>
          <t>Starter</t>
        </is>
      </c>
      <c r="F812" t="inlineStr">
        <is>
          <t>Mid-Market</t>
        </is>
      </c>
      <c r="G812" t="inlineStr">
        <is>
          <t>Contact Management</t>
        </is>
      </c>
      <c r="H812" t="inlineStr">
        <is>
          <t>Bug</t>
        </is>
      </c>
      <c r="I812" t="inlineStr">
        <is>
          <t>The contact CSV import rejects files with accented characters in names.</t>
        </is>
      </c>
      <c r="J812" t="inlineStr">
        <is>
          <t>Negative</t>
        </is>
      </c>
      <c r="K812" t="inlineStr">
        <is>
          <t>Critical</t>
        </is>
      </c>
      <c r="L812" t="inlineStr">
        <is>
          <t>Blocks Key Task</t>
        </is>
      </c>
      <c r="M812" t="inlineStr">
        <is>
          <t>contact_import</t>
        </is>
      </c>
      <c r="N812" t="inlineStr">
        <is>
          <t>Unreliable contact imports</t>
        </is>
      </c>
      <c r="O812" t="inlineStr">
        <is>
          <t>2026-05</t>
        </is>
      </c>
    </row>
    <row r="813">
      <c r="A813" t="inlineStr">
        <is>
          <t>FB-00812</t>
        </is>
      </c>
      <c r="B813" t="inlineStr">
        <is>
          <t>CUST-0158</t>
        </is>
      </c>
      <c r="C813" s="11" t="n">
        <v>46149</v>
      </c>
      <c r="D813" t="inlineStr">
        <is>
          <t>Support Ticket</t>
        </is>
      </c>
      <c r="E813" t="inlineStr">
        <is>
          <t>Starter</t>
        </is>
      </c>
      <c r="F813" t="inlineStr">
        <is>
          <t>SMB</t>
        </is>
      </c>
      <c r="G813" t="inlineStr">
        <is>
          <t>Contact Management</t>
        </is>
      </c>
      <c r="H813" t="inlineStr">
        <is>
          <t>Bug</t>
        </is>
      </c>
      <c r="I813" t="inlineStr">
        <is>
          <t>The spreadsheet import silently skipped rows and we only noticed days later. Our marketing ops owner flagged it while onboarding 78 new users. Support suggested logging it here.</t>
        </is>
      </c>
      <c r="J813" t="inlineStr">
        <is>
          <t>Negative</t>
        </is>
      </c>
      <c r="K813" t="inlineStr">
        <is>
          <t>Low</t>
        </is>
      </c>
      <c r="L813" t="inlineStr">
        <is>
          <t>Minor Inconvenience</t>
        </is>
      </c>
      <c r="M813" t="inlineStr">
        <is>
          <t>contact_import</t>
        </is>
      </c>
      <c r="N813" t="inlineStr">
        <is>
          <t>Unreliable contact imports</t>
        </is>
      </c>
      <c r="O813" t="inlineStr">
        <is>
          <t>2026-05</t>
        </is>
      </c>
    </row>
    <row r="814">
      <c r="A814" t="inlineStr">
        <is>
          <t>FB-00813</t>
        </is>
      </c>
      <c r="B814" t="inlineStr">
        <is>
          <t>CUST-0121</t>
        </is>
      </c>
      <c r="C814" s="11" t="n">
        <v>46149</v>
      </c>
      <c r="D814" t="inlineStr">
        <is>
          <t>Support Ticket</t>
        </is>
      </c>
      <c r="E814" t="inlineStr">
        <is>
          <t>Starter</t>
        </is>
      </c>
      <c r="F814" t="inlineStr">
        <is>
          <t>SMB</t>
        </is>
      </c>
      <c r="G814" t="inlineStr">
        <is>
          <t>Lead Management</t>
        </is>
      </c>
      <c r="H814" t="inlineStr">
        <is>
          <t>Bug</t>
        </is>
      </c>
      <c r="I814" t="inlineStr">
        <is>
          <t>Quick note from our admin. Web form submissions keep creating duplicated leads, and reps end up calling the same prospect twice.</t>
        </is>
      </c>
      <c r="J814" t="inlineStr">
        <is>
          <t>Neutral</t>
        </is>
      </c>
      <c r="K814" t="inlineStr">
        <is>
          <t>Medium</t>
        </is>
      </c>
      <c r="L814" t="inlineStr">
        <is>
          <t>Workflow Slowdown</t>
        </is>
      </c>
      <c r="M814" t="inlineStr">
        <is>
          <t>lead_dup</t>
        </is>
      </c>
      <c r="N814" t="inlineStr">
        <is>
          <t>Duplicate leads created</t>
        </is>
      </c>
      <c r="O814" t="inlineStr">
        <is>
          <t>2026-05</t>
        </is>
      </c>
    </row>
    <row r="815">
      <c r="A815" t="inlineStr">
        <is>
          <t>FB-00814</t>
        </is>
      </c>
      <c r="B815" t="inlineStr">
        <is>
          <t>CUST-0074</t>
        </is>
      </c>
      <c r="C815" s="11" t="n">
        <v>46150</v>
      </c>
      <c r="D815" t="inlineStr">
        <is>
          <t>Support Ticket</t>
        </is>
      </c>
      <c r="E815" t="inlineStr">
        <is>
          <t>Enterprise</t>
        </is>
      </c>
      <c r="F815" t="inlineStr">
        <is>
          <t>Mid-Market</t>
        </is>
      </c>
      <c r="G815" t="inlineStr">
        <is>
          <t>Contact Management</t>
        </is>
      </c>
      <c r="H815" t="inlineStr">
        <is>
          <t>Feature Request</t>
        </is>
      </c>
      <c r="I815" t="inlineStr">
        <is>
          <t>FYI for the product team. Contact de-duplication tooling that keeps activity history would save our ops team hours. Our RevOps lead flagged it while onboarding 75 new users.</t>
        </is>
      </c>
      <c r="J815" t="inlineStr">
        <is>
          <t>Neutral</t>
        </is>
      </c>
      <c r="K815" t="inlineStr">
        <is>
          <t>Medium</t>
        </is>
      </c>
      <c r="L815" t="inlineStr">
        <is>
          <t>Minor Inconvenience</t>
        </is>
      </c>
      <c r="M815" t="inlineStr">
        <is>
          <t>contact_dedupe</t>
        </is>
      </c>
      <c r="N815" t="inlineStr">
        <is>
          <t>Bulk contact merge</t>
        </is>
      </c>
      <c r="O815" t="inlineStr">
        <is>
          <t>2026-05</t>
        </is>
      </c>
    </row>
    <row r="816">
      <c r="A816" t="inlineStr">
        <is>
          <t>FB-00815</t>
        </is>
      </c>
      <c r="B816" t="inlineStr">
        <is>
          <t>CUST-0308</t>
        </is>
      </c>
      <c r="C816" s="11" t="n">
        <v>46150</v>
      </c>
      <c r="D816" t="inlineStr">
        <is>
          <t>Support Ticket</t>
        </is>
      </c>
      <c r="E816" t="inlineStr">
        <is>
          <t>Professional</t>
        </is>
      </c>
      <c r="F816" t="inlineStr">
        <is>
          <t>SMB</t>
        </is>
      </c>
      <c r="G816" t="inlineStr">
        <is>
          <t>Contact Management</t>
        </is>
      </c>
      <c r="H816" t="inlineStr">
        <is>
          <t>Bug</t>
        </is>
      </c>
      <c r="I816" t="inlineStr">
        <is>
          <t>The contact CSV import rejects files with accented characters in names. It affects our onboarding process every cycle. Is there a workaround?</t>
        </is>
      </c>
      <c r="J816" t="inlineStr">
        <is>
          <t>Negative</t>
        </is>
      </c>
      <c r="K816" t="inlineStr">
        <is>
          <t>Medium</t>
        </is>
      </c>
      <c r="L816" t="inlineStr">
        <is>
          <t>Minor Inconvenience</t>
        </is>
      </c>
      <c r="M816" t="inlineStr">
        <is>
          <t>contact_import</t>
        </is>
      </c>
      <c r="N816" t="inlineStr">
        <is>
          <t>Unreliable contact imports</t>
        </is>
      </c>
      <c r="O816" t="inlineStr">
        <is>
          <t>2026-05</t>
        </is>
      </c>
    </row>
    <row r="817">
      <c r="A817" t="inlineStr">
        <is>
          <t>FB-00816</t>
        </is>
      </c>
      <c r="B817" t="inlineStr">
        <is>
          <t>CUST-0206</t>
        </is>
      </c>
      <c r="C817" s="11" t="n">
        <v>46150</v>
      </c>
      <c r="D817" t="inlineStr">
        <is>
          <t>Support Ticket</t>
        </is>
      </c>
      <c r="E817" t="inlineStr">
        <is>
          <t>Professional</t>
        </is>
      </c>
      <c r="F817" t="inlineStr">
        <is>
          <t>Mid-Market</t>
        </is>
      </c>
      <c r="G817" t="inlineStr">
        <is>
          <t>Integrations</t>
        </is>
      </c>
      <c r="H817" t="inlineStr">
        <is>
          <t>Integration Issue</t>
        </is>
      </c>
      <c r="I817" t="inlineStr">
        <is>
          <t>Raising this again after our last business review. We keep hitting webhook delivery during nightly syncs with our data warehouse. It affects our onboarding process every cycle. Is there a workaround?</t>
        </is>
      </c>
      <c r="J817" t="inlineStr">
        <is>
          <t>Negative</t>
        </is>
      </c>
      <c r="K817" t="inlineStr">
        <is>
          <t>Low</t>
        </is>
      </c>
      <c r="L817" t="inlineStr">
        <is>
          <t>Minor Inconvenience</t>
        </is>
      </c>
      <c r="M817" t="inlineStr">
        <is>
          <t>int_api</t>
        </is>
      </c>
      <c r="N817" t="inlineStr">
        <is>
          <t>API limits and webhook failures</t>
        </is>
      </c>
      <c r="O817" t="inlineStr">
        <is>
          <t>2026-05</t>
        </is>
      </c>
    </row>
    <row r="818">
      <c r="A818" t="inlineStr">
        <is>
          <t>FB-00817</t>
        </is>
      </c>
      <c r="B818" t="inlineStr">
        <is>
          <t>CUST-0132</t>
        </is>
      </c>
      <c r="C818" s="11" t="n">
        <v>46151</v>
      </c>
      <c r="D818" t="inlineStr">
        <is>
          <t>Support Ticket</t>
        </is>
      </c>
      <c r="E818" t="inlineStr">
        <is>
          <t>Starter</t>
        </is>
      </c>
      <c r="F818" t="inlineStr">
        <is>
          <t>SMB</t>
        </is>
      </c>
      <c r="G818" t="inlineStr">
        <is>
          <t>Lead Management</t>
        </is>
      </c>
      <c r="H818" t="inlineStr">
        <is>
          <t>Usability Issue</t>
        </is>
      </c>
      <c r="I818" t="inlineStr">
        <is>
          <t>Setting up round-robin lead assignment takes too many steps and the options don't cover territories. Let us know if you need examples.</t>
        </is>
      </c>
      <c r="J818" t="inlineStr">
        <is>
          <t>Neutral</t>
        </is>
      </c>
      <c r="K818" t="inlineStr">
        <is>
          <t>Medium</t>
        </is>
      </c>
      <c r="L818" t="inlineStr">
        <is>
          <t>Blocks Key Task</t>
        </is>
      </c>
      <c r="M818" t="inlineStr">
        <is>
          <t>lead_assign</t>
        </is>
      </c>
      <c r="N818" t="inlineStr">
        <is>
          <t>Lead routing is inflexible</t>
        </is>
      </c>
      <c r="O818" t="inlineStr">
        <is>
          <t>2026-05</t>
        </is>
      </c>
    </row>
    <row r="819">
      <c r="A819" t="inlineStr">
        <is>
          <t>FB-00818</t>
        </is>
      </c>
      <c r="B819" t="inlineStr">
        <is>
          <t>CUST-0053</t>
        </is>
      </c>
      <c r="C819" s="11" t="n">
        <v>46151</v>
      </c>
      <c r="D819" t="inlineStr">
        <is>
          <t>In-App Feedback</t>
        </is>
      </c>
      <c r="E819" t="inlineStr">
        <is>
          <t>Professional</t>
        </is>
      </c>
      <c r="F819" t="inlineStr">
        <is>
          <t>Mid-Market</t>
        </is>
      </c>
      <c r="G819" t="inlineStr">
        <is>
          <t>Lead Management</t>
        </is>
      </c>
      <c r="H819" t="inlineStr">
        <is>
          <t>Bug</t>
        </is>
      </c>
      <c r="I819" t="inlineStr">
        <is>
          <t>Not what we expected for the price. We are seeing duplicate lead records when a lead arrives from both the website and a trade-show list. It happens about 6 times a week for our team of 93.</t>
        </is>
      </c>
      <c r="J819" t="inlineStr">
        <is>
          <t>Negative</t>
        </is>
      </c>
      <c r="K819" t="inlineStr">
        <is>
          <t>Medium</t>
        </is>
      </c>
      <c r="L819" t="inlineStr">
        <is>
          <t>Minor Inconvenience</t>
        </is>
      </c>
      <c r="M819" t="inlineStr">
        <is>
          <t>lead_dup</t>
        </is>
      </c>
      <c r="N819" t="inlineStr">
        <is>
          <t>Duplicate leads created</t>
        </is>
      </c>
      <c r="O819" t="inlineStr">
        <is>
          <t>2026-05</t>
        </is>
      </c>
    </row>
    <row r="820">
      <c r="A820" t="inlineStr">
        <is>
          <t>FB-00819</t>
        </is>
      </c>
      <c r="B820" t="inlineStr">
        <is>
          <t>CUST-0367</t>
        </is>
      </c>
      <c r="C820" s="11" t="n">
        <v>46152</v>
      </c>
      <c r="D820" t="inlineStr">
        <is>
          <t>In-App Feedback</t>
        </is>
      </c>
      <c r="E820" t="inlineStr">
        <is>
          <t>Enterprise</t>
        </is>
      </c>
      <c r="F820" t="inlineStr">
        <is>
          <t>Mid-Market</t>
        </is>
      </c>
      <c r="G820" t="inlineStr">
        <is>
          <t>Contact Management</t>
        </is>
      </c>
      <c r="H820" t="inlineStr">
        <is>
          <t>Feature Request</t>
        </is>
      </c>
      <c r="I820" t="inlineStr">
        <is>
          <t>Sharing this from our team. Lacking custom contact fields forces us to keep a parallel spreadsheet. Happy to join a feedback call.</t>
        </is>
      </c>
      <c r="J820" t="inlineStr">
        <is>
          <t>Neutral</t>
        </is>
      </c>
      <c r="K820" t="inlineStr">
        <is>
          <t>Low</t>
        </is>
      </c>
      <c r="L820" t="inlineStr">
        <is>
          <t>Minor Inconvenience</t>
        </is>
      </c>
      <c r="M820" t="inlineStr">
        <is>
          <t>contact_custom</t>
        </is>
      </c>
      <c r="N820" t="inlineStr">
        <is>
          <t>Custom fields and hierarchy</t>
        </is>
      </c>
      <c r="O820" t="inlineStr">
        <is>
          <t>2026-05</t>
        </is>
      </c>
    </row>
    <row r="821">
      <c r="A821" t="inlineStr">
        <is>
          <t>FB-00820</t>
        </is>
      </c>
      <c r="B821" t="inlineStr">
        <is>
          <t>CUST-0147</t>
        </is>
      </c>
      <c r="C821" s="11" t="n">
        <v>46152</v>
      </c>
      <c r="D821" t="inlineStr">
        <is>
          <t>Feature Request</t>
        </is>
      </c>
      <c r="E821" t="inlineStr">
        <is>
          <t>Enterprise</t>
        </is>
      </c>
      <c r="F821" t="inlineStr">
        <is>
          <t>Enterprise</t>
        </is>
      </c>
      <c r="G821" t="inlineStr">
        <is>
          <t>Reporting</t>
        </is>
      </c>
      <c r="H821" t="inlineStr">
        <is>
          <t>Feature Request</t>
        </is>
      </c>
      <c r="I821" t="inlineStr">
        <is>
          <t>We need quota tracking by team and region for quarterly planning. We estimate we lose roughly 46 hours a month on this.</t>
        </is>
      </c>
      <c r="J821" t="inlineStr">
        <is>
          <t>Positive</t>
        </is>
      </c>
      <c r="K821" t="inlineStr">
        <is>
          <t>Medium</t>
        </is>
      </c>
      <c r="L821" t="inlineStr">
        <is>
          <t>Revenue/Operations Risk</t>
        </is>
      </c>
      <c r="M821" t="inlineStr">
        <is>
          <t>rep_forecast</t>
        </is>
      </c>
      <c r="N821" t="inlineStr">
        <is>
          <t>Sales forecasting</t>
        </is>
      </c>
      <c r="O821" t="inlineStr">
        <is>
          <t>2026-05</t>
        </is>
      </c>
    </row>
    <row r="822">
      <c r="A822" t="inlineStr">
        <is>
          <t>FB-00821</t>
        </is>
      </c>
      <c r="B822" t="inlineStr">
        <is>
          <t>CUST-0325</t>
        </is>
      </c>
      <c r="C822" s="11" t="n">
        <v>46152</v>
      </c>
      <c r="D822" t="inlineStr">
        <is>
          <t>Feature Request</t>
        </is>
      </c>
      <c r="E822" t="inlineStr">
        <is>
          <t>Starter</t>
        </is>
      </c>
      <c r="F822" t="inlineStr">
        <is>
          <t>SMB</t>
        </is>
      </c>
      <c r="G822" t="inlineStr">
        <is>
          <t>Contact Management</t>
        </is>
      </c>
      <c r="H822" t="inlineStr">
        <is>
          <t>Feature Request</t>
        </is>
      </c>
      <c r="I822" t="inlineStr">
        <is>
          <t>Requesting a contact relationship hierarchy so account managers can see who reports to whom.</t>
        </is>
      </c>
      <c r="J822" t="inlineStr">
        <is>
          <t>Positive</t>
        </is>
      </c>
      <c r="K822" t="inlineStr">
        <is>
          <t>Low</t>
        </is>
      </c>
      <c r="L822" t="inlineStr">
        <is>
          <t>Workflow Slowdown</t>
        </is>
      </c>
      <c r="M822" t="inlineStr">
        <is>
          <t>contact_custom</t>
        </is>
      </c>
      <c r="N822" t="inlineStr">
        <is>
          <t>Custom fields and hierarchy</t>
        </is>
      </c>
      <c r="O822" t="inlineStr">
        <is>
          <t>2026-05</t>
        </is>
      </c>
    </row>
    <row r="823">
      <c r="A823" t="inlineStr">
        <is>
          <t>FB-00822</t>
        </is>
      </c>
      <c r="B823" t="inlineStr">
        <is>
          <t>CUST-0210</t>
        </is>
      </c>
      <c r="C823" s="11" t="n">
        <v>46152</v>
      </c>
      <c r="D823" t="inlineStr">
        <is>
          <t>Customer Survey</t>
        </is>
      </c>
      <c r="E823" t="inlineStr">
        <is>
          <t>Professional</t>
        </is>
      </c>
      <c r="F823" t="inlineStr">
        <is>
          <t>Mid-Market</t>
        </is>
      </c>
      <c r="G823" t="inlineStr">
        <is>
          <t>Integrations</t>
        </is>
      </c>
      <c r="H823" t="inlineStr">
        <is>
          <t>Integration Issue</t>
        </is>
      </c>
      <c r="I823" t="inlineStr">
        <is>
          <t>Feedback from our monthly review. After the token expires, Gmail sync stops with no warning. Let us know if you need examples.</t>
        </is>
      </c>
      <c r="J823" t="inlineStr">
        <is>
          <t>Neutral</t>
        </is>
      </c>
      <c r="K823" t="inlineStr">
        <is>
          <t>Medium</t>
        </is>
      </c>
      <c r="L823" t="inlineStr">
        <is>
          <t>Blocks Key Task</t>
        </is>
      </c>
      <c r="M823" t="inlineStr">
        <is>
          <t>int_email</t>
        </is>
      </c>
      <c r="N823" t="inlineStr">
        <is>
          <t>Email and calendar sync drops</t>
        </is>
      </c>
      <c r="O823" t="inlineStr">
        <is>
          <t>2026-05</t>
        </is>
      </c>
    </row>
    <row r="824">
      <c r="A824" t="inlineStr">
        <is>
          <t>FB-00823</t>
        </is>
      </c>
      <c r="B824" t="inlineStr">
        <is>
          <t>CUST-0221</t>
        </is>
      </c>
      <c r="C824" s="11" t="n">
        <v>46152</v>
      </c>
      <c r="D824" t="inlineStr">
        <is>
          <t>In-App Feedback</t>
        </is>
      </c>
      <c r="E824" t="inlineStr">
        <is>
          <t>Professional</t>
        </is>
      </c>
      <c r="F824" t="inlineStr">
        <is>
          <t>SMB</t>
        </is>
      </c>
      <c r="G824" t="inlineStr">
        <is>
          <t>Reporting</t>
        </is>
      </c>
      <c r="H824" t="inlineStr">
        <is>
          <t>Feature Request</t>
        </is>
      </c>
      <c r="I824" t="inlineStr">
        <is>
          <t>Please add a custom report builder; today an analyst rebuilds the same report every week. Our marketing ops owner flagged it while onboarding 75 new users.</t>
        </is>
      </c>
      <c r="J824" t="inlineStr">
        <is>
          <t>Neutral</t>
        </is>
      </c>
      <c r="K824" t="inlineStr">
        <is>
          <t>Low</t>
        </is>
      </c>
      <c r="L824" t="inlineStr">
        <is>
          <t>Minor Inconvenience</t>
        </is>
      </c>
      <c r="M824" t="inlineStr">
        <is>
          <t>rep_custom</t>
        </is>
      </c>
      <c r="N824" t="inlineStr">
        <is>
          <t>Custom and scheduled reports</t>
        </is>
      </c>
      <c r="O824" t="inlineStr">
        <is>
          <t>2026-05</t>
        </is>
      </c>
    </row>
    <row r="825">
      <c r="A825" t="inlineStr">
        <is>
          <t>FB-00824</t>
        </is>
      </c>
      <c r="B825" t="inlineStr">
        <is>
          <t>CUST-0145</t>
        </is>
      </c>
      <c r="C825" s="11" t="n">
        <v>46152</v>
      </c>
      <c r="D825" t="inlineStr">
        <is>
          <t>Support Ticket</t>
        </is>
      </c>
      <c r="E825" t="inlineStr">
        <is>
          <t>Professional</t>
        </is>
      </c>
      <c r="F825" t="inlineStr">
        <is>
          <t>SMB</t>
        </is>
      </c>
      <c r="G825" t="inlineStr">
        <is>
          <t>Workflow Automation</t>
        </is>
      </c>
      <c r="H825" t="inlineStr">
        <is>
          <t>Bug</t>
        </is>
      </c>
      <c r="I825" t="inlineStr">
        <is>
          <t>Several workflow failures left deals stuck in the wrong stage. Our marketing ops owner flagged it while onboarding 23 new users. Support suggested logging it here.</t>
        </is>
      </c>
      <c r="J825" t="inlineStr">
        <is>
          <t>Negative</t>
        </is>
      </c>
      <c r="K825" t="inlineStr">
        <is>
          <t>Medium</t>
        </is>
      </c>
      <c r="L825" t="inlineStr">
        <is>
          <t>Blocks Key Task</t>
        </is>
      </c>
      <c r="M825" t="inlineStr">
        <is>
          <t>wf_fail</t>
        </is>
      </c>
      <c r="N825" t="inlineStr">
        <is>
          <t>Workflows failing silently</t>
        </is>
      </c>
      <c r="O825" t="inlineStr">
        <is>
          <t>2026-05</t>
        </is>
      </c>
    </row>
    <row r="826">
      <c r="A826" t="inlineStr">
        <is>
          <t>FB-00825</t>
        </is>
      </c>
      <c r="B826" t="inlineStr">
        <is>
          <t>CUST-0322</t>
        </is>
      </c>
      <c r="C826" s="11" t="n">
        <v>46152</v>
      </c>
      <c r="D826" t="inlineStr">
        <is>
          <t>In-App Feedback</t>
        </is>
      </c>
      <c r="E826" t="inlineStr">
        <is>
          <t>Starter</t>
        </is>
      </c>
      <c r="F826" t="inlineStr">
        <is>
          <t>SMB</t>
        </is>
      </c>
      <c r="G826" t="inlineStr">
        <is>
          <t>Lead Management</t>
        </is>
      </c>
      <c r="H826" t="inlineStr">
        <is>
          <t>Performance Issue</t>
        </is>
      </c>
      <c r="I826" t="inlineStr">
        <is>
          <t>Escalating on behalf of our ops lead. Our pipeline board loading regularly exceeds ten seconds on Monday mornings.</t>
        </is>
      </c>
      <c r="J826" t="inlineStr">
        <is>
          <t>Negative</t>
        </is>
      </c>
      <c r="K826" t="inlineStr">
        <is>
          <t>Medium</t>
        </is>
      </c>
      <c r="L826" t="inlineStr">
        <is>
          <t>Blocks Key Task</t>
        </is>
      </c>
      <c r="M826" t="inlineStr">
        <is>
          <t>lead_slow</t>
        </is>
      </c>
      <c r="N826" t="inlineStr">
        <is>
          <t>Slow lead lists and pipeline board</t>
        </is>
      </c>
      <c r="O826" t="inlineStr">
        <is>
          <t>2026-05</t>
        </is>
      </c>
    </row>
    <row r="827">
      <c r="A827" t="inlineStr">
        <is>
          <t>FB-00826</t>
        </is>
      </c>
      <c r="B827" t="inlineStr">
        <is>
          <t>CUST-0002</t>
        </is>
      </c>
      <c r="C827" s="11" t="n">
        <v>46153</v>
      </c>
      <c r="D827" t="inlineStr">
        <is>
          <t>Customer Survey</t>
        </is>
      </c>
      <c r="E827" t="inlineStr">
        <is>
          <t>Starter</t>
        </is>
      </c>
      <c r="F827" t="inlineStr">
        <is>
          <t>SMB</t>
        </is>
      </c>
      <c r="G827" t="inlineStr">
        <is>
          <t>User Interface</t>
        </is>
      </c>
      <c r="H827" t="inlineStr">
        <is>
          <t>Usability Issue</t>
        </is>
      </c>
      <c r="I827" t="inlineStr">
        <is>
          <t>Not what we expected for the price. The settings navigation changed and nobody told us where things moved. Our admin flagged it while onboarding 72 new users. Is there a workaround?</t>
        </is>
      </c>
      <c r="J827" t="inlineStr">
        <is>
          <t>Negative</t>
        </is>
      </c>
      <c r="K827" t="inlineStr">
        <is>
          <t>Low</t>
        </is>
      </c>
      <c r="L827" t="inlineStr">
        <is>
          <t>Minor Inconvenience</t>
        </is>
      </c>
      <c r="M827" t="inlineStr">
        <is>
          <t>ui_nav</t>
        </is>
      </c>
      <c r="N827" t="inlineStr">
        <is>
          <t>Cluttered navigation</t>
        </is>
      </c>
      <c r="O827" t="inlineStr">
        <is>
          <t>2026-05</t>
        </is>
      </c>
    </row>
    <row r="828">
      <c r="A828" t="inlineStr">
        <is>
          <t>FB-00827</t>
        </is>
      </c>
      <c r="B828" t="inlineStr">
        <is>
          <t>CUST-0257</t>
        </is>
      </c>
      <c r="C828" s="11" t="n">
        <v>46153</v>
      </c>
      <c r="D828" t="inlineStr">
        <is>
          <t>Customer Survey</t>
        </is>
      </c>
      <c r="E828" t="inlineStr">
        <is>
          <t>Enterprise</t>
        </is>
      </c>
      <c r="F828" t="inlineStr">
        <is>
          <t>Mid-Market</t>
        </is>
      </c>
      <c r="G828" t="inlineStr">
        <is>
          <t>User Interface</t>
        </is>
      </c>
      <c r="H828" t="inlineStr">
        <is>
          <t>Feature Request</t>
        </is>
      </c>
      <c r="I828" t="inlineStr">
        <is>
          <t>Feedback from our monthly review. Requesting multi-select actions across every list view.</t>
        </is>
      </c>
      <c r="J828" t="inlineStr">
        <is>
          <t>Neutral</t>
        </is>
      </c>
      <c r="K828" t="inlineStr">
        <is>
          <t>Low</t>
        </is>
      </c>
      <c r="L828" t="inlineStr">
        <is>
          <t>Minor Inconvenience</t>
        </is>
      </c>
      <c r="M828" t="inlineStr">
        <is>
          <t>ui_bulk</t>
        </is>
      </c>
      <c r="N828" t="inlineStr">
        <is>
          <t>Bulk actions</t>
        </is>
      </c>
      <c r="O828" t="inlineStr">
        <is>
          <t>2026-05</t>
        </is>
      </c>
    </row>
    <row r="829">
      <c r="A829" t="inlineStr">
        <is>
          <t>FB-00828</t>
        </is>
      </c>
      <c r="B829" t="inlineStr">
        <is>
          <t>CUST-0204</t>
        </is>
      </c>
      <c r="C829" s="11" t="n">
        <v>46153</v>
      </c>
      <c r="D829" t="inlineStr">
        <is>
          <t>In-App Feedback</t>
        </is>
      </c>
      <c r="E829" t="inlineStr">
        <is>
          <t>Enterprise</t>
        </is>
      </c>
      <c r="F829" t="inlineStr">
        <is>
          <t>Enterprise</t>
        </is>
      </c>
      <c r="G829" t="inlineStr">
        <is>
          <t>Contact Management</t>
        </is>
      </c>
      <c r="H829" t="inlineStr">
        <is>
          <t>Bug</t>
        </is>
      </c>
      <c r="I829" t="inlineStr">
        <is>
          <t>This has been a recurring problem for us. The contact CSV import silently skipped rows and we only noticed days later. Our finance analyst flagged it while onboarding 115 new users. Is there a workaround?</t>
        </is>
      </c>
      <c r="J829" t="inlineStr">
        <is>
          <t>Negative</t>
        </is>
      </c>
      <c r="K829" t="inlineStr">
        <is>
          <t>Low</t>
        </is>
      </c>
      <c r="L829" t="inlineStr">
        <is>
          <t>Workflow Slowdown</t>
        </is>
      </c>
      <c r="M829" t="inlineStr">
        <is>
          <t>contact_import</t>
        </is>
      </c>
      <c r="N829" t="inlineStr">
        <is>
          <t>Unreliable contact imports</t>
        </is>
      </c>
      <c r="O829" t="inlineStr">
        <is>
          <t>2026-05</t>
        </is>
      </c>
    </row>
    <row r="830">
      <c r="A830" t="inlineStr">
        <is>
          <t>FB-00829</t>
        </is>
      </c>
      <c r="B830" t="inlineStr">
        <is>
          <t>CUST-0231</t>
        </is>
      </c>
      <c r="C830" s="11" t="n">
        <v>46153</v>
      </c>
      <c r="D830" t="inlineStr">
        <is>
          <t>Support Ticket</t>
        </is>
      </c>
      <c r="E830" t="inlineStr">
        <is>
          <t>Enterprise</t>
        </is>
      </c>
      <c r="F830" t="inlineStr">
        <is>
          <t>Enterprise</t>
        </is>
      </c>
      <c r="G830" t="inlineStr">
        <is>
          <t>Integrations</t>
        </is>
      </c>
      <c r="H830" t="inlineStr">
        <is>
          <t>Integration Issue</t>
        </is>
      </c>
      <c r="I830" t="inlineStr">
        <is>
          <t>Recent updates have been a nice improvement. We keep hitting API rate limits during nightly syncs with our data warehouse. Our marketing ops owner flagged it while onboarding 83 new users. Keep up the good work.</t>
        </is>
      </c>
      <c r="J830" t="inlineStr">
        <is>
          <t>Positive</t>
        </is>
      </c>
      <c r="K830" t="inlineStr">
        <is>
          <t>Medium</t>
        </is>
      </c>
      <c r="L830" t="inlineStr">
        <is>
          <t>Blocks Key Task</t>
        </is>
      </c>
      <c r="M830" t="inlineStr">
        <is>
          <t>int_api</t>
        </is>
      </c>
      <c r="N830" t="inlineStr">
        <is>
          <t>API limits and webhook failures</t>
        </is>
      </c>
      <c r="O830" t="inlineStr">
        <is>
          <t>2026-05</t>
        </is>
      </c>
    </row>
    <row r="831">
      <c r="A831" t="inlineStr">
        <is>
          <t>FB-00830</t>
        </is>
      </c>
      <c r="B831" t="inlineStr">
        <is>
          <t>CUST-0036</t>
        </is>
      </c>
      <c r="C831" s="11" t="n">
        <v>46153</v>
      </c>
      <c r="D831" t="inlineStr">
        <is>
          <t>Support Ticket</t>
        </is>
      </c>
      <c r="E831" t="inlineStr">
        <is>
          <t>Starter</t>
        </is>
      </c>
      <c r="F831" t="inlineStr">
        <is>
          <t>SMB</t>
        </is>
      </c>
      <c r="G831" t="inlineStr">
        <is>
          <t>User Interface</t>
        </is>
      </c>
      <c r="H831" t="inlineStr">
        <is>
          <t>Usability Issue</t>
        </is>
      </c>
      <c r="I831" t="inlineStr">
        <is>
          <t>Escalating on behalf of our ops lead. Too many clicks to reach common screens because of the navigation menu. So far 62 people on our side have reported it. Please look into it soon.</t>
        </is>
      </c>
      <c r="J831" t="inlineStr">
        <is>
          <t>Negative</t>
        </is>
      </c>
      <c r="K831" t="inlineStr">
        <is>
          <t>Low</t>
        </is>
      </c>
      <c r="L831" t="inlineStr">
        <is>
          <t>Minor Inconvenience</t>
        </is>
      </c>
      <c r="M831" t="inlineStr">
        <is>
          <t>ui_nav</t>
        </is>
      </c>
      <c r="N831" t="inlineStr">
        <is>
          <t>Cluttered navigation</t>
        </is>
      </c>
      <c r="O831" t="inlineStr">
        <is>
          <t>2026-05</t>
        </is>
      </c>
    </row>
    <row r="832">
      <c r="A832" t="inlineStr">
        <is>
          <t>FB-00831</t>
        </is>
      </c>
      <c r="B832" t="inlineStr">
        <is>
          <t>CUST-0145</t>
        </is>
      </c>
      <c r="C832" s="11" t="n">
        <v>46154</v>
      </c>
      <c r="D832" t="inlineStr">
        <is>
          <t>In-App Feedback</t>
        </is>
      </c>
      <c r="E832" t="inlineStr">
        <is>
          <t>Professional</t>
        </is>
      </c>
      <c r="F832" t="inlineStr">
        <is>
          <t>SMB</t>
        </is>
      </c>
      <c r="G832" t="inlineStr">
        <is>
          <t>Integrations</t>
        </is>
      </c>
      <c r="H832" t="inlineStr">
        <is>
          <t>Integration Issue</t>
        </is>
      </c>
      <c r="I832" t="inlineStr">
        <is>
          <t>Escalating on behalf of our ops lead. Our integration partner flagged webhook delivery as a risk for the project.</t>
        </is>
      </c>
      <c r="J832" t="inlineStr">
        <is>
          <t>Negative</t>
        </is>
      </c>
      <c r="K832" t="inlineStr">
        <is>
          <t>High</t>
        </is>
      </c>
      <c r="L832" t="inlineStr">
        <is>
          <t>Blocks Key Task</t>
        </is>
      </c>
      <c r="M832" t="inlineStr">
        <is>
          <t>int_api</t>
        </is>
      </c>
      <c r="N832" t="inlineStr">
        <is>
          <t>API limits and webhook failures</t>
        </is>
      </c>
      <c r="O832" t="inlineStr">
        <is>
          <t>2026-05</t>
        </is>
      </c>
    </row>
    <row r="833">
      <c r="A833" t="inlineStr">
        <is>
          <t>FB-00832</t>
        </is>
      </c>
      <c r="B833" t="inlineStr">
        <is>
          <t>CUST-0116</t>
        </is>
      </c>
      <c r="C833" s="11" t="n">
        <v>46154</v>
      </c>
      <c r="D833" t="inlineStr">
        <is>
          <t>Support Ticket</t>
        </is>
      </c>
      <c r="E833" t="inlineStr">
        <is>
          <t>Professional</t>
        </is>
      </c>
      <c r="F833" t="inlineStr">
        <is>
          <t>SMB</t>
        </is>
      </c>
      <c r="G833" t="inlineStr">
        <is>
          <t>User Interface</t>
        </is>
      </c>
      <c r="H833" t="inlineStr">
        <is>
          <t>Performance Issue</t>
        </is>
      </c>
      <c r="I833" t="inlineStr">
        <is>
          <t>FYI for the product team. We notice page lag whenever more than a few tabs are open. So far 16 people on our side have reported it. Happy to join a feedback call.</t>
        </is>
      </c>
      <c r="J833" t="inlineStr">
        <is>
          <t>Neutral</t>
        </is>
      </c>
      <c r="K833" t="inlineStr">
        <is>
          <t>Medium</t>
        </is>
      </c>
      <c r="L833" t="inlineStr">
        <is>
          <t>Workflow Slowdown</t>
        </is>
      </c>
      <c r="M833" t="inlineStr">
        <is>
          <t>ui_perf</t>
        </is>
      </c>
      <c r="N833" t="inlineStr">
        <is>
          <t>Laggy pages</t>
        </is>
      </c>
      <c r="O833" t="inlineStr">
        <is>
          <t>2026-05</t>
        </is>
      </c>
    </row>
    <row r="834">
      <c r="A834" t="inlineStr">
        <is>
          <t>FB-00833</t>
        </is>
      </c>
      <c r="B834" t="inlineStr">
        <is>
          <t>CUST-0352</t>
        </is>
      </c>
      <c r="C834" s="11" t="n">
        <v>46154</v>
      </c>
      <c r="D834" t="inlineStr">
        <is>
          <t>Support Ticket</t>
        </is>
      </c>
      <c r="E834" t="inlineStr">
        <is>
          <t>Starter</t>
        </is>
      </c>
      <c r="F834" t="inlineStr">
        <is>
          <t>SMB</t>
        </is>
      </c>
      <c r="G834" t="inlineStr">
        <is>
          <t>Workflow Automation</t>
        </is>
      </c>
      <c r="H834" t="inlineStr">
        <is>
          <t>Usability Issue</t>
        </is>
      </c>
      <c r="I834" t="inlineStr">
        <is>
          <t>Noting this during onboarding. The workflow builder is hard to follow once a flow has more than a handful of steps. It happens about 7 times a week for our team of 25.</t>
        </is>
      </c>
      <c r="J834" t="inlineStr">
        <is>
          <t>Neutral</t>
        </is>
      </c>
      <c r="K834" t="inlineStr">
        <is>
          <t>Low</t>
        </is>
      </c>
      <c r="L834" t="inlineStr">
        <is>
          <t>Minor Inconvenience</t>
        </is>
      </c>
      <c r="M834" t="inlineStr">
        <is>
          <t>wf_builder</t>
        </is>
      </c>
      <c r="N834" t="inlineStr">
        <is>
          <t>Confusing workflow builder</t>
        </is>
      </c>
      <c r="O834" t="inlineStr">
        <is>
          <t>2026-05</t>
        </is>
      </c>
    </row>
    <row r="835">
      <c r="A835" t="inlineStr">
        <is>
          <t>FB-00834</t>
        </is>
      </c>
      <c r="B835" t="inlineStr">
        <is>
          <t>CUST-0226</t>
        </is>
      </c>
      <c r="C835" s="11" t="n">
        <v>46154</v>
      </c>
      <c r="D835" t="inlineStr">
        <is>
          <t>Customer Survey</t>
        </is>
      </c>
      <c r="E835" t="inlineStr">
        <is>
          <t>Professional</t>
        </is>
      </c>
      <c r="F835" t="inlineStr">
        <is>
          <t>Enterprise</t>
        </is>
      </c>
      <c r="G835" t="inlineStr">
        <is>
          <t>User Interface</t>
        </is>
      </c>
      <c r="H835" t="inlineStr">
        <is>
          <t>Feature Request</t>
        </is>
      </c>
      <c r="I835" t="inlineStr">
        <is>
          <t>Our field reps need offline mobile access to update deals between visits. Let us know if you need examples.</t>
        </is>
      </c>
      <c r="J835" t="inlineStr">
        <is>
          <t>Neutral</t>
        </is>
      </c>
      <c r="K835" t="inlineStr">
        <is>
          <t>Low</t>
        </is>
      </c>
      <c r="L835" t="inlineStr">
        <is>
          <t>Minor Inconvenience</t>
        </is>
      </c>
      <c r="M835" t="inlineStr">
        <is>
          <t>ui_mobile</t>
        </is>
      </c>
      <c r="N835" t="inlineStr">
        <is>
          <t>Mobile app</t>
        </is>
      </c>
      <c r="O835" t="inlineStr">
        <is>
          <t>2026-05</t>
        </is>
      </c>
    </row>
    <row r="836">
      <c r="A836" t="inlineStr">
        <is>
          <t>FB-00835</t>
        </is>
      </c>
      <c r="B836" t="inlineStr">
        <is>
          <t>CUST-0313</t>
        </is>
      </c>
      <c r="C836" s="11" t="n">
        <v>46154</v>
      </c>
      <c r="D836" t="inlineStr">
        <is>
          <t>Support Ticket</t>
        </is>
      </c>
      <c r="E836" t="inlineStr">
        <is>
          <t>Starter</t>
        </is>
      </c>
      <c r="F836" t="inlineStr">
        <is>
          <t>SMB</t>
        </is>
      </c>
      <c r="G836" t="inlineStr">
        <is>
          <t>Reporting</t>
        </is>
      </c>
      <c r="H836" t="inlineStr">
        <is>
          <t>Bug</t>
        </is>
      </c>
      <c r="I836" t="inlineStr">
        <is>
          <t>Raising this again after our last business review. The report export times out for date ranges longer than a quarter. Support suggested logging it here.</t>
        </is>
      </c>
      <c r="J836" t="inlineStr">
        <is>
          <t>Negative</t>
        </is>
      </c>
      <c r="K836" t="inlineStr">
        <is>
          <t>Critical</t>
        </is>
      </c>
      <c r="L836" t="inlineStr">
        <is>
          <t>Revenue/Operations Risk</t>
        </is>
      </c>
      <c r="M836" t="inlineStr">
        <is>
          <t>rep_export</t>
        </is>
      </c>
      <c r="N836" t="inlineStr">
        <is>
          <t>Broken report exports</t>
        </is>
      </c>
      <c r="O836" t="inlineStr">
        <is>
          <t>2026-05</t>
        </is>
      </c>
    </row>
    <row r="837">
      <c r="A837" t="inlineStr">
        <is>
          <t>FB-00836</t>
        </is>
      </c>
      <c r="B837" t="inlineStr">
        <is>
          <t>CUST-0420</t>
        </is>
      </c>
      <c r="C837" s="11" t="n">
        <v>46154</v>
      </c>
      <c r="D837" t="inlineStr">
        <is>
          <t>Customer Survey</t>
        </is>
      </c>
      <c r="E837" t="inlineStr">
        <is>
          <t>Enterprise</t>
        </is>
      </c>
      <c r="F837" t="inlineStr">
        <is>
          <t>Enterprise</t>
        </is>
      </c>
      <c r="G837" t="inlineStr">
        <is>
          <t>Integrations</t>
        </is>
      </c>
      <c r="H837" t="inlineStr">
        <is>
          <t>Feature Request</t>
        </is>
      </c>
      <c r="I837" t="inlineStr">
        <is>
          <t>Noting this during onboarding. Requesting SCIM provisioning for our compliance audit.</t>
        </is>
      </c>
      <c r="J837" t="inlineStr">
        <is>
          <t>Neutral</t>
        </is>
      </c>
      <c r="K837" t="inlineStr">
        <is>
          <t>Medium</t>
        </is>
      </c>
      <c r="L837" t="inlineStr">
        <is>
          <t>Revenue/Operations Risk</t>
        </is>
      </c>
      <c r="M837" t="inlineStr">
        <is>
          <t>int_sso</t>
        </is>
      </c>
      <c r="N837" t="inlineStr">
        <is>
          <t>SSO and provisioning</t>
        </is>
      </c>
      <c r="O837" t="inlineStr">
        <is>
          <t>2026-05</t>
        </is>
      </c>
    </row>
    <row r="838">
      <c r="A838" t="inlineStr">
        <is>
          <t>FB-00837</t>
        </is>
      </c>
      <c r="B838" t="inlineStr">
        <is>
          <t>CUST-0108</t>
        </is>
      </c>
      <c r="C838" s="11" t="n">
        <v>46155</v>
      </c>
      <c r="D838" t="inlineStr">
        <is>
          <t>Feature Request</t>
        </is>
      </c>
      <c r="E838" t="inlineStr">
        <is>
          <t>Enterprise</t>
        </is>
      </c>
      <c r="F838" t="inlineStr">
        <is>
          <t>Mid-Market</t>
        </is>
      </c>
      <c r="G838" t="inlineStr">
        <is>
          <t>Reporting</t>
        </is>
      </c>
      <c r="H838" t="inlineStr">
        <is>
          <t>Feature Request</t>
        </is>
      </c>
      <c r="I838" t="inlineStr">
        <is>
          <t>Quick note from our admin. Please add a custom report builder; today an analyst rebuilds the same report every week.</t>
        </is>
      </c>
      <c r="J838" t="inlineStr">
        <is>
          <t>Neutral</t>
        </is>
      </c>
      <c r="K838" t="inlineStr">
        <is>
          <t>High</t>
        </is>
      </c>
      <c r="L838" t="inlineStr">
        <is>
          <t>Blocks Key Task</t>
        </is>
      </c>
      <c r="M838" t="inlineStr">
        <is>
          <t>rep_custom</t>
        </is>
      </c>
      <c r="N838" t="inlineStr">
        <is>
          <t>Custom and scheduled reports</t>
        </is>
      </c>
      <c r="O838" t="inlineStr">
        <is>
          <t>2026-05</t>
        </is>
      </c>
    </row>
    <row r="839">
      <c r="A839" t="inlineStr">
        <is>
          <t>FB-00838</t>
        </is>
      </c>
      <c r="B839" t="inlineStr">
        <is>
          <t>CUST-0340</t>
        </is>
      </c>
      <c r="C839" s="11" t="n">
        <v>46155</v>
      </c>
      <c r="D839" t="inlineStr">
        <is>
          <t>Customer Survey</t>
        </is>
      </c>
      <c r="E839" t="inlineStr">
        <is>
          <t>Professional</t>
        </is>
      </c>
      <c r="F839" t="inlineStr">
        <is>
          <t>Mid-Market</t>
        </is>
      </c>
      <c r="G839" t="inlineStr">
        <is>
          <t>Workflow Automation</t>
        </is>
      </c>
      <c r="H839" t="inlineStr">
        <is>
          <t>Feature Request</t>
        </is>
      </c>
      <c r="I839" t="inlineStr">
        <is>
          <t>Quick note from our admin. We'd adopt automation faster with workflow templates we could customize. It affects our month-end reporting process every cycle.</t>
        </is>
      </c>
      <c r="J839" t="inlineStr">
        <is>
          <t>Neutral</t>
        </is>
      </c>
      <c r="K839" t="inlineStr">
        <is>
          <t>Low</t>
        </is>
      </c>
      <c r="L839" t="inlineStr">
        <is>
          <t>Workflow Slowdown</t>
        </is>
      </c>
      <c r="M839" t="inlineStr">
        <is>
          <t>wf_templates</t>
        </is>
      </c>
      <c r="N839" t="inlineStr">
        <is>
          <t>Workflow templates</t>
        </is>
      </c>
      <c r="O839" t="inlineStr">
        <is>
          <t>2026-05</t>
        </is>
      </c>
    </row>
    <row r="840">
      <c r="A840" t="inlineStr">
        <is>
          <t>FB-00839</t>
        </is>
      </c>
      <c r="B840" t="inlineStr">
        <is>
          <t>CUST-0394</t>
        </is>
      </c>
      <c r="C840" s="11" t="n">
        <v>46155</v>
      </c>
      <c r="D840" t="inlineStr">
        <is>
          <t>Feature Request</t>
        </is>
      </c>
      <c r="E840" t="inlineStr">
        <is>
          <t>Enterprise</t>
        </is>
      </c>
      <c r="F840" t="inlineStr">
        <is>
          <t>Enterprise</t>
        </is>
      </c>
      <c r="G840" t="inlineStr">
        <is>
          <t>Reporting</t>
        </is>
      </c>
      <c r="H840" t="inlineStr">
        <is>
          <t>Feature Request</t>
        </is>
      </c>
      <c r="I840" t="inlineStr">
        <is>
          <t>Happy with most of the product. We need scheduled report emails so non-technical managers can create their own views. We estimate we lose roughly 21 hours a month on this.</t>
        </is>
      </c>
      <c r="J840" t="inlineStr">
        <is>
          <t>Positive</t>
        </is>
      </c>
      <c r="K840" t="inlineStr">
        <is>
          <t>Medium</t>
        </is>
      </c>
      <c r="L840" t="inlineStr">
        <is>
          <t>Workflow Slowdown</t>
        </is>
      </c>
      <c r="M840" t="inlineStr">
        <is>
          <t>rep_custom</t>
        </is>
      </c>
      <c r="N840" t="inlineStr">
        <is>
          <t>Custom and scheduled reports</t>
        </is>
      </c>
      <c r="O840" t="inlineStr">
        <is>
          <t>2026-05</t>
        </is>
      </c>
    </row>
    <row r="841">
      <c r="A841" t="inlineStr">
        <is>
          <t>FB-00840</t>
        </is>
      </c>
      <c r="B841" t="inlineStr">
        <is>
          <t>CUST-0229</t>
        </is>
      </c>
      <c r="C841" s="11" t="n">
        <v>46156</v>
      </c>
      <c r="D841" t="inlineStr">
        <is>
          <t>Support Ticket</t>
        </is>
      </c>
      <c r="E841" t="inlineStr">
        <is>
          <t>Starter</t>
        </is>
      </c>
      <c r="F841" t="inlineStr">
        <is>
          <t>Mid-Market</t>
        </is>
      </c>
      <c r="G841" t="inlineStr">
        <is>
          <t>Lead Management</t>
        </is>
      </c>
      <c r="H841" t="inlineStr">
        <is>
          <t>Usability Issue</t>
        </is>
      </c>
      <c r="I841" t="inlineStr">
        <is>
          <t>Escalating on behalf of our ops lead. It is hard to understand how round-robin lead assignment decide who owns a lead. We estimate we lose roughly 34 hours a month on this.</t>
        </is>
      </c>
      <c r="J841" t="inlineStr">
        <is>
          <t>Negative</t>
        </is>
      </c>
      <c r="K841" t="inlineStr">
        <is>
          <t>High</t>
        </is>
      </c>
      <c r="L841" t="inlineStr">
        <is>
          <t>Revenue/Operations Risk</t>
        </is>
      </c>
      <c r="M841" t="inlineStr">
        <is>
          <t>lead_assign</t>
        </is>
      </c>
      <c r="N841" t="inlineStr">
        <is>
          <t>Lead routing is inflexible</t>
        </is>
      </c>
      <c r="O841" t="inlineStr">
        <is>
          <t>2026-05</t>
        </is>
      </c>
    </row>
    <row r="842">
      <c r="A842" t="inlineStr">
        <is>
          <t>FB-00841</t>
        </is>
      </c>
      <c r="B842" t="inlineStr">
        <is>
          <t>CUST-0409</t>
        </is>
      </c>
      <c r="C842" s="11" t="n">
        <v>46156</v>
      </c>
      <c r="D842" t="inlineStr">
        <is>
          <t>Customer Survey</t>
        </is>
      </c>
      <c r="E842" t="inlineStr">
        <is>
          <t>Starter</t>
        </is>
      </c>
      <c r="F842" t="inlineStr">
        <is>
          <t>SMB</t>
        </is>
      </c>
      <c r="G842" t="inlineStr">
        <is>
          <t>Lead Management</t>
        </is>
      </c>
      <c r="H842" t="inlineStr">
        <is>
          <t>Usability Issue</t>
        </is>
      </c>
      <c r="I842" t="inlineStr">
        <is>
          <t>Feedback from our monthly review. It is hard to understand how lead routing rules decide who owns a lead. It affects our month-end reporting process every cycle. Let us know if you need examples.</t>
        </is>
      </c>
      <c r="J842" t="inlineStr">
        <is>
          <t>Neutral</t>
        </is>
      </c>
      <c r="K842" t="inlineStr">
        <is>
          <t>High</t>
        </is>
      </c>
      <c r="L842" t="inlineStr">
        <is>
          <t>Minor Inconvenience</t>
        </is>
      </c>
      <c r="M842" t="inlineStr">
        <is>
          <t>lead_assign</t>
        </is>
      </c>
      <c r="N842" t="inlineStr">
        <is>
          <t>Lead routing is inflexible</t>
        </is>
      </c>
      <c r="O842" t="inlineStr">
        <is>
          <t>2026-05</t>
        </is>
      </c>
    </row>
    <row r="843">
      <c r="A843" t="inlineStr">
        <is>
          <t>FB-00842</t>
        </is>
      </c>
      <c r="B843" t="inlineStr">
        <is>
          <t>CUST-0231</t>
        </is>
      </c>
      <c r="C843" s="11" t="n">
        <v>46156</v>
      </c>
      <c r="D843" t="inlineStr">
        <is>
          <t>Feature Request</t>
        </is>
      </c>
      <c r="E843" t="inlineStr">
        <is>
          <t>Enterprise</t>
        </is>
      </c>
      <c r="F843" t="inlineStr">
        <is>
          <t>Enterprise</t>
        </is>
      </c>
      <c r="G843" t="inlineStr">
        <is>
          <t>Contact Management</t>
        </is>
      </c>
      <c r="H843" t="inlineStr">
        <is>
          <t>Feature Request</t>
        </is>
      </c>
      <c r="I843" t="inlineStr">
        <is>
          <t>Please build contact de-duplication tooling with a preview of what will be combined. It happens about 12 times a week for our team of 34. Keep up the good work.</t>
        </is>
      </c>
      <c r="J843" t="inlineStr">
        <is>
          <t>Positive</t>
        </is>
      </c>
      <c r="K843" t="inlineStr">
        <is>
          <t>Medium</t>
        </is>
      </c>
      <c r="L843" t="inlineStr">
        <is>
          <t>Workflow Slowdown</t>
        </is>
      </c>
      <c r="M843" t="inlineStr">
        <is>
          <t>contact_dedupe</t>
        </is>
      </c>
      <c r="N843" t="inlineStr">
        <is>
          <t>Bulk contact merge</t>
        </is>
      </c>
      <c r="O843" t="inlineStr">
        <is>
          <t>2026-05</t>
        </is>
      </c>
    </row>
    <row r="844">
      <c r="A844" t="inlineStr">
        <is>
          <t>FB-00843</t>
        </is>
      </c>
      <c r="B844" t="inlineStr">
        <is>
          <t>CUST-0186</t>
        </is>
      </c>
      <c r="C844" s="11" t="n">
        <v>46156</v>
      </c>
      <c r="D844" t="inlineStr">
        <is>
          <t>Feature Request</t>
        </is>
      </c>
      <c r="E844" t="inlineStr">
        <is>
          <t>Professional</t>
        </is>
      </c>
      <c r="F844" t="inlineStr">
        <is>
          <t>SMB</t>
        </is>
      </c>
      <c r="G844" t="inlineStr">
        <is>
          <t>Reporting</t>
        </is>
      </c>
      <c r="H844" t="inlineStr">
        <is>
          <t>Feature Request</t>
        </is>
      </c>
      <c r="I844" t="inlineStr">
        <is>
          <t>Please add quota tracking; managers keep a separate spreadsheet. It affects our quarterly planning process every cycle.</t>
        </is>
      </c>
      <c r="J844" t="inlineStr">
        <is>
          <t>Negative</t>
        </is>
      </c>
      <c r="K844" t="inlineStr">
        <is>
          <t>Medium</t>
        </is>
      </c>
      <c r="L844" t="inlineStr">
        <is>
          <t>Blocks Key Task</t>
        </is>
      </c>
      <c r="M844" t="inlineStr">
        <is>
          <t>rep_forecast</t>
        </is>
      </c>
      <c r="N844" t="inlineStr">
        <is>
          <t>Sales forecasting</t>
        </is>
      </c>
      <c r="O844" t="inlineStr">
        <is>
          <t>2026-05</t>
        </is>
      </c>
    </row>
    <row r="845">
      <c r="A845" t="inlineStr">
        <is>
          <t>FB-00844</t>
        </is>
      </c>
      <c r="B845" t="inlineStr">
        <is>
          <t>CUST-0352</t>
        </is>
      </c>
      <c r="C845" s="11" t="n">
        <v>46156</v>
      </c>
      <c r="D845" t="inlineStr">
        <is>
          <t>In-App Feedback</t>
        </is>
      </c>
      <c r="E845" t="inlineStr">
        <is>
          <t>Starter</t>
        </is>
      </c>
      <c r="F845" t="inlineStr">
        <is>
          <t>SMB</t>
        </is>
      </c>
      <c r="G845" t="inlineStr">
        <is>
          <t>Reporting</t>
        </is>
      </c>
      <c r="H845" t="inlineStr">
        <is>
          <t>Performance Issue</t>
        </is>
      </c>
      <c r="I845" t="inlineStr">
        <is>
          <t>Our dashboard refresh spins for a minute before showing any chart.</t>
        </is>
      </c>
      <c r="J845" t="inlineStr">
        <is>
          <t>Negative</t>
        </is>
      </c>
      <c r="K845" t="inlineStr">
        <is>
          <t>High</t>
        </is>
      </c>
      <c r="L845" t="inlineStr">
        <is>
          <t>Blocks Key Task</t>
        </is>
      </c>
      <c r="M845" t="inlineStr">
        <is>
          <t>rep_slow</t>
        </is>
      </c>
      <c r="N845" t="inlineStr">
        <is>
          <t>Slow dashboards</t>
        </is>
      </c>
      <c r="O845" t="inlineStr">
        <is>
          <t>2026-05</t>
        </is>
      </c>
    </row>
    <row r="846">
      <c r="A846" t="inlineStr">
        <is>
          <t>FB-00845</t>
        </is>
      </c>
      <c r="B846" t="inlineStr">
        <is>
          <t>CUST-0226</t>
        </is>
      </c>
      <c r="C846" s="11" t="n">
        <v>46156</v>
      </c>
      <c r="D846" t="inlineStr">
        <is>
          <t>Customer Survey</t>
        </is>
      </c>
      <c r="E846" t="inlineStr">
        <is>
          <t>Professional</t>
        </is>
      </c>
      <c r="F846" t="inlineStr">
        <is>
          <t>Enterprise</t>
        </is>
      </c>
      <c r="G846" t="inlineStr">
        <is>
          <t>Contact Management</t>
        </is>
      </c>
      <c r="H846" t="inlineStr">
        <is>
          <t>Feature Request</t>
        </is>
      </c>
      <c r="I846" t="inlineStr">
        <is>
          <t>Please build a tool to merge duplicate contacts with a preview of what will be combined. It happens about 23 times a week for our team of 78. Let us know if you need examples.</t>
        </is>
      </c>
      <c r="J846" t="inlineStr">
        <is>
          <t>Neutral</t>
        </is>
      </c>
      <c r="K846" t="inlineStr">
        <is>
          <t>Low</t>
        </is>
      </c>
      <c r="L846" t="inlineStr">
        <is>
          <t>Workflow Slowdown</t>
        </is>
      </c>
      <c r="M846" t="inlineStr">
        <is>
          <t>contact_dedupe</t>
        </is>
      </c>
      <c r="N846" t="inlineStr">
        <is>
          <t>Bulk contact merge</t>
        </is>
      </c>
      <c r="O846" t="inlineStr">
        <is>
          <t>2026-05</t>
        </is>
      </c>
    </row>
    <row r="847">
      <c r="A847" t="inlineStr">
        <is>
          <t>FB-00846</t>
        </is>
      </c>
      <c r="B847" t="inlineStr">
        <is>
          <t>CUST-0284</t>
        </is>
      </c>
      <c r="C847" s="11" t="n">
        <v>46157</v>
      </c>
      <c r="D847" t="inlineStr">
        <is>
          <t>In-App Feedback</t>
        </is>
      </c>
      <c r="E847" t="inlineStr">
        <is>
          <t>Enterprise</t>
        </is>
      </c>
      <c r="F847" t="inlineStr">
        <is>
          <t>Enterprise</t>
        </is>
      </c>
      <c r="G847" t="inlineStr">
        <is>
          <t>Integrations</t>
        </is>
      </c>
      <c r="H847" t="inlineStr">
        <is>
          <t>Integration Issue</t>
        </is>
      </c>
      <c r="I847" t="inlineStr">
        <is>
          <t>Escalating on behalf of our ops lead. Our integration partner flagged webhook delivery as a risk for the project. It happens about 27 times a week for our team of 60.</t>
        </is>
      </c>
      <c r="J847" t="inlineStr">
        <is>
          <t>Negative</t>
        </is>
      </c>
      <c r="K847" t="inlineStr">
        <is>
          <t>Low</t>
        </is>
      </c>
      <c r="L847" t="inlineStr">
        <is>
          <t>Minor Inconvenience</t>
        </is>
      </c>
      <c r="M847" t="inlineStr">
        <is>
          <t>int_api</t>
        </is>
      </c>
      <c r="N847" t="inlineStr">
        <is>
          <t>API limits and webhook failures</t>
        </is>
      </c>
      <c r="O847" t="inlineStr">
        <is>
          <t>2026-05</t>
        </is>
      </c>
    </row>
    <row r="848">
      <c r="A848" t="inlineStr">
        <is>
          <t>FB-00847</t>
        </is>
      </c>
      <c r="B848" t="inlineStr">
        <is>
          <t>CUST-0082</t>
        </is>
      </c>
      <c r="C848" s="11" t="n">
        <v>46157</v>
      </c>
      <c r="D848" t="inlineStr">
        <is>
          <t>In-App Feedback</t>
        </is>
      </c>
      <c r="E848" t="inlineStr">
        <is>
          <t>Starter</t>
        </is>
      </c>
      <c r="F848" t="inlineStr">
        <is>
          <t>SMB</t>
        </is>
      </c>
      <c r="G848" t="inlineStr">
        <is>
          <t>Integrations</t>
        </is>
      </c>
      <c r="H848" t="inlineStr">
        <is>
          <t>Feature Request</t>
        </is>
      </c>
      <c r="I848" t="inlineStr">
        <is>
          <t>Happy with most of the product. Lack of a native accounting integration is a gap versus other CRMs we evaluated. We estimate we lose roughly 15 hours a month on this. Keep up the good work.</t>
        </is>
      </c>
      <c r="J848" t="inlineStr">
        <is>
          <t>Positive</t>
        </is>
      </c>
      <c r="K848" t="inlineStr">
        <is>
          <t>Low</t>
        </is>
      </c>
      <c r="L848" t="inlineStr">
        <is>
          <t>Minor Inconvenience</t>
        </is>
      </c>
      <c r="M848" t="inlineStr">
        <is>
          <t>int_native</t>
        </is>
      </c>
      <c r="N848" t="inlineStr">
        <is>
          <t>Native integrations</t>
        </is>
      </c>
      <c r="O848" t="inlineStr">
        <is>
          <t>2026-05</t>
        </is>
      </c>
    </row>
    <row r="849">
      <c r="A849" t="inlineStr">
        <is>
          <t>FB-00848</t>
        </is>
      </c>
      <c r="B849" t="inlineStr">
        <is>
          <t>CUST-0202</t>
        </is>
      </c>
      <c r="C849" s="11" t="n">
        <v>46157</v>
      </c>
      <c r="D849" t="inlineStr">
        <is>
          <t>In-App Feedback</t>
        </is>
      </c>
      <c r="E849" t="inlineStr">
        <is>
          <t>Enterprise</t>
        </is>
      </c>
      <c r="F849" t="inlineStr">
        <is>
          <t>Enterprise</t>
        </is>
      </c>
      <c r="G849" t="inlineStr">
        <is>
          <t>Contact Management</t>
        </is>
      </c>
      <c r="H849" t="inlineStr">
        <is>
          <t>Feature Request</t>
        </is>
      </c>
      <c r="I849" t="inlineStr">
        <is>
          <t>FYI for the product team. Please build a bulk contact merge with a preview of what will be combined. So far 70 people on our side have reported it. Let us know if you need examples.</t>
        </is>
      </c>
      <c r="J849" t="inlineStr">
        <is>
          <t>Neutral</t>
        </is>
      </c>
      <c r="K849" t="inlineStr">
        <is>
          <t>Low</t>
        </is>
      </c>
      <c r="L849" t="inlineStr">
        <is>
          <t>Workflow Slowdown</t>
        </is>
      </c>
      <c r="M849" t="inlineStr">
        <is>
          <t>contact_dedupe</t>
        </is>
      </c>
      <c r="N849" t="inlineStr">
        <is>
          <t>Bulk contact merge</t>
        </is>
      </c>
      <c r="O849" t="inlineStr">
        <is>
          <t>2026-05</t>
        </is>
      </c>
    </row>
    <row r="850">
      <c r="A850" t="inlineStr">
        <is>
          <t>FB-00849</t>
        </is>
      </c>
      <c r="B850" t="inlineStr">
        <is>
          <t>CUST-0309</t>
        </is>
      </c>
      <c r="C850" s="11" t="n">
        <v>46157</v>
      </c>
      <c r="D850" t="inlineStr">
        <is>
          <t>Customer Survey</t>
        </is>
      </c>
      <c r="E850" t="inlineStr">
        <is>
          <t>Starter</t>
        </is>
      </c>
      <c r="F850" t="inlineStr">
        <is>
          <t>SMB</t>
        </is>
      </c>
      <c r="G850" t="inlineStr">
        <is>
          <t>User Interface</t>
        </is>
      </c>
      <c r="H850" t="inlineStr">
        <is>
          <t>Feature Request</t>
        </is>
      </c>
      <c r="I850" t="inlineStr">
        <is>
          <t>Happy with most of the product. Requesting offline mobile access so reps can log activity right after a meeting.</t>
        </is>
      </c>
      <c r="J850" t="inlineStr">
        <is>
          <t>Positive</t>
        </is>
      </c>
      <c r="K850" t="inlineStr">
        <is>
          <t>Low</t>
        </is>
      </c>
      <c r="L850" t="inlineStr">
        <is>
          <t>Workflow Slowdown</t>
        </is>
      </c>
      <c r="M850" t="inlineStr">
        <is>
          <t>ui_mobile</t>
        </is>
      </c>
      <c r="N850" t="inlineStr">
        <is>
          <t>Mobile app</t>
        </is>
      </c>
      <c r="O850" t="inlineStr">
        <is>
          <t>2026-05</t>
        </is>
      </c>
    </row>
    <row r="851">
      <c r="A851" t="inlineStr">
        <is>
          <t>FB-00850</t>
        </is>
      </c>
      <c r="B851" t="inlineStr">
        <is>
          <t>CUST-0268</t>
        </is>
      </c>
      <c r="C851" s="11" t="n">
        <v>46157</v>
      </c>
      <c r="D851" t="inlineStr">
        <is>
          <t>Feature Request</t>
        </is>
      </c>
      <c r="E851" t="inlineStr">
        <is>
          <t>Professional</t>
        </is>
      </c>
      <c r="F851" t="inlineStr">
        <is>
          <t>Enterprise</t>
        </is>
      </c>
      <c r="G851" t="inlineStr">
        <is>
          <t>User Interface</t>
        </is>
      </c>
      <c r="H851" t="inlineStr">
        <is>
          <t>Feature Request</t>
        </is>
      </c>
      <c r="I851" t="inlineStr">
        <is>
          <t>Please add bulk edit actions; changing records one at a time wastes hours. Our finance analyst flagged it while onboarding 79 new users.</t>
        </is>
      </c>
      <c r="J851" t="inlineStr">
        <is>
          <t>Neutral</t>
        </is>
      </c>
      <c r="K851" t="inlineStr">
        <is>
          <t>Low</t>
        </is>
      </c>
      <c r="L851" t="inlineStr">
        <is>
          <t>Minor Inconvenience</t>
        </is>
      </c>
      <c r="M851" t="inlineStr">
        <is>
          <t>ui_bulk</t>
        </is>
      </c>
      <c r="N851" t="inlineStr">
        <is>
          <t>Bulk actions</t>
        </is>
      </c>
      <c r="O851" t="inlineStr">
        <is>
          <t>2026-05</t>
        </is>
      </c>
    </row>
    <row r="852">
      <c r="A852" t="inlineStr">
        <is>
          <t>FB-00851</t>
        </is>
      </c>
      <c r="B852" t="inlineStr">
        <is>
          <t>CUST-0126</t>
        </is>
      </c>
      <c r="C852" s="11" t="n">
        <v>46157</v>
      </c>
      <c r="D852" t="inlineStr">
        <is>
          <t>In-App Feedback</t>
        </is>
      </c>
      <c r="E852" t="inlineStr">
        <is>
          <t>Professional</t>
        </is>
      </c>
      <c r="F852" t="inlineStr">
        <is>
          <t>Mid-Market</t>
        </is>
      </c>
      <c r="G852" t="inlineStr">
        <is>
          <t>Integrations</t>
        </is>
      </c>
      <c r="H852" t="inlineStr">
        <is>
          <t>Integration Issue</t>
        </is>
      </c>
      <c r="I852" t="inlineStr">
        <is>
          <t>Not what we expected for the price. We keep hitting webhook delivery during nightly syncs with our data warehouse. Is there a workaround?</t>
        </is>
      </c>
      <c r="J852" t="inlineStr">
        <is>
          <t>Negative</t>
        </is>
      </c>
      <c r="K852" t="inlineStr">
        <is>
          <t>High</t>
        </is>
      </c>
      <c r="L852" t="inlineStr">
        <is>
          <t>Blocks Key Task</t>
        </is>
      </c>
      <c r="M852" t="inlineStr">
        <is>
          <t>int_api</t>
        </is>
      </c>
      <c r="N852" t="inlineStr">
        <is>
          <t>API limits and webhook failures</t>
        </is>
      </c>
      <c r="O852" t="inlineStr">
        <is>
          <t>2026-05</t>
        </is>
      </c>
    </row>
    <row r="853">
      <c r="A853" t="inlineStr">
        <is>
          <t>FB-00852</t>
        </is>
      </c>
      <c r="B853" t="inlineStr">
        <is>
          <t>CUST-0210</t>
        </is>
      </c>
      <c r="C853" s="11" t="n">
        <v>46157</v>
      </c>
      <c r="D853" t="inlineStr">
        <is>
          <t>Customer Survey</t>
        </is>
      </c>
      <c r="E853" t="inlineStr">
        <is>
          <t>Professional</t>
        </is>
      </c>
      <c r="F853" t="inlineStr">
        <is>
          <t>Mid-Market</t>
        </is>
      </c>
      <c r="G853" t="inlineStr">
        <is>
          <t>Reporting</t>
        </is>
      </c>
      <c r="H853" t="inlineStr">
        <is>
          <t>Performance Issue</t>
        </is>
      </c>
      <c r="I853" t="inlineStr">
        <is>
          <t>Dashboard loading got noticeably worse over the last few months. So far 114 people on our side have reported it.</t>
        </is>
      </c>
      <c r="J853" t="inlineStr">
        <is>
          <t>Negative</t>
        </is>
      </c>
      <c r="K853" t="inlineStr">
        <is>
          <t>Medium</t>
        </is>
      </c>
      <c r="L853" t="inlineStr">
        <is>
          <t>Blocks Key Task</t>
        </is>
      </c>
      <c r="M853" t="inlineStr">
        <is>
          <t>rep_slow</t>
        </is>
      </c>
      <c r="N853" t="inlineStr">
        <is>
          <t>Slow dashboards</t>
        </is>
      </c>
      <c r="O853" t="inlineStr">
        <is>
          <t>2026-05</t>
        </is>
      </c>
    </row>
    <row r="854">
      <c r="A854" t="inlineStr">
        <is>
          <t>FB-00853</t>
        </is>
      </c>
      <c r="B854" t="inlineStr">
        <is>
          <t>CUST-0229</t>
        </is>
      </c>
      <c r="C854" s="11" t="n">
        <v>46158</v>
      </c>
      <c r="D854" t="inlineStr">
        <is>
          <t>Feature Request</t>
        </is>
      </c>
      <c r="E854" t="inlineStr">
        <is>
          <t>Starter</t>
        </is>
      </c>
      <c r="F854" t="inlineStr">
        <is>
          <t>Mid-Market</t>
        </is>
      </c>
      <c r="G854" t="inlineStr">
        <is>
          <t>User Interface</t>
        </is>
      </c>
      <c r="H854" t="inlineStr">
        <is>
          <t>Feature Request</t>
        </is>
      </c>
      <c r="I854" t="inlineStr">
        <is>
          <t>Happy with most of the product. We lose notes whenever reps are away from a desk without a mobile app. Our marketing ops owner flagged it while onboarding 42 new users.</t>
        </is>
      </c>
      <c r="J854" t="inlineStr">
        <is>
          <t>Positive</t>
        </is>
      </c>
      <c r="K854" t="inlineStr">
        <is>
          <t>Low</t>
        </is>
      </c>
      <c r="L854" t="inlineStr">
        <is>
          <t>Minor Inconvenience</t>
        </is>
      </c>
      <c r="M854" t="inlineStr">
        <is>
          <t>ui_mobile</t>
        </is>
      </c>
      <c r="N854" t="inlineStr">
        <is>
          <t>Mobile app</t>
        </is>
      </c>
      <c r="O854" t="inlineStr">
        <is>
          <t>2026-05</t>
        </is>
      </c>
    </row>
    <row r="855">
      <c r="A855" t="inlineStr">
        <is>
          <t>FB-00854</t>
        </is>
      </c>
      <c r="B855" t="inlineStr">
        <is>
          <t>CUST-0119</t>
        </is>
      </c>
      <c r="C855" s="11" t="n">
        <v>46158</v>
      </c>
      <c r="D855" t="inlineStr">
        <is>
          <t>Feature Request</t>
        </is>
      </c>
      <c r="E855" t="inlineStr">
        <is>
          <t>Professional</t>
        </is>
      </c>
      <c r="F855" t="inlineStr">
        <is>
          <t>Mid-Market</t>
        </is>
      </c>
      <c r="G855" t="inlineStr">
        <is>
          <t>Workflow Automation</t>
        </is>
      </c>
      <c r="H855" t="inlineStr">
        <is>
          <t>Feature Request</t>
        </is>
      </c>
      <c r="I855" t="inlineStr">
        <is>
          <t>Please provide workflow templates for common processes like onboarding and renewals. Let us know if you need examples.</t>
        </is>
      </c>
      <c r="J855" t="inlineStr">
        <is>
          <t>Neutral</t>
        </is>
      </c>
      <c r="K855" t="inlineStr">
        <is>
          <t>Medium</t>
        </is>
      </c>
      <c r="L855" t="inlineStr">
        <is>
          <t>Minor Inconvenience</t>
        </is>
      </c>
      <c r="M855" t="inlineStr">
        <is>
          <t>wf_templates</t>
        </is>
      </c>
      <c r="N855" t="inlineStr">
        <is>
          <t>Workflow templates</t>
        </is>
      </c>
      <c r="O855" t="inlineStr">
        <is>
          <t>2026-05</t>
        </is>
      </c>
    </row>
    <row r="856">
      <c r="A856" t="inlineStr">
        <is>
          <t>FB-00855</t>
        </is>
      </c>
      <c r="B856" t="inlineStr">
        <is>
          <t>CUST-0311</t>
        </is>
      </c>
      <c r="C856" s="11" t="n">
        <v>46158</v>
      </c>
      <c r="D856" t="inlineStr">
        <is>
          <t>Support Ticket</t>
        </is>
      </c>
      <c r="E856" t="inlineStr">
        <is>
          <t>Starter</t>
        </is>
      </c>
      <c r="F856" t="inlineStr">
        <is>
          <t>SMB</t>
        </is>
      </c>
      <c r="G856" t="inlineStr">
        <is>
          <t>Integrations</t>
        </is>
      </c>
      <c r="H856" t="inlineStr">
        <is>
          <t>Integration Issue</t>
        </is>
      </c>
      <c r="I856" t="inlineStr">
        <is>
          <t>This has been a recurring problem for us. Our integration partner flagged API timeouts as a risk for the project. So far 92 people on our side have reported it.</t>
        </is>
      </c>
      <c r="J856" t="inlineStr">
        <is>
          <t>Negative</t>
        </is>
      </c>
      <c r="K856" t="inlineStr">
        <is>
          <t>Critical</t>
        </is>
      </c>
      <c r="L856" t="inlineStr">
        <is>
          <t>Revenue/Operations Risk</t>
        </is>
      </c>
      <c r="M856" t="inlineStr">
        <is>
          <t>int_api</t>
        </is>
      </c>
      <c r="N856" t="inlineStr">
        <is>
          <t>API limits and webhook failures</t>
        </is>
      </c>
      <c r="O856" t="inlineStr">
        <is>
          <t>2026-05</t>
        </is>
      </c>
    </row>
    <row r="857">
      <c r="A857" t="inlineStr">
        <is>
          <t>FB-00856</t>
        </is>
      </c>
      <c r="B857" t="inlineStr">
        <is>
          <t>CUST-0171</t>
        </is>
      </c>
      <c r="C857" s="11" t="n">
        <v>46158</v>
      </c>
      <c r="D857" t="inlineStr">
        <is>
          <t>In-App Feedback</t>
        </is>
      </c>
      <c r="E857" t="inlineStr">
        <is>
          <t>Professional</t>
        </is>
      </c>
      <c r="F857" t="inlineStr">
        <is>
          <t>Mid-Market</t>
        </is>
      </c>
      <c r="G857" t="inlineStr">
        <is>
          <t>Workflow Automation</t>
        </is>
      </c>
      <c r="H857" t="inlineStr">
        <is>
          <t>Bug</t>
        </is>
      </c>
      <c r="I857" t="inlineStr">
        <is>
          <t>Raising this again after our last business review. We are hitting workflow failures: emails don't send and nobody gets notified. Our sales manager flagged it while onboarding 17 new users. We need a fix before renewal.</t>
        </is>
      </c>
      <c r="J857" t="inlineStr">
        <is>
          <t>Negative</t>
        </is>
      </c>
      <c r="K857" t="inlineStr">
        <is>
          <t>Medium</t>
        </is>
      </c>
      <c r="L857" t="inlineStr">
        <is>
          <t>Workflow Slowdown</t>
        </is>
      </c>
      <c r="M857" t="inlineStr">
        <is>
          <t>wf_fail</t>
        </is>
      </c>
      <c r="N857" t="inlineStr">
        <is>
          <t>Workflows failing silently</t>
        </is>
      </c>
      <c r="O857" t="inlineStr">
        <is>
          <t>2026-05</t>
        </is>
      </c>
    </row>
    <row r="858">
      <c r="A858" t="inlineStr">
        <is>
          <t>FB-00857</t>
        </is>
      </c>
      <c r="B858" t="inlineStr">
        <is>
          <t>CUST-0258</t>
        </is>
      </c>
      <c r="C858" s="11" t="n">
        <v>46158</v>
      </c>
      <c r="D858" t="inlineStr">
        <is>
          <t>Feature Request</t>
        </is>
      </c>
      <c r="E858" t="inlineStr">
        <is>
          <t>Professional</t>
        </is>
      </c>
      <c r="F858" t="inlineStr">
        <is>
          <t>Mid-Market</t>
        </is>
      </c>
      <c r="G858" t="inlineStr">
        <is>
          <t>Workflow Automation</t>
        </is>
      </c>
      <c r="H858" t="inlineStr">
        <is>
          <t>Feature Request</t>
        </is>
      </c>
      <c r="I858" t="inlineStr">
        <is>
          <t>Escalating on behalf of our ops lead. Competitors ship workflow templates; we are rebuilding the same flows from scratch. We need a fix before renewal.</t>
        </is>
      </c>
      <c r="J858" t="inlineStr">
        <is>
          <t>Negative</t>
        </is>
      </c>
      <c r="K858" t="inlineStr">
        <is>
          <t>Low</t>
        </is>
      </c>
      <c r="L858" t="inlineStr">
        <is>
          <t>Minor Inconvenience</t>
        </is>
      </c>
      <c r="M858" t="inlineStr">
        <is>
          <t>wf_templates</t>
        </is>
      </c>
      <c r="N858" t="inlineStr">
        <is>
          <t>Workflow templates</t>
        </is>
      </c>
      <c r="O858" t="inlineStr">
        <is>
          <t>2026-05</t>
        </is>
      </c>
    </row>
    <row r="859">
      <c r="A859" t="inlineStr">
        <is>
          <t>FB-00858</t>
        </is>
      </c>
      <c r="B859" t="inlineStr">
        <is>
          <t>CUST-0197</t>
        </is>
      </c>
      <c r="C859" s="11" t="n">
        <v>46159</v>
      </c>
      <c r="D859" t="inlineStr">
        <is>
          <t>Feature Request</t>
        </is>
      </c>
      <c r="E859" t="inlineStr">
        <is>
          <t>Professional</t>
        </is>
      </c>
      <c r="F859" t="inlineStr">
        <is>
          <t>Mid-Market</t>
        </is>
      </c>
      <c r="G859" t="inlineStr">
        <is>
          <t>Contact Management</t>
        </is>
      </c>
      <c r="H859" t="inlineStr">
        <is>
          <t>Feature Request</t>
        </is>
      </c>
      <c r="I859" t="inlineStr">
        <is>
          <t>Feedback from our monthly review. A tool to merge duplicate contacts that keeps activity history would save our ops team hours. It happens about 11 times a week for our team of 18. Happy to join a feedback call.</t>
        </is>
      </c>
      <c r="J859" t="inlineStr">
        <is>
          <t>Neutral</t>
        </is>
      </c>
      <c r="K859" t="inlineStr">
        <is>
          <t>Medium</t>
        </is>
      </c>
      <c r="L859" t="inlineStr">
        <is>
          <t>Minor Inconvenience</t>
        </is>
      </c>
      <c r="M859" t="inlineStr">
        <is>
          <t>contact_dedupe</t>
        </is>
      </c>
      <c r="N859" t="inlineStr">
        <is>
          <t>Bulk contact merge</t>
        </is>
      </c>
      <c r="O859" t="inlineStr">
        <is>
          <t>2026-05</t>
        </is>
      </c>
    </row>
    <row r="860">
      <c r="A860" t="inlineStr">
        <is>
          <t>FB-00859</t>
        </is>
      </c>
      <c r="B860" t="inlineStr">
        <is>
          <t>CUST-0201</t>
        </is>
      </c>
      <c r="C860" s="11" t="n">
        <v>46159</v>
      </c>
      <c r="D860" t="inlineStr">
        <is>
          <t>Feature Request</t>
        </is>
      </c>
      <c r="E860" t="inlineStr">
        <is>
          <t>Starter</t>
        </is>
      </c>
      <c r="F860" t="inlineStr">
        <is>
          <t>SMB</t>
        </is>
      </c>
      <c r="G860" t="inlineStr">
        <is>
          <t>Workflow Automation</t>
        </is>
      </c>
      <c r="H860" t="inlineStr">
        <is>
          <t>Feature Request</t>
        </is>
      </c>
      <c r="I860" t="inlineStr">
        <is>
          <t>Happy with most of the product. Competitors ship automation recipes; we are rebuilding the same flows from scratch. We estimate we lose roughly 52 hours a month on this.</t>
        </is>
      </c>
      <c r="J860" t="inlineStr">
        <is>
          <t>Positive</t>
        </is>
      </c>
      <c r="K860" t="inlineStr">
        <is>
          <t>Medium</t>
        </is>
      </c>
      <c r="L860" t="inlineStr">
        <is>
          <t>Minor Inconvenience</t>
        </is>
      </c>
      <c r="M860" t="inlineStr">
        <is>
          <t>wf_templates</t>
        </is>
      </c>
      <c r="N860" t="inlineStr">
        <is>
          <t>Workflow templates</t>
        </is>
      </c>
      <c r="O860" t="inlineStr">
        <is>
          <t>2026-05</t>
        </is>
      </c>
    </row>
    <row r="861">
      <c r="A861" t="inlineStr">
        <is>
          <t>FB-00860</t>
        </is>
      </c>
      <c r="B861" t="inlineStr">
        <is>
          <t>CUST-0317</t>
        </is>
      </c>
      <c r="C861" s="11" t="n">
        <v>46159</v>
      </c>
      <c r="D861" t="inlineStr">
        <is>
          <t>In-App Feedback</t>
        </is>
      </c>
      <c r="E861" t="inlineStr">
        <is>
          <t>Starter</t>
        </is>
      </c>
      <c r="F861" t="inlineStr">
        <is>
          <t>SMB</t>
        </is>
      </c>
      <c r="G861" t="inlineStr">
        <is>
          <t>Reporting</t>
        </is>
      </c>
      <c r="H861" t="inlineStr">
        <is>
          <t>Feature Request</t>
        </is>
      </c>
      <c r="I861" t="inlineStr">
        <is>
          <t>Without a custom report builder we export raw data and rebuild everything elsewhere. We estimate we lose roughly 56 hours a month on this. Let us know if you need examples.</t>
        </is>
      </c>
      <c r="J861" t="inlineStr">
        <is>
          <t>Neutral</t>
        </is>
      </c>
      <c r="K861" t="inlineStr">
        <is>
          <t>Critical</t>
        </is>
      </c>
      <c r="L861" t="inlineStr">
        <is>
          <t>Workflow Slowdown</t>
        </is>
      </c>
      <c r="M861" t="inlineStr">
        <is>
          <t>rep_custom</t>
        </is>
      </c>
      <c r="N861" t="inlineStr">
        <is>
          <t>Custom and scheduled reports</t>
        </is>
      </c>
      <c r="O861" t="inlineStr">
        <is>
          <t>2026-05</t>
        </is>
      </c>
    </row>
    <row r="862">
      <c r="A862" t="inlineStr">
        <is>
          <t>FB-00861</t>
        </is>
      </c>
      <c r="B862" t="inlineStr">
        <is>
          <t>CUST-0365</t>
        </is>
      </c>
      <c r="C862" s="11" t="n">
        <v>46159</v>
      </c>
      <c r="D862" t="inlineStr">
        <is>
          <t>In-App Feedback</t>
        </is>
      </c>
      <c r="E862" t="inlineStr">
        <is>
          <t>Starter</t>
        </is>
      </c>
      <c r="F862" t="inlineStr">
        <is>
          <t>SMB</t>
        </is>
      </c>
      <c r="G862" t="inlineStr">
        <is>
          <t>Reporting</t>
        </is>
      </c>
      <c r="H862" t="inlineStr">
        <is>
          <t>Performance Issue</t>
        </is>
      </c>
      <c r="I862" t="inlineStr">
        <is>
          <t>This has been a recurring problem for us. The dashboard refresh is painfully slow with a full year of data. Please look into it soon.</t>
        </is>
      </c>
      <c r="J862" t="inlineStr">
        <is>
          <t>Negative</t>
        </is>
      </c>
      <c r="K862" t="inlineStr">
        <is>
          <t>Low</t>
        </is>
      </c>
      <c r="L862" t="inlineStr">
        <is>
          <t>Minor Inconvenience</t>
        </is>
      </c>
      <c r="M862" t="inlineStr">
        <is>
          <t>rep_slow</t>
        </is>
      </c>
      <c r="N862" t="inlineStr">
        <is>
          <t>Slow dashboards</t>
        </is>
      </c>
      <c r="O862" t="inlineStr">
        <is>
          <t>2026-05</t>
        </is>
      </c>
    </row>
    <row r="863">
      <c r="A863" t="inlineStr">
        <is>
          <t>FB-00862</t>
        </is>
      </c>
      <c r="B863" t="inlineStr">
        <is>
          <t>CUST-0306</t>
        </is>
      </c>
      <c r="C863" s="11" t="n">
        <v>46159</v>
      </c>
      <c r="D863" t="inlineStr">
        <is>
          <t>In-App Feedback</t>
        </is>
      </c>
      <c r="E863" t="inlineStr">
        <is>
          <t>Professional</t>
        </is>
      </c>
      <c r="F863" t="inlineStr">
        <is>
          <t>SMB</t>
        </is>
      </c>
      <c r="G863" t="inlineStr">
        <is>
          <t>Workflow Automation</t>
        </is>
      </c>
      <c r="H863" t="inlineStr">
        <is>
          <t>Bug</t>
        </is>
      </c>
      <c r="I863" t="inlineStr">
        <is>
          <t>Not what we expected for the price. We are hitting automation misfires: emails don't send and nobody gets notified.</t>
        </is>
      </c>
      <c r="J863" t="inlineStr">
        <is>
          <t>Negative</t>
        </is>
      </c>
      <c r="K863" t="inlineStr">
        <is>
          <t>Critical</t>
        </is>
      </c>
      <c r="L863" t="inlineStr">
        <is>
          <t>Revenue/Operations Risk</t>
        </is>
      </c>
      <c r="M863" t="inlineStr">
        <is>
          <t>wf_fail</t>
        </is>
      </c>
      <c r="N863" t="inlineStr">
        <is>
          <t>Workflows failing silently</t>
        </is>
      </c>
      <c r="O863" t="inlineStr">
        <is>
          <t>2026-05</t>
        </is>
      </c>
    </row>
    <row r="864">
      <c r="A864" t="inlineStr">
        <is>
          <t>FB-00863</t>
        </is>
      </c>
      <c r="B864" t="inlineStr">
        <is>
          <t>CUST-0226</t>
        </is>
      </c>
      <c r="C864" s="11" t="n">
        <v>46159</v>
      </c>
      <c r="D864" t="inlineStr">
        <is>
          <t>Feature Request</t>
        </is>
      </c>
      <c r="E864" t="inlineStr">
        <is>
          <t>Professional</t>
        </is>
      </c>
      <c r="F864" t="inlineStr">
        <is>
          <t>Enterprise</t>
        </is>
      </c>
      <c r="G864" t="inlineStr">
        <is>
          <t>Workflow Automation</t>
        </is>
      </c>
      <c r="H864" t="inlineStr">
        <is>
          <t>Feature Request</t>
        </is>
      </c>
      <c r="I864" t="inlineStr">
        <is>
          <t>Feedback from our monthly review. A library of workflow templates would cut our setup time. So far 109 people on our side have reported it. Happy to join a feedback call.</t>
        </is>
      </c>
      <c r="J864" t="inlineStr">
        <is>
          <t>Neutral</t>
        </is>
      </c>
      <c r="K864" t="inlineStr">
        <is>
          <t>Low</t>
        </is>
      </c>
      <c r="L864" t="inlineStr">
        <is>
          <t>Minor Inconvenience</t>
        </is>
      </c>
      <c r="M864" t="inlineStr">
        <is>
          <t>wf_templates</t>
        </is>
      </c>
      <c r="N864" t="inlineStr">
        <is>
          <t>Workflow templates</t>
        </is>
      </c>
      <c r="O864" t="inlineStr">
        <is>
          <t>2026-05</t>
        </is>
      </c>
    </row>
    <row r="865">
      <c r="A865" t="inlineStr">
        <is>
          <t>FB-00864</t>
        </is>
      </c>
      <c r="B865" t="inlineStr">
        <is>
          <t>CUST-0269</t>
        </is>
      </c>
      <c r="C865" s="11" t="n">
        <v>46160</v>
      </c>
      <c r="D865" t="inlineStr">
        <is>
          <t>In-App Feedback</t>
        </is>
      </c>
      <c r="E865" t="inlineStr">
        <is>
          <t>Professional</t>
        </is>
      </c>
      <c r="F865" t="inlineStr">
        <is>
          <t>SMB</t>
        </is>
      </c>
      <c r="G865" t="inlineStr">
        <is>
          <t>User Interface</t>
        </is>
      </c>
      <c r="H865" t="inlineStr">
        <is>
          <t>Usability Issue</t>
        </is>
      </c>
      <c r="I865" t="inlineStr">
        <is>
          <t>Too many clicks to reach common screens because of the settings navigation. Our sales manager flagged it while onboarding 15 new users.</t>
        </is>
      </c>
      <c r="J865" t="inlineStr">
        <is>
          <t>Negative</t>
        </is>
      </c>
      <c r="K865" t="inlineStr">
        <is>
          <t>Medium</t>
        </is>
      </c>
      <c r="L865" t="inlineStr">
        <is>
          <t>Minor Inconvenience</t>
        </is>
      </c>
      <c r="M865" t="inlineStr">
        <is>
          <t>ui_nav</t>
        </is>
      </c>
      <c r="N865" t="inlineStr">
        <is>
          <t>Cluttered navigation</t>
        </is>
      </c>
      <c r="O865" t="inlineStr">
        <is>
          <t>2026-05</t>
        </is>
      </c>
    </row>
    <row r="866">
      <c r="A866" t="inlineStr">
        <is>
          <t>FB-00865</t>
        </is>
      </c>
      <c r="B866" t="inlineStr">
        <is>
          <t>CUST-0352</t>
        </is>
      </c>
      <c r="C866" s="11" t="n">
        <v>46160</v>
      </c>
      <c r="D866" t="inlineStr">
        <is>
          <t>In-App Feedback</t>
        </is>
      </c>
      <c r="E866" t="inlineStr">
        <is>
          <t>Starter</t>
        </is>
      </c>
      <c r="F866" t="inlineStr">
        <is>
          <t>SMB</t>
        </is>
      </c>
      <c r="G866" t="inlineStr">
        <is>
          <t>Integrations</t>
        </is>
      </c>
      <c r="H866" t="inlineStr">
        <is>
          <t>Integration Issue</t>
        </is>
      </c>
      <c r="I866" t="inlineStr">
        <is>
          <t>Our email sync keeps disconnecting and activities are missing from the contact timeline. It happens about 38 times a week for our team of 72. Support suggested logging it here.</t>
        </is>
      </c>
      <c r="J866" t="inlineStr">
        <is>
          <t>Negative</t>
        </is>
      </c>
      <c r="K866" t="inlineStr">
        <is>
          <t>Low</t>
        </is>
      </c>
      <c r="L866" t="inlineStr">
        <is>
          <t>Minor Inconvenience</t>
        </is>
      </c>
      <c r="M866" t="inlineStr">
        <is>
          <t>int_email</t>
        </is>
      </c>
      <c r="N866" t="inlineStr">
        <is>
          <t>Email and calendar sync drops</t>
        </is>
      </c>
      <c r="O866" t="inlineStr">
        <is>
          <t>2026-05</t>
        </is>
      </c>
    </row>
    <row r="867">
      <c r="A867" t="inlineStr">
        <is>
          <t>FB-00866</t>
        </is>
      </c>
      <c r="B867" t="inlineStr">
        <is>
          <t>CUST-0367</t>
        </is>
      </c>
      <c r="C867" s="11" t="n">
        <v>46160</v>
      </c>
      <c r="D867" t="inlineStr">
        <is>
          <t>In-App Feedback</t>
        </is>
      </c>
      <c r="E867" t="inlineStr">
        <is>
          <t>Enterprise</t>
        </is>
      </c>
      <c r="F867" t="inlineStr">
        <is>
          <t>Mid-Market</t>
        </is>
      </c>
      <c r="G867" t="inlineStr">
        <is>
          <t>Contact Management</t>
        </is>
      </c>
      <c r="H867" t="inlineStr">
        <is>
          <t>Bug</t>
        </is>
      </c>
      <c r="I867" t="inlineStr">
        <is>
          <t>Sharing this from our team. Our contact CSV import scrambles phone and email columns even after we map them correctly. It happens about 9 times a week for our team of 27.</t>
        </is>
      </c>
      <c r="J867" t="inlineStr">
        <is>
          <t>Neutral</t>
        </is>
      </c>
      <c r="K867" t="inlineStr">
        <is>
          <t>High</t>
        </is>
      </c>
      <c r="L867" t="inlineStr">
        <is>
          <t>Revenue/Operations Risk</t>
        </is>
      </c>
      <c r="M867" t="inlineStr">
        <is>
          <t>contact_import</t>
        </is>
      </c>
      <c r="N867" t="inlineStr">
        <is>
          <t>Unreliable contact imports</t>
        </is>
      </c>
      <c r="O867" t="inlineStr">
        <is>
          <t>2026-05</t>
        </is>
      </c>
    </row>
    <row r="868">
      <c r="A868" t="inlineStr">
        <is>
          <t>FB-00867</t>
        </is>
      </c>
      <c r="B868" t="inlineStr">
        <is>
          <t>CUST-0327</t>
        </is>
      </c>
      <c r="C868" s="11" t="n">
        <v>46160</v>
      </c>
      <c r="D868" t="inlineStr">
        <is>
          <t>Feature Request</t>
        </is>
      </c>
      <c r="E868" t="inlineStr">
        <is>
          <t>Professional</t>
        </is>
      </c>
      <c r="F868" t="inlineStr">
        <is>
          <t>Mid-Market</t>
        </is>
      </c>
      <c r="G868" t="inlineStr">
        <is>
          <t>Integrations</t>
        </is>
      </c>
      <c r="H868" t="inlineStr">
        <is>
          <t>Integration Issue</t>
        </is>
      </c>
      <c r="I868" t="inlineStr">
        <is>
          <t>Noting this during onboarding. The Gmail sync duplicates meetings and misses replies. It happens about 5 times a week for our team of 83.</t>
        </is>
      </c>
      <c r="J868" t="inlineStr">
        <is>
          <t>Neutral</t>
        </is>
      </c>
      <c r="K868" t="inlineStr">
        <is>
          <t>Critical</t>
        </is>
      </c>
      <c r="L868" t="inlineStr">
        <is>
          <t>Revenue/Operations Risk</t>
        </is>
      </c>
      <c r="M868" t="inlineStr">
        <is>
          <t>int_email</t>
        </is>
      </c>
      <c r="N868" t="inlineStr">
        <is>
          <t>Email and calendar sync drops</t>
        </is>
      </c>
      <c r="O868" t="inlineStr">
        <is>
          <t>2026-05</t>
        </is>
      </c>
    </row>
    <row r="869">
      <c r="A869" t="inlineStr">
        <is>
          <t>FB-00868</t>
        </is>
      </c>
      <c r="B869" t="inlineStr">
        <is>
          <t>CUST-0158</t>
        </is>
      </c>
      <c r="C869" s="11" t="n">
        <v>46160</v>
      </c>
      <c r="D869" t="inlineStr">
        <is>
          <t>Support Ticket</t>
        </is>
      </c>
      <c r="E869" t="inlineStr">
        <is>
          <t>Starter</t>
        </is>
      </c>
      <c r="F869" t="inlineStr">
        <is>
          <t>SMB</t>
        </is>
      </c>
      <c r="G869" t="inlineStr">
        <is>
          <t>Lead Management</t>
        </is>
      </c>
      <c r="H869" t="inlineStr">
        <is>
          <t>Bug</t>
        </is>
      </c>
      <c r="I869" t="inlineStr">
        <is>
          <t>We are seeing duplicated leads when a lead arrives from both the website and a trade-show list. So far 30 people on our side have reported it. Happy to join a feedback call.</t>
        </is>
      </c>
      <c r="J869" t="inlineStr">
        <is>
          <t>Neutral</t>
        </is>
      </c>
      <c r="K869" t="inlineStr">
        <is>
          <t>Medium</t>
        </is>
      </c>
      <c r="L869" t="inlineStr">
        <is>
          <t>Minor Inconvenience</t>
        </is>
      </c>
      <c r="M869" t="inlineStr">
        <is>
          <t>lead_dup</t>
        </is>
      </c>
      <c r="N869" t="inlineStr">
        <is>
          <t>Duplicate leads created</t>
        </is>
      </c>
      <c r="O869" t="inlineStr">
        <is>
          <t>2026-05</t>
        </is>
      </c>
    </row>
    <row r="870">
      <c r="A870" t="inlineStr">
        <is>
          <t>FB-00869</t>
        </is>
      </c>
      <c r="B870" t="inlineStr">
        <is>
          <t>CUST-0045</t>
        </is>
      </c>
      <c r="C870" s="11" t="n">
        <v>46160</v>
      </c>
      <c r="D870" t="inlineStr">
        <is>
          <t>Feature Request</t>
        </is>
      </c>
      <c r="E870" t="inlineStr">
        <is>
          <t>Professional</t>
        </is>
      </c>
      <c r="F870" t="inlineStr">
        <is>
          <t>Mid-Market</t>
        </is>
      </c>
      <c r="G870" t="inlineStr">
        <is>
          <t>Reporting</t>
        </is>
      </c>
      <c r="H870" t="inlineStr">
        <is>
          <t>Feature Request</t>
        </is>
      </c>
      <c r="I870" t="inlineStr">
        <is>
          <t>Please add sales forecasting; managers keep a separate spreadsheet. It affects our weekly pipeline review process every cycle.</t>
        </is>
      </c>
      <c r="J870" t="inlineStr">
        <is>
          <t>Neutral</t>
        </is>
      </c>
      <c r="K870" t="inlineStr">
        <is>
          <t>High</t>
        </is>
      </c>
      <c r="L870" t="inlineStr">
        <is>
          <t>Blocks Key Task</t>
        </is>
      </c>
      <c r="M870" t="inlineStr">
        <is>
          <t>rep_forecast</t>
        </is>
      </c>
      <c r="N870" t="inlineStr">
        <is>
          <t>Sales forecasting</t>
        </is>
      </c>
      <c r="O870" t="inlineStr">
        <is>
          <t>2026-05</t>
        </is>
      </c>
    </row>
    <row r="871">
      <c r="A871" t="inlineStr">
        <is>
          <t>FB-00870</t>
        </is>
      </c>
      <c r="B871" t="inlineStr">
        <is>
          <t>CUST-0167</t>
        </is>
      </c>
      <c r="C871" s="11" t="n">
        <v>46161</v>
      </c>
      <c r="D871" t="inlineStr">
        <is>
          <t>Support Ticket</t>
        </is>
      </c>
      <c r="E871" t="inlineStr">
        <is>
          <t>Starter</t>
        </is>
      </c>
      <c r="F871" t="inlineStr">
        <is>
          <t>SMB</t>
        </is>
      </c>
      <c r="G871" t="inlineStr">
        <is>
          <t>Lead Management</t>
        </is>
      </c>
      <c r="H871" t="inlineStr">
        <is>
          <t>Bug</t>
        </is>
      </c>
      <c r="I871" t="inlineStr">
        <is>
          <t>Not what we expected for the price. We are seeing duplicated leads when a lead arrives from both the website and a trade-show list. We estimate we lose roughly 49 hours a month on this. Support suggested logging it here.</t>
        </is>
      </c>
      <c r="J871" t="inlineStr">
        <is>
          <t>Negative</t>
        </is>
      </c>
      <c r="K871" t="inlineStr">
        <is>
          <t>Critical</t>
        </is>
      </c>
      <c r="L871" t="inlineStr">
        <is>
          <t>Revenue/Operations Risk</t>
        </is>
      </c>
      <c r="M871" t="inlineStr">
        <is>
          <t>lead_dup</t>
        </is>
      </c>
      <c r="N871" t="inlineStr">
        <is>
          <t>Duplicate leads created</t>
        </is>
      </c>
      <c r="O871" t="inlineStr">
        <is>
          <t>2026-05</t>
        </is>
      </c>
    </row>
    <row r="872">
      <c r="A872" t="inlineStr">
        <is>
          <t>FB-00871</t>
        </is>
      </c>
      <c r="B872" t="inlineStr">
        <is>
          <t>CUST-0258</t>
        </is>
      </c>
      <c r="C872" s="11" t="n">
        <v>46162</v>
      </c>
      <c r="D872" t="inlineStr">
        <is>
          <t>Support Ticket</t>
        </is>
      </c>
      <c r="E872" t="inlineStr">
        <is>
          <t>Professional</t>
        </is>
      </c>
      <c r="F872" t="inlineStr">
        <is>
          <t>Mid-Market</t>
        </is>
      </c>
      <c r="G872" t="inlineStr">
        <is>
          <t>Workflow Automation</t>
        </is>
      </c>
      <c r="H872" t="inlineStr">
        <is>
          <t>Bug</t>
        </is>
      </c>
      <c r="I872" t="inlineStr">
        <is>
          <t>Since the last release we've had workflow runs failing silently and tasks are being created twice. It happens about 14 times a week for our team of 93.</t>
        </is>
      </c>
      <c r="J872" t="inlineStr">
        <is>
          <t>Positive</t>
        </is>
      </c>
      <c r="K872" t="inlineStr">
        <is>
          <t>Low</t>
        </is>
      </c>
      <c r="L872" t="inlineStr">
        <is>
          <t>Minor Inconvenience</t>
        </is>
      </c>
      <c r="M872" t="inlineStr">
        <is>
          <t>wf_fail</t>
        </is>
      </c>
      <c r="N872" t="inlineStr">
        <is>
          <t>Workflows failing silently</t>
        </is>
      </c>
      <c r="O872" t="inlineStr">
        <is>
          <t>2026-05</t>
        </is>
      </c>
    </row>
    <row r="873">
      <c r="A873" t="inlineStr">
        <is>
          <t>FB-00872</t>
        </is>
      </c>
      <c r="B873" t="inlineStr">
        <is>
          <t>CUST-0284</t>
        </is>
      </c>
      <c r="C873" s="11" t="n">
        <v>46162</v>
      </c>
      <c r="D873" t="inlineStr">
        <is>
          <t>Support Ticket</t>
        </is>
      </c>
      <c r="E873" t="inlineStr">
        <is>
          <t>Enterprise</t>
        </is>
      </c>
      <c r="F873" t="inlineStr">
        <is>
          <t>Enterprise</t>
        </is>
      </c>
      <c r="G873" t="inlineStr">
        <is>
          <t>Reporting</t>
        </is>
      </c>
      <c r="H873" t="inlineStr">
        <is>
          <t>Bug</t>
        </is>
      </c>
      <c r="I873" t="inlineStr">
        <is>
          <t>Raising this again after our last business review. The report export cuts off rows after a few thousand records. We need a fix before renewal.</t>
        </is>
      </c>
      <c r="J873" t="inlineStr">
        <is>
          <t>Negative</t>
        </is>
      </c>
      <c r="K873" t="inlineStr">
        <is>
          <t>Low</t>
        </is>
      </c>
      <c r="L873" t="inlineStr">
        <is>
          <t>Minor Inconvenience</t>
        </is>
      </c>
      <c r="M873" t="inlineStr">
        <is>
          <t>rep_export</t>
        </is>
      </c>
      <c r="N873" t="inlineStr">
        <is>
          <t>Broken report exports</t>
        </is>
      </c>
      <c r="O873" t="inlineStr">
        <is>
          <t>2026-05</t>
        </is>
      </c>
    </row>
    <row r="874">
      <c r="A874" t="inlineStr">
        <is>
          <t>FB-00873</t>
        </is>
      </c>
      <c r="B874" t="inlineStr">
        <is>
          <t>CUST-0385</t>
        </is>
      </c>
      <c r="C874" s="11" t="n">
        <v>46162</v>
      </c>
      <c r="D874" t="inlineStr">
        <is>
          <t>In-App Feedback</t>
        </is>
      </c>
      <c r="E874" t="inlineStr">
        <is>
          <t>Starter</t>
        </is>
      </c>
      <c r="F874" t="inlineStr">
        <is>
          <t>SMB</t>
        </is>
      </c>
      <c r="G874" t="inlineStr">
        <is>
          <t>Workflow Automation</t>
        </is>
      </c>
      <c r="H874" t="inlineStr">
        <is>
          <t>Bug</t>
        </is>
      </c>
      <c r="I874" t="inlineStr">
        <is>
          <t>Not what we expected for the price. We found automation misfires only because a customer complained.</t>
        </is>
      </c>
      <c r="J874" t="inlineStr">
        <is>
          <t>Negative</t>
        </is>
      </c>
      <c r="K874" t="inlineStr">
        <is>
          <t>Low</t>
        </is>
      </c>
      <c r="L874" t="inlineStr">
        <is>
          <t>Minor Inconvenience</t>
        </is>
      </c>
      <c r="M874" t="inlineStr">
        <is>
          <t>wf_fail</t>
        </is>
      </c>
      <c r="N874" t="inlineStr">
        <is>
          <t>Workflows failing silently</t>
        </is>
      </c>
      <c r="O874" t="inlineStr">
        <is>
          <t>2026-05</t>
        </is>
      </c>
    </row>
    <row r="875">
      <c r="A875" t="inlineStr">
        <is>
          <t>FB-00874</t>
        </is>
      </c>
      <c r="B875" t="inlineStr">
        <is>
          <t>CUST-0386</t>
        </is>
      </c>
      <c r="C875" s="11" t="n">
        <v>46162</v>
      </c>
      <c r="D875" t="inlineStr">
        <is>
          <t>Customer Survey</t>
        </is>
      </c>
      <c r="E875" t="inlineStr">
        <is>
          <t>Starter</t>
        </is>
      </c>
      <c r="F875" t="inlineStr">
        <is>
          <t>Mid-Market</t>
        </is>
      </c>
      <c r="G875" t="inlineStr">
        <is>
          <t>Contact Management</t>
        </is>
      </c>
      <c r="H875" t="inlineStr">
        <is>
          <t>Bug</t>
        </is>
      </c>
      <c r="I875" t="inlineStr">
        <is>
          <t>This has been a recurring problem for us. The contact CSV import fails halfway through with a generic error and no row-level detail. Our sales manager flagged it while onboarding 73 new users.</t>
        </is>
      </c>
      <c r="J875" t="inlineStr">
        <is>
          <t>Negative</t>
        </is>
      </c>
      <c r="K875" t="inlineStr">
        <is>
          <t>High</t>
        </is>
      </c>
      <c r="L875" t="inlineStr">
        <is>
          <t>Blocks Key Task</t>
        </is>
      </c>
      <c r="M875" t="inlineStr">
        <is>
          <t>contact_import</t>
        </is>
      </c>
      <c r="N875" t="inlineStr">
        <is>
          <t>Unreliable contact imports</t>
        </is>
      </c>
      <c r="O875" t="inlineStr">
        <is>
          <t>2026-05</t>
        </is>
      </c>
    </row>
    <row r="876">
      <c r="A876" t="inlineStr">
        <is>
          <t>FB-00875</t>
        </is>
      </c>
      <c r="B876" t="inlineStr">
        <is>
          <t>CUST-0107</t>
        </is>
      </c>
      <c r="C876" s="11" t="n">
        <v>46163</v>
      </c>
      <c r="D876" t="inlineStr">
        <is>
          <t>Feature Request</t>
        </is>
      </c>
      <c r="E876" t="inlineStr">
        <is>
          <t>Starter</t>
        </is>
      </c>
      <c r="F876" t="inlineStr">
        <is>
          <t>SMB</t>
        </is>
      </c>
      <c r="G876" t="inlineStr">
        <is>
          <t>Integrations</t>
        </is>
      </c>
      <c r="H876" t="inlineStr">
        <is>
          <t>Feature Request</t>
        </is>
      </c>
      <c r="I876" t="inlineStr">
        <is>
          <t>Not what we expected for the price. Lack of a native accounting integration is a gap versus other CRMs we evaluated. Our marketing ops owner flagged it while onboarding 69 new users. Is there a workaround?</t>
        </is>
      </c>
      <c r="J876" t="inlineStr">
        <is>
          <t>Negative</t>
        </is>
      </c>
      <c r="K876" t="inlineStr">
        <is>
          <t>Low</t>
        </is>
      </c>
      <c r="L876" t="inlineStr">
        <is>
          <t>Blocks Key Task</t>
        </is>
      </c>
      <c r="M876" t="inlineStr">
        <is>
          <t>int_native</t>
        </is>
      </c>
      <c r="N876" t="inlineStr">
        <is>
          <t>Native integrations</t>
        </is>
      </c>
      <c r="O876" t="inlineStr">
        <is>
          <t>2026-05</t>
        </is>
      </c>
    </row>
    <row r="877">
      <c r="A877" t="inlineStr">
        <is>
          <t>FB-00876</t>
        </is>
      </c>
      <c r="B877" t="inlineStr">
        <is>
          <t>CUST-0073</t>
        </is>
      </c>
      <c r="C877" s="11" t="n">
        <v>46163</v>
      </c>
      <c r="D877" t="inlineStr">
        <is>
          <t>In-App Feedback</t>
        </is>
      </c>
      <c r="E877" t="inlineStr">
        <is>
          <t>Starter</t>
        </is>
      </c>
      <c r="F877" t="inlineStr">
        <is>
          <t>SMB</t>
        </is>
      </c>
      <c r="G877" t="inlineStr">
        <is>
          <t>User Interface</t>
        </is>
      </c>
      <c r="H877" t="inlineStr">
        <is>
          <t>Usability Issue</t>
        </is>
      </c>
      <c r="I877" t="inlineStr">
        <is>
          <t>This has been a recurring problem for us. The navigation menu is cluttered and I can never find the setting I need. Our finance analyst flagged it while onboarding 10 new users. Support suggested logging it here.</t>
        </is>
      </c>
      <c r="J877" t="inlineStr">
        <is>
          <t>Negative</t>
        </is>
      </c>
      <c r="K877" t="inlineStr">
        <is>
          <t>Low</t>
        </is>
      </c>
      <c r="L877" t="inlineStr">
        <is>
          <t>Minor Inconvenience</t>
        </is>
      </c>
      <c r="M877" t="inlineStr">
        <is>
          <t>ui_nav</t>
        </is>
      </c>
      <c r="N877" t="inlineStr">
        <is>
          <t>Cluttered navigation</t>
        </is>
      </c>
      <c r="O877" t="inlineStr">
        <is>
          <t>2026-05</t>
        </is>
      </c>
    </row>
    <row r="878">
      <c r="A878" t="inlineStr">
        <is>
          <t>FB-00877</t>
        </is>
      </c>
      <c r="B878" t="inlineStr">
        <is>
          <t>CUST-0171</t>
        </is>
      </c>
      <c r="C878" s="11" t="n">
        <v>46163</v>
      </c>
      <c r="D878" t="inlineStr">
        <is>
          <t>Feature Request</t>
        </is>
      </c>
      <c r="E878" t="inlineStr">
        <is>
          <t>Professional</t>
        </is>
      </c>
      <c r="F878" t="inlineStr">
        <is>
          <t>Mid-Market</t>
        </is>
      </c>
      <c r="G878" t="inlineStr">
        <is>
          <t>User Interface</t>
        </is>
      </c>
      <c r="H878" t="inlineStr">
        <is>
          <t>Feature Request</t>
        </is>
      </c>
      <c r="I878" t="inlineStr">
        <is>
          <t>Requesting mobile call logging so reps can log activity right after a meeting. It affects our onboarding process every cycle. Let us know if you need examples.</t>
        </is>
      </c>
      <c r="J878" t="inlineStr">
        <is>
          <t>Neutral</t>
        </is>
      </c>
      <c r="K878" t="inlineStr">
        <is>
          <t>Low</t>
        </is>
      </c>
      <c r="L878" t="inlineStr">
        <is>
          <t>Minor Inconvenience</t>
        </is>
      </c>
      <c r="M878" t="inlineStr">
        <is>
          <t>ui_mobile</t>
        </is>
      </c>
      <c r="N878" t="inlineStr">
        <is>
          <t>Mobile app</t>
        </is>
      </c>
      <c r="O878" t="inlineStr">
        <is>
          <t>2026-05</t>
        </is>
      </c>
    </row>
    <row r="879">
      <c r="A879" t="inlineStr">
        <is>
          <t>FB-00878</t>
        </is>
      </c>
      <c r="B879" t="inlineStr">
        <is>
          <t>CUST-0382</t>
        </is>
      </c>
      <c r="C879" s="11" t="n">
        <v>46163</v>
      </c>
      <c r="D879" t="inlineStr">
        <is>
          <t>In-App Feedback</t>
        </is>
      </c>
      <c r="E879" t="inlineStr">
        <is>
          <t>Starter</t>
        </is>
      </c>
      <c r="F879" t="inlineStr">
        <is>
          <t>SMB</t>
        </is>
      </c>
      <c r="G879" t="inlineStr">
        <is>
          <t>Contact Management</t>
        </is>
      </c>
      <c r="H879" t="inlineStr">
        <is>
          <t>Feature Request</t>
        </is>
      </c>
      <c r="I879" t="inlineStr">
        <is>
          <t>Lacking custom contact fields forces us to keep a parallel spreadsheet.</t>
        </is>
      </c>
      <c r="J879" t="inlineStr">
        <is>
          <t>Neutral</t>
        </is>
      </c>
      <c r="K879" t="inlineStr">
        <is>
          <t>Low</t>
        </is>
      </c>
      <c r="L879" t="inlineStr">
        <is>
          <t>Minor Inconvenience</t>
        </is>
      </c>
      <c r="M879" t="inlineStr">
        <is>
          <t>contact_custom</t>
        </is>
      </c>
      <c r="N879" t="inlineStr">
        <is>
          <t>Custom fields and hierarchy</t>
        </is>
      </c>
      <c r="O879" t="inlineStr">
        <is>
          <t>2026-05</t>
        </is>
      </c>
    </row>
    <row r="880">
      <c r="A880" t="inlineStr">
        <is>
          <t>FB-00879</t>
        </is>
      </c>
      <c r="B880" t="inlineStr">
        <is>
          <t>CUST-0417</t>
        </is>
      </c>
      <c r="C880" s="11" t="n">
        <v>46163</v>
      </c>
      <c r="D880" t="inlineStr">
        <is>
          <t>Support Ticket</t>
        </is>
      </c>
      <c r="E880" t="inlineStr">
        <is>
          <t>Starter</t>
        </is>
      </c>
      <c r="F880" t="inlineStr">
        <is>
          <t>SMB</t>
        </is>
      </c>
      <c r="G880" t="inlineStr">
        <is>
          <t>Reporting</t>
        </is>
      </c>
      <c r="H880" t="inlineStr">
        <is>
          <t>Performance Issue</t>
        </is>
      </c>
      <c r="I880" t="inlineStr">
        <is>
          <t>Raising this again after our last business review. Execs gave up on the report load time and ask for screenshots instead. Our RevOps lead flagged it while onboarding 51 new users. Support suggested logging it here.</t>
        </is>
      </c>
      <c r="J880" t="inlineStr">
        <is>
          <t>Negative</t>
        </is>
      </c>
      <c r="K880" t="inlineStr">
        <is>
          <t>Medium</t>
        </is>
      </c>
      <c r="L880" t="inlineStr">
        <is>
          <t>Workflow Slowdown</t>
        </is>
      </c>
      <c r="M880" t="inlineStr">
        <is>
          <t>rep_slow</t>
        </is>
      </c>
      <c r="N880" t="inlineStr">
        <is>
          <t>Slow dashboards</t>
        </is>
      </c>
      <c r="O880" t="inlineStr">
        <is>
          <t>2026-05</t>
        </is>
      </c>
    </row>
    <row r="881">
      <c r="A881" t="inlineStr">
        <is>
          <t>FB-00880</t>
        </is>
      </c>
      <c r="B881" t="inlineStr">
        <is>
          <t>CUST-0284</t>
        </is>
      </c>
      <c r="C881" s="11" t="n">
        <v>46164</v>
      </c>
      <c r="D881" t="inlineStr">
        <is>
          <t>In-App Feedback</t>
        </is>
      </c>
      <c r="E881" t="inlineStr">
        <is>
          <t>Enterprise</t>
        </is>
      </c>
      <c r="F881" t="inlineStr">
        <is>
          <t>Enterprise</t>
        </is>
      </c>
      <c r="G881" t="inlineStr">
        <is>
          <t>Workflow Automation</t>
        </is>
      </c>
      <c r="H881" t="inlineStr">
        <is>
          <t>Usability Issue</t>
        </is>
      </c>
      <c r="I881" t="inlineStr">
        <is>
          <t>Noting this during onboarding. Our new admins struggle with the workflow builder; there is no guidance or validation.</t>
        </is>
      </c>
      <c r="J881" t="inlineStr">
        <is>
          <t>Neutral</t>
        </is>
      </c>
      <c r="K881" t="inlineStr">
        <is>
          <t>High</t>
        </is>
      </c>
      <c r="L881" t="inlineStr">
        <is>
          <t>Blocks Key Task</t>
        </is>
      </c>
      <c r="M881" t="inlineStr">
        <is>
          <t>wf_builder</t>
        </is>
      </c>
      <c r="N881" t="inlineStr">
        <is>
          <t>Confusing workflow builder</t>
        </is>
      </c>
      <c r="O881" t="inlineStr">
        <is>
          <t>2026-05</t>
        </is>
      </c>
    </row>
    <row r="882">
      <c r="A882" t="inlineStr">
        <is>
          <t>FB-00881</t>
        </is>
      </c>
      <c r="B882" t="inlineStr">
        <is>
          <t>CUST-0349</t>
        </is>
      </c>
      <c r="C882" s="11" t="n">
        <v>46164</v>
      </c>
      <c r="D882" t="inlineStr">
        <is>
          <t>In-App Feedback</t>
        </is>
      </c>
      <c r="E882" t="inlineStr">
        <is>
          <t>Professional</t>
        </is>
      </c>
      <c r="F882" t="inlineStr">
        <is>
          <t>Mid-Market</t>
        </is>
      </c>
      <c r="G882" t="inlineStr">
        <is>
          <t>Integrations</t>
        </is>
      </c>
      <c r="H882" t="inlineStr">
        <is>
          <t>Integration Issue</t>
        </is>
      </c>
      <c r="I882" t="inlineStr">
        <is>
          <t>Raising this again after our last business review. We keep hitting API rate limits during nightly syncs with our data warehouse. Our sales manager flagged it while onboarding 19 new users. Please look into it soon.</t>
        </is>
      </c>
      <c r="J882" t="inlineStr">
        <is>
          <t>Negative</t>
        </is>
      </c>
      <c r="K882" t="inlineStr">
        <is>
          <t>High</t>
        </is>
      </c>
      <c r="L882" t="inlineStr">
        <is>
          <t>Revenue/Operations Risk</t>
        </is>
      </c>
      <c r="M882" t="inlineStr">
        <is>
          <t>int_api</t>
        </is>
      </c>
      <c r="N882" t="inlineStr">
        <is>
          <t>API limits and webhook failures</t>
        </is>
      </c>
      <c r="O882" t="inlineStr">
        <is>
          <t>2026-05</t>
        </is>
      </c>
    </row>
    <row r="883">
      <c r="A883" t="inlineStr">
        <is>
          <t>FB-00882</t>
        </is>
      </c>
      <c r="B883" t="inlineStr">
        <is>
          <t>CUST-0010</t>
        </is>
      </c>
      <c r="C883" s="11" t="n">
        <v>46164</v>
      </c>
      <c r="D883" t="inlineStr">
        <is>
          <t>Customer Survey</t>
        </is>
      </c>
      <c r="E883" t="inlineStr">
        <is>
          <t>Professional</t>
        </is>
      </c>
      <c r="F883" t="inlineStr">
        <is>
          <t>SMB</t>
        </is>
      </c>
      <c r="G883" t="inlineStr">
        <is>
          <t>Integrations</t>
        </is>
      </c>
      <c r="H883" t="inlineStr">
        <is>
          <t>Feature Request</t>
        </is>
      </c>
      <c r="I883" t="inlineStr">
        <is>
          <t>Raising this again after our last business review. Lack of a native Slack integration is a gap versus other CRMs we evaluated.</t>
        </is>
      </c>
      <c r="J883" t="inlineStr">
        <is>
          <t>Negative</t>
        </is>
      </c>
      <c r="K883" t="inlineStr">
        <is>
          <t>Low</t>
        </is>
      </c>
      <c r="L883" t="inlineStr">
        <is>
          <t>Minor Inconvenience</t>
        </is>
      </c>
      <c r="M883" t="inlineStr">
        <is>
          <t>int_native</t>
        </is>
      </c>
      <c r="N883" t="inlineStr">
        <is>
          <t>Native integrations</t>
        </is>
      </c>
      <c r="O883" t="inlineStr">
        <is>
          <t>2026-05</t>
        </is>
      </c>
    </row>
    <row r="884">
      <c r="A884" t="inlineStr">
        <is>
          <t>FB-00883</t>
        </is>
      </c>
      <c r="B884" t="inlineStr">
        <is>
          <t>CUST-0262</t>
        </is>
      </c>
      <c r="C884" s="11" t="n">
        <v>46164</v>
      </c>
      <c r="D884" t="inlineStr">
        <is>
          <t>Feature Request</t>
        </is>
      </c>
      <c r="E884" t="inlineStr">
        <is>
          <t>Professional</t>
        </is>
      </c>
      <c r="F884" t="inlineStr">
        <is>
          <t>Mid-Market</t>
        </is>
      </c>
      <c r="G884" t="inlineStr">
        <is>
          <t>Workflow Automation</t>
        </is>
      </c>
      <c r="H884" t="inlineStr">
        <is>
          <t>Feature Request</t>
        </is>
      </c>
      <c r="I884" t="inlineStr">
        <is>
          <t>Great support experience recently. Competitors ship workflow templates; we are rebuilding the same flows from scratch. It happens about 33 times a week for our team of 90.</t>
        </is>
      </c>
      <c r="J884" t="inlineStr">
        <is>
          <t>Positive</t>
        </is>
      </c>
      <c r="K884" t="inlineStr">
        <is>
          <t>Low</t>
        </is>
      </c>
      <c r="L884" t="inlineStr">
        <is>
          <t>Minor Inconvenience</t>
        </is>
      </c>
      <c r="M884" t="inlineStr">
        <is>
          <t>wf_templates</t>
        </is>
      </c>
      <c r="N884" t="inlineStr">
        <is>
          <t>Workflow templates</t>
        </is>
      </c>
      <c r="O884" t="inlineStr">
        <is>
          <t>2026-05</t>
        </is>
      </c>
    </row>
    <row r="885">
      <c r="A885" t="inlineStr">
        <is>
          <t>FB-00884</t>
        </is>
      </c>
      <c r="B885" t="inlineStr">
        <is>
          <t>CUST-0277</t>
        </is>
      </c>
      <c r="C885" s="11" t="n">
        <v>46164</v>
      </c>
      <c r="D885" t="inlineStr">
        <is>
          <t>Support Ticket</t>
        </is>
      </c>
      <c r="E885" t="inlineStr">
        <is>
          <t>Professional</t>
        </is>
      </c>
      <c r="F885" t="inlineStr">
        <is>
          <t>Mid-Market</t>
        </is>
      </c>
      <c r="G885" t="inlineStr">
        <is>
          <t>Integrations</t>
        </is>
      </c>
      <c r="H885" t="inlineStr">
        <is>
          <t>Feature Request</t>
        </is>
      </c>
      <c r="I885" t="inlineStr">
        <is>
          <t>Feedback from our monthly review. Requesting a native accounting integration to remove manual re-entry. It affects our lead handoff process every cycle. Happy to join a feedback call.</t>
        </is>
      </c>
      <c r="J885" t="inlineStr">
        <is>
          <t>Neutral</t>
        </is>
      </c>
      <c r="K885" t="inlineStr">
        <is>
          <t>Low</t>
        </is>
      </c>
      <c r="L885" t="inlineStr">
        <is>
          <t>Workflow Slowdown</t>
        </is>
      </c>
      <c r="M885" t="inlineStr">
        <is>
          <t>int_native</t>
        </is>
      </c>
      <c r="N885" t="inlineStr">
        <is>
          <t>Native integrations</t>
        </is>
      </c>
      <c r="O885" t="inlineStr">
        <is>
          <t>2026-05</t>
        </is>
      </c>
    </row>
    <row r="886">
      <c r="A886" t="inlineStr">
        <is>
          <t>FB-00885</t>
        </is>
      </c>
      <c r="B886" t="inlineStr">
        <is>
          <t>CUST-0347</t>
        </is>
      </c>
      <c r="C886" s="11" t="n">
        <v>46164</v>
      </c>
      <c r="D886" t="inlineStr">
        <is>
          <t>In-App Feedback</t>
        </is>
      </c>
      <c r="E886" t="inlineStr">
        <is>
          <t>Starter</t>
        </is>
      </c>
      <c r="F886" t="inlineStr">
        <is>
          <t>SMB</t>
        </is>
      </c>
      <c r="G886" t="inlineStr">
        <is>
          <t>Contact Management</t>
        </is>
      </c>
      <c r="H886" t="inlineStr">
        <is>
          <t>Performance Issue</t>
        </is>
      </c>
      <c r="I886" t="inlineStr">
        <is>
          <t>Quick note from our admin. The contact search times out on our largest accounts. So far 30 people on our side have reported it.</t>
        </is>
      </c>
      <c r="J886" t="inlineStr">
        <is>
          <t>Neutral</t>
        </is>
      </c>
      <c r="K886" t="inlineStr">
        <is>
          <t>Low</t>
        </is>
      </c>
      <c r="L886" t="inlineStr">
        <is>
          <t>Minor Inconvenience</t>
        </is>
      </c>
      <c r="M886" t="inlineStr">
        <is>
          <t>contact_search</t>
        </is>
      </c>
      <c r="N886" t="inlineStr">
        <is>
          <t>Slow contact search</t>
        </is>
      </c>
      <c r="O886" t="inlineStr">
        <is>
          <t>2026-05</t>
        </is>
      </c>
    </row>
    <row r="887">
      <c r="A887" t="inlineStr">
        <is>
          <t>FB-00886</t>
        </is>
      </c>
      <c r="B887" t="inlineStr">
        <is>
          <t>CUST-0296</t>
        </is>
      </c>
      <c r="C887" s="11" t="n">
        <v>46165</v>
      </c>
      <c r="D887" t="inlineStr">
        <is>
          <t>Support Ticket</t>
        </is>
      </c>
      <c r="E887" t="inlineStr">
        <is>
          <t>Professional</t>
        </is>
      </c>
      <c r="F887" t="inlineStr">
        <is>
          <t>SMB</t>
        </is>
      </c>
      <c r="G887" t="inlineStr">
        <is>
          <t>Workflow Automation</t>
        </is>
      </c>
      <c r="H887" t="inlineStr">
        <is>
          <t>Bug</t>
        </is>
      </c>
      <c r="I887" t="inlineStr">
        <is>
          <t>Escalating on behalf of our ops lead. We are hitting workflow failures: emails don't send and nobody gets notified. So far 107 people on our side have reported it.</t>
        </is>
      </c>
      <c r="J887" t="inlineStr">
        <is>
          <t>Negative</t>
        </is>
      </c>
      <c r="K887" t="inlineStr">
        <is>
          <t>High</t>
        </is>
      </c>
      <c r="L887" t="inlineStr">
        <is>
          <t>Blocks Key Task</t>
        </is>
      </c>
      <c r="M887" t="inlineStr">
        <is>
          <t>wf_fail</t>
        </is>
      </c>
      <c r="N887" t="inlineStr">
        <is>
          <t>Workflows failing silently</t>
        </is>
      </c>
      <c r="O887" t="inlineStr">
        <is>
          <t>2026-05</t>
        </is>
      </c>
    </row>
    <row r="888">
      <c r="A888" t="inlineStr">
        <is>
          <t>FB-00887</t>
        </is>
      </c>
      <c r="B888" t="inlineStr">
        <is>
          <t>CUST-0117</t>
        </is>
      </c>
      <c r="C888" s="11" t="n">
        <v>46165</v>
      </c>
      <c r="D888" t="inlineStr">
        <is>
          <t>Customer Survey</t>
        </is>
      </c>
      <c r="E888" t="inlineStr">
        <is>
          <t>Professional</t>
        </is>
      </c>
      <c r="F888" t="inlineStr">
        <is>
          <t>Mid-Market</t>
        </is>
      </c>
      <c r="G888" t="inlineStr">
        <is>
          <t>Contact Management</t>
        </is>
      </c>
      <c r="H888" t="inlineStr">
        <is>
          <t>Feature Request</t>
        </is>
      </c>
      <c r="I888" t="inlineStr">
        <is>
          <t>Requesting an account hierarchy view so account managers can see who reports to whom. It affects our quarterly planning process every cycle. Is there a workaround?</t>
        </is>
      </c>
      <c r="J888" t="inlineStr">
        <is>
          <t>Negative</t>
        </is>
      </c>
      <c r="K888" t="inlineStr">
        <is>
          <t>Medium</t>
        </is>
      </c>
      <c r="L888" t="inlineStr">
        <is>
          <t>Blocks Key Task</t>
        </is>
      </c>
      <c r="M888" t="inlineStr">
        <is>
          <t>contact_custom</t>
        </is>
      </c>
      <c r="N888" t="inlineStr">
        <is>
          <t>Custom fields and hierarchy</t>
        </is>
      </c>
      <c r="O888" t="inlineStr">
        <is>
          <t>2026-05</t>
        </is>
      </c>
    </row>
    <row r="889">
      <c r="A889" t="inlineStr">
        <is>
          <t>FB-00888</t>
        </is>
      </c>
      <c r="B889" t="inlineStr">
        <is>
          <t>CUST-0300</t>
        </is>
      </c>
      <c r="C889" s="11" t="n">
        <v>46165</v>
      </c>
      <c r="D889" t="inlineStr">
        <is>
          <t>Feature Request</t>
        </is>
      </c>
      <c r="E889" t="inlineStr">
        <is>
          <t>Professional</t>
        </is>
      </c>
      <c r="F889" t="inlineStr">
        <is>
          <t>Mid-Market</t>
        </is>
      </c>
      <c r="G889" t="inlineStr">
        <is>
          <t>Contact Management</t>
        </is>
      </c>
      <c r="H889" t="inlineStr">
        <is>
          <t>Feature Request</t>
        </is>
      </c>
      <c r="I889" t="inlineStr">
        <is>
          <t>Frustrated with this one. Please build a tool to merge duplicate contacts with a preview of what will be combined. Our admin flagged it while onboarding 96 new users. We need a fix before renewal.</t>
        </is>
      </c>
      <c r="J889" t="inlineStr">
        <is>
          <t>Negative</t>
        </is>
      </c>
      <c r="K889" t="inlineStr">
        <is>
          <t>Medium</t>
        </is>
      </c>
      <c r="L889" t="inlineStr">
        <is>
          <t>Minor Inconvenience</t>
        </is>
      </c>
      <c r="M889" t="inlineStr">
        <is>
          <t>contact_dedupe</t>
        </is>
      </c>
      <c r="N889" t="inlineStr">
        <is>
          <t>Bulk contact merge</t>
        </is>
      </c>
      <c r="O889" t="inlineStr">
        <is>
          <t>2026-05</t>
        </is>
      </c>
    </row>
    <row r="890">
      <c r="A890" t="inlineStr">
        <is>
          <t>FB-00889</t>
        </is>
      </c>
      <c r="B890" t="inlineStr">
        <is>
          <t>CUST-0173</t>
        </is>
      </c>
      <c r="C890" s="11" t="n">
        <v>46165</v>
      </c>
      <c r="D890" t="inlineStr">
        <is>
          <t>Feature Request</t>
        </is>
      </c>
      <c r="E890" t="inlineStr">
        <is>
          <t>Starter</t>
        </is>
      </c>
      <c r="F890" t="inlineStr">
        <is>
          <t>SMB</t>
        </is>
      </c>
      <c r="G890" t="inlineStr">
        <is>
          <t>Contact Management</t>
        </is>
      </c>
      <c r="H890" t="inlineStr">
        <is>
          <t>Feature Request</t>
        </is>
      </c>
      <c r="I890" t="inlineStr">
        <is>
          <t>Feedback from our monthly review. We need a contact relationship hierarchy to reflect parent companies and subsidiaries.</t>
        </is>
      </c>
      <c r="J890" t="inlineStr">
        <is>
          <t>Neutral</t>
        </is>
      </c>
      <c r="K890" t="inlineStr">
        <is>
          <t>Low</t>
        </is>
      </c>
      <c r="L890" t="inlineStr">
        <is>
          <t>Minor Inconvenience</t>
        </is>
      </c>
      <c r="M890" t="inlineStr">
        <is>
          <t>contact_custom</t>
        </is>
      </c>
      <c r="N890" t="inlineStr">
        <is>
          <t>Custom fields and hierarchy</t>
        </is>
      </c>
      <c r="O890" t="inlineStr">
        <is>
          <t>2026-05</t>
        </is>
      </c>
    </row>
    <row r="891">
      <c r="A891" t="inlineStr">
        <is>
          <t>FB-00890</t>
        </is>
      </c>
      <c r="B891" t="inlineStr">
        <is>
          <t>CUST-0251</t>
        </is>
      </c>
      <c r="C891" s="11" t="n">
        <v>46165</v>
      </c>
      <c r="D891" t="inlineStr">
        <is>
          <t>In-App Feedback</t>
        </is>
      </c>
      <c r="E891" t="inlineStr">
        <is>
          <t>Professional</t>
        </is>
      </c>
      <c r="F891" t="inlineStr">
        <is>
          <t>Mid-Market</t>
        </is>
      </c>
      <c r="G891" t="inlineStr">
        <is>
          <t>Lead Management</t>
        </is>
      </c>
      <c r="H891" t="inlineStr">
        <is>
          <t>Usability Issue</t>
        </is>
      </c>
      <c r="I891" t="inlineStr">
        <is>
          <t>We can't combine region and deal size in the lead routing rules. It affects our lead handoff process every cycle.</t>
        </is>
      </c>
      <c r="J891" t="inlineStr">
        <is>
          <t>Neutral</t>
        </is>
      </c>
      <c r="K891" t="inlineStr">
        <is>
          <t>Low</t>
        </is>
      </c>
      <c r="L891" t="inlineStr">
        <is>
          <t>Minor Inconvenience</t>
        </is>
      </c>
      <c r="M891" t="inlineStr">
        <is>
          <t>lead_assign</t>
        </is>
      </c>
      <c r="N891" t="inlineStr">
        <is>
          <t>Lead routing is inflexible</t>
        </is>
      </c>
      <c r="O891" t="inlineStr">
        <is>
          <t>2026-05</t>
        </is>
      </c>
    </row>
    <row r="892">
      <c r="A892" t="inlineStr">
        <is>
          <t>FB-00891</t>
        </is>
      </c>
      <c r="B892" t="inlineStr">
        <is>
          <t>CUST-0297</t>
        </is>
      </c>
      <c r="C892" s="11" t="n">
        <v>46166</v>
      </c>
      <c r="D892" t="inlineStr">
        <is>
          <t>In-App Feedback</t>
        </is>
      </c>
      <c r="E892" t="inlineStr">
        <is>
          <t>Professional</t>
        </is>
      </c>
      <c r="F892" t="inlineStr">
        <is>
          <t>Mid-Market</t>
        </is>
      </c>
      <c r="G892" t="inlineStr">
        <is>
          <t>Lead Management</t>
        </is>
      </c>
      <c r="H892" t="inlineStr">
        <is>
          <t>Usability Issue</t>
        </is>
      </c>
      <c r="I892" t="inlineStr">
        <is>
          <t>FYI for the product team. We can't combine region and deal size in the round-robin lead assignment. So far 34 people on our side have reported it. Happy to join a feedback call.</t>
        </is>
      </c>
      <c r="J892" t="inlineStr">
        <is>
          <t>Neutral</t>
        </is>
      </c>
      <c r="K892" t="inlineStr">
        <is>
          <t>Medium</t>
        </is>
      </c>
      <c r="L892" t="inlineStr">
        <is>
          <t>Minor Inconvenience</t>
        </is>
      </c>
      <c r="M892" t="inlineStr">
        <is>
          <t>lead_assign</t>
        </is>
      </c>
      <c r="N892" t="inlineStr">
        <is>
          <t>Lead routing is inflexible</t>
        </is>
      </c>
      <c r="O892" t="inlineStr">
        <is>
          <t>2026-05</t>
        </is>
      </c>
    </row>
    <row r="893">
      <c r="A893" t="inlineStr">
        <is>
          <t>FB-00892</t>
        </is>
      </c>
      <c r="B893" t="inlineStr">
        <is>
          <t>CUST-0084</t>
        </is>
      </c>
      <c r="C893" s="11" t="n">
        <v>46167</v>
      </c>
      <c r="D893" t="inlineStr">
        <is>
          <t>Customer Survey</t>
        </is>
      </c>
      <c r="E893" t="inlineStr">
        <is>
          <t>Enterprise</t>
        </is>
      </c>
      <c r="F893" t="inlineStr">
        <is>
          <t>Enterprise</t>
        </is>
      </c>
      <c r="G893" t="inlineStr">
        <is>
          <t>Integrations</t>
        </is>
      </c>
      <c r="H893" t="inlineStr">
        <is>
          <t>Feature Request</t>
        </is>
      </c>
      <c r="I893" t="inlineStr">
        <is>
          <t>Sharing this from our team. Please add SCIM provisioning; managing users by hand does not scale. We estimate we lose roughly 27 hours a month on this.</t>
        </is>
      </c>
      <c r="J893" t="inlineStr">
        <is>
          <t>Neutral</t>
        </is>
      </c>
      <c r="K893" t="inlineStr">
        <is>
          <t>Medium</t>
        </is>
      </c>
      <c r="L893" t="inlineStr">
        <is>
          <t>Workflow Slowdown</t>
        </is>
      </c>
      <c r="M893" t="inlineStr">
        <is>
          <t>int_sso</t>
        </is>
      </c>
      <c r="N893" t="inlineStr">
        <is>
          <t>SSO and provisioning</t>
        </is>
      </c>
      <c r="O893" t="inlineStr">
        <is>
          <t>2026-05</t>
        </is>
      </c>
    </row>
    <row r="894">
      <c r="A894" t="inlineStr">
        <is>
          <t>FB-00893</t>
        </is>
      </c>
      <c r="B894" t="inlineStr">
        <is>
          <t>CUST-0099</t>
        </is>
      </c>
      <c r="C894" s="11" t="n">
        <v>46167</v>
      </c>
      <c r="D894" t="inlineStr">
        <is>
          <t>Support Ticket</t>
        </is>
      </c>
      <c r="E894" t="inlineStr">
        <is>
          <t>Starter</t>
        </is>
      </c>
      <c r="F894" t="inlineStr">
        <is>
          <t>Mid-Market</t>
        </is>
      </c>
      <c r="G894" t="inlineStr">
        <is>
          <t>Reporting</t>
        </is>
      </c>
      <c r="H894" t="inlineStr">
        <is>
          <t>Performance Issue</t>
        </is>
      </c>
      <c r="I894" t="inlineStr">
        <is>
          <t>FYI for the product team. Our dashboard loading spins for a minute before showing any chart. Happy to join a feedback call.</t>
        </is>
      </c>
      <c r="J894" t="inlineStr">
        <is>
          <t>Neutral</t>
        </is>
      </c>
      <c r="K894" t="inlineStr">
        <is>
          <t>High</t>
        </is>
      </c>
      <c r="L894" t="inlineStr">
        <is>
          <t>Blocks Key Task</t>
        </is>
      </c>
      <c r="M894" t="inlineStr">
        <is>
          <t>rep_slow</t>
        </is>
      </c>
      <c r="N894" t="inlineStr">
        <is>
          <t>Slow dashboards</t>
        </is>
      </c>
      <c r="O894" t="inlineStr">
        <is>
          <t>2026-05</t>
        </is>
      </c>
    </row>
    <row r="895">
      <c r="A895" t="inlineStr">
        <is>
          <t>FB-00894</t>
        </is>
      </c>
      <c r="B895" t="inlineStr">
        <is>
          <t>CUST-0308</t>
        </is>
      </c>
      <c r="C895" s="11" t="n">
        <v>46167</v>
      </c>
      <c r="D895" t="inlineStr">
        <is>
          <t>In-App Feedback</t>
        </is>
      </c>
      <c r="E895" t="inlineStr">
        <is>
          <t>Professional</t>
        </is>
      </c>
      <c r="F895" t="inlineStr">
        <is>
          <t>SMB</t>
        </is>
      </c>
      <c r="G895" t="inlineStr">
        <is>
          <t>User Interface</t>
        </is>
      </c>
      <c r="H895" t="inlineStr">
        <is>
          <t>Feature Request</t>
        </is>
      </c>
      <c r="I895" t="inlineStr">
        <is>
          <t>Requesting mobile call logging so reps can log activity right after a meeting. Happy to join a feedback call.</t>
        </is>
      </c>
      <c r="J895" t="inlineStr">
        <is>
          <t>Neutral</t>
        </is>
      </c>
      <c r="K895" t="inlineStr">
        <is>
          <t>Low</t>
        </is>
      </c>
      <c r="L895" t="inlineStr">
        <is>
          <t>Minor Inconvenience</t>
        </is>
      </c>
      <c r="M895" t="inlineStr">
        <is>
          <t>ui_mobile</t>
        </is>
      </c>
      <c r="N895" t="inlineStr">
        <is>
          <t>Mobile app</t>
        </is>
      </c>
      <c r="O895" t="inlineStr">
        <is>
          <t>2026-05</t>
        </is>
      </c>
    </row>
    <row r="896">
      <c r="A896" t="inlineStr">
        <is>
          <t>FB-00895</t>
        </is>
      </c>
      <c r="B896" t="inlineStr">
        <is>
          <t>CUST-0403</t>
        </is>
      </c>
      <c r="C896" s="11" t="n">
        <v>46167</v>
      </c>
      <c r="D896" t="inlineStr">
        <is>
          <t>In-App Feedback</t>
        </is>
      </c>
      <c r="E896" t="inlineStr">
        <is>
          <t>Starter</t>
        </is>
      </c>
      <c r="F896" t="inlineStr">
        <is>
          <t>SMB</t>
        </is>
      </c>
      <c r="G896" t="inlineStr">
        <is>
          <t>Lead Management</t>
        </is>
      </c>
      <c r="H896" t="inlineStr">
        <is>
          <t>Bug</t>
        </is>
      </c>
      <c r="I896" t="inlineStr">
        <is>
          <t>Escalating on behalf of our ops lead. After every list import we find lead de-duplication failures that have to be cleaned up by hand.</t>
        </is>
      </c>
      <c r="J896" t="inlineStr">
        <is>
          <t>Negative</t>
        </is>
      </c>
      <c r="K896" t="inlineStr">
        <is>
          <t>Medium</t>
        </is>
      </c>
      <c r="L896" t="inlineStr">
        <is>
          <t>Blocks Key Task</t>
        </is>
      </c>
      <c r="M896" t="inlineStr">
        <is>
          <t>lead_dup</t>
        </is>
      </c>
      <c r="N896" t="inlineStr">
        <is>
          <t>Duplicate leads created</t>
        </is>
      </c>
      <c r="O896" t="inlineStr">
        <is>
          <t>2026-05</t>
        </is>
      </c>
    </row>
    <row r="897">
      <c r="A897" t="inlineStr">
        <is>
          <t>FB-00896</t>
        </is>
      </c>
      <c r="B897" t="inlineStr">
        <is>
          <t>CUST-0003</t>
        </is>
      </c>
      <c r="C897" s="11" t="n">
        <v>46167</v>
      </c>
      <c r="D897" t="inlineStr">
        <is>
          <t>Feature Request</t>
        </is>
      </c>
      <c r="E897" t="inlineStr">
        <is>
          <t>Starter</t>
        </is>
      </c>
      <c r="F897" t="inlineStr">
        <is>
          <t>Mid-Market</t>
        </is>
      </c>
      <c r="G897" t="inlineStr">
        <is>
          <t>User Interface</t>
        </is>
      </c>
      <c r="H897" t="inlineStr">
        <is>
          <t>Feature Request</t>
        </is>
      </c>
      <c r="I897" t="inlineStr">
        <is>
          <t>Quick note from our admin. Requesting mobile call logging so reps can log activity right after a meeting. Our sales manager flagged it while onboarding 56 new users.</t>
        </is>
      </c>
      <c r="J897" t="inlineStr">
        <is>
          <t>Neutral</t>
        </is>
      </c>
      <c r="K897" t="inlineStr">
        <is>
          <t>Low</t>
        </is>
      </c>
      <c r="L897" t="inlineStr">
        <is>
          <t>Minor Inconvenience</t>
        </is>
      </c>
      <c r="M897" t="inlineStr">
        <is>
          <t>ui_mobile</t>
        </is>
      </c>
      <c r="N897" t="inlineStr">
        <is>
          <t>Mobile app</t>
        </is>
      </c>
      <c r="O897" t="inlineStr">
        <is>
          <t>2026-05</t>
        </is>
      </c>
    </row>
    <row r="898">
      <c r="A898" t="inlineStr">
        <is>
          <t>FB-00897</t>
        </is>
      </c>
      <c r="B898" t="inlineStr">
        <is>
          <t>CUST-0203</t>
        </is>
      </c>
      <c r="C898" s="11" t="n">
        <v>46168</v>
      </c>
      <c r="D898" t="inlineStr">
        <is>
          <t>Feature Request</t>
        </is>
      </c>
      <c r="E898" t="inlineStr">
        <is>
          <t>Professional</t>
        </is>
      </c>
      <c r="F898" t="inlineStr">
        <is>
          <t>Mid-Market</t>
        </is>
      </c>
      <c r="G898" t="inlineStr">
        <is>
          <t>Contact Management</t>
        </is>
      </c>
      <c r="H898" t="inlineStr">
        <is>
          <t>Feature Request</t>
        </is>
      </c>
      <c r="I898" t="inlineStr">
        <is>
          <t>Noting this during onboarding. A bulk contact merge that keeps activity history would save our ops team hours. Happy to join a feedback call.</t>
        </is>
      </c>
      <c r="J898" t="inlineStr">
        <is>
          <t>Neutral</t>
        </is>
      </c>
      <c r="K898" t="inlineStr">
        <is>
          <t>Low</t>
        </is>
      </c>
      <c r="L898" t="inlineStr">
        <is>
          <t>Blocks Key Task</t>
        </is>
      </c>
      <c r="M898" t="inlineStr">
        <is>
          <t>contact_dedupe</t>
        </is>
      </c>
      <c r="N898" t="inlineStr">
        <is>
          <t>Bulk contact merge</t>
        </is>
      </c>
      <c r="O898" t="inlineStr">
        <is>
          <t>2026-05</t>
        </is>
      </c>
    </row>
    <row r="899">
      <c r="A899" t="inlineStr">
        <is>
          <t>FB-00898</t>
        </is>
      </c>
      <c r="B899" t="inlineStr">
        <is>
          <t>CUST-0054</t>
        </is>
      </c>
      <c r="C899" s="11" t="n">
        <v>46168</v>
      </c>
      <c r="D899" t="inlineStr">
        <is>
          <t>Customer Survey</t>
        </is>
      </c>
      <c r="E899" t="inlineStr">
        <is>
          <t>Enterprise</t>
        </is>
      </c>
      <c r="F899" t="inlineStr">
        <is>
          <t>Enterprise</t>
        </is>
      </c>
      <c r="G899" t="inlineStr">
        <is>
          <t>Reporting</t>
        </is>
      </c>
      <c r="H899" t="inlineStr">
        <is>
          <t>Feature Request</t>
        </is>
      </c>
      <c r="I899" t="inlineStr">
        <is>
          <t>Noting this during onboarding. We need scheduled report emails so non-technical managers can create their own views. We estimate we lose roughly 3 hours a month on this.</t>
        </is>
      </c>
      <c r="J899" t="inlineStr">
        <is>
          <t>Neutral</t>
        </is>
      </c>
      <c r="K899" t="inlineStr">
        <is>
          <t>Medium</t>
        </is>
      </c>
      <c r="L899" t="inlineStr">
        <is>
          <t>Blocks Key Task</t>
        </is>
      </c>
      <c r="M899" t="inlineStr">
        <is>
          <t>rep_custom</t>
        </is>
      </c>
      <c r="N899" t="inlineStr">
        <is>
          <t>Custom and scheduled reports</t>
        </is>
      </c>
      <c r="O899" t="inlineStr">
        <is>
          <t>2026-05</t>
        </is>
      </c>
    </row>
    <row r="900">
      <c r="A900" t="inlineStr">
        <is>
          <t>FB-00899</t>
        </is>
      </c>
      <c r="B900" t="inlineStr">
        <is>
          <t>CUST-0263</t>
        </is>
      </c>
      <c r="C900" s="11" t="n">
        <v>46168</v>
      </c>
      <c r="D900" t="inlineStr">
        <is>
          <t>Customer Survey</t>
        </is>
      </c>
      <c r="E900" t="inlineStr">
        <is>
          <t>Professional</t>
        </is>
      </c>
      <c r="F900" t="inlineStr">
        <is>
          <t>Mid-Market</t>
        </is>
      </c>
      <c r="G900" t="inlineStr">
        <is>
          <t>Reporting</t>
        </is>
      </c>
      <c r="H900" t="inlineStr">
        <is>
          <t>Performance Issue</t>
        </is>
      </c>
      <c r="I900" t="inlineStr">
        <is>
          <t>Our team keeps running into this. Execs gave up on the report load time and ask for screenshots instead. Please look into it soon.</t>
        </is>
      </c>
      <c r="J900" t="inlineStr">
        <is>
          <t>Negative</t>
        </is>
      </c>
      <c r="K900" t="inlineStr">
        <is>
          <t>High</t>
        </is>
      </c>
      <c r="L900" t="inlineStr">
        <is>
          <t>Workflow Slowdown</t>
        </is>
      </c>
      <c r="M900" t="inlineStr">
        <is>
          <t>rep_slow</t>
        </is>
      </c>
      <c r="N900" t="inlineStr">
        <is>
          <t>Slow dashboards</t>
        </is>
      </c>
      <c r="O900" t="inlineStr">
        <is>
          <t>2026-05</t>
        </is>
      </c>
    </row>
    <row r="901">
      <c r="A901" t="inlineStr">
        <is>
          <t>FB-00900</t>
        </is>
      </c>
      <c r="B901" t="inlineStr">
        <is>
          <t>CUST-0295</t>
        </is>
      </c>
      <c r="C901" s="11" t="n">
        <v>46168</v>
      </c>
      <c r="D901" t="inlineStr">
        <is>
          <t>Customer Survey</t>
        </is>
      </c>
      <c r="E901" t="inlineStr">
        <is>
          <t>Starter</t>
        </is>
      </c>
      <c r="F901" t="inlineStr">
        <is>
          <t>SMB</t>
        </is>
      </c>
      <c r="G901" t="inlineStr">
        <is>
          <t>Lead Management</t>
        </is>
      </c>
      <c r="H901" t="inlineStr">
        <is>
          <t>Bug</t>
        </is>
      </c>
      <c r="I901" t="inlineStr">
        <is>
          <t>Not what we expected for the price. There are duplicated leads across our pipeline views and nobody knows which record is the source of truth. We estimate we lose roughly 46 hours a month on this. We need a fix before renewal.</t>
        </is>
      </c>
      <c r="J901" t="inlineStr">
        <is>
          <t>Negative</t>
        </is>
      </c>
      <c r="K901" t="inlineStr">
        <is>
          <t>Low</t>
        </is>
      </c>
      <c r="L901" t="inlineStr">
        <is>
          <t>Workflow Slowdown</t>
        </is>
      </c>
      <c r="M901" t="inlineStr">
        <is>
          <t>lead_dup</t>
        </is>
      </c>
      <c r="N901" t="inlineStr">
        <is>
          <t>Duplicate leads created</t>
        </is>
      </c>
      <c r="O901" t="inlineStr">
        <is>
          <t>2026-05</t>
        </is>
      </c>
    </row>
    <row r="902">
      <c r="A902" t="inlineStr">
        <is>
          <t>FB-00901</t>
        </is>
      </c>
      <c r="B902" t="inlineStr">
        <is>
          <t>CUST-0314</t>
        </is>
      </c>
      <c r="C902" s="11" t="n">
        <v>46168</v>
      </c>
      <c r="D902" t="inlineStr">
        <is>
          <t>Feature Request</t>
        </is>
      </c>
      <c r="E902" t="inlineStr">
        <is>
          <t>Enterprise</t>
        </is>
      </c>
      <c r="F902" t="inlineStr">
        <is>
          <t>Mid-Market</t>
        </is>
      </c>
      <c r="G902" t="inlineStr">
        <is>
          <t>Integrations</t>
        </is>
      </c>
      <c r="H902" t="inlineStr">
        <is>
          <t>Feature Request</t>
        </is>
      </c>
      <c r="I902" t="inlineStr">
        <is>
          <t>Feedback from our monthly review. Requesting SSO support for our compliance audit. We estimate we lose roughly 4 hours a month on this. Let us know if you need examples.</t>
        </is>
      </c>
      <c r="J902" t="inlineStr">
        <is>
          <t>Neutral</t>
        </is>
      </c>
      <c r="K902" t="inlineStr">
        <is>
          <t>Low</t>
        </is>
      </c>
      <c r="L902" t="inlineStr">
        <is>
          <t>Minor Inconvenience</t>
        </is>
      </c>
      <c r="M902" t="inlineStr">
        <is>
          <t>int_sso</t>
        </is>
      </c>
      <c r="N902" t="inlineStr">
        <is>
          <t>SSO and provisioning</t>
        </is>
      </c>
      <c r="O902" t="inlineStr">
        <is>
          <t>2026-05</t>
        </is>
      </c>
    </row>
    <row r="903">
      <c r="A903" t="inlineStr">
        <is>
          <t>FB-00902</t>
        </is>
      </c>
      <c r="B903" t="inlineStr">
        <is>
          <t>CUST-0108</t>
        </is>
      </c>
      <c r="C903" s="11" t="n">
        <v>46168</v>
      </c>
      <c r="D903" t="inlineStr">
        <is>
          <t>In-App Feedback</t>
        </is>
      </c>
      <c r="E903" t="inlineStr">
        <is>
          <t>Enterprise</t>
        </is>
      </c>
      <c r="F903" t="inlineStr">
        <is>
          <t>Mid-Market</t>
        </is>
      </c>
      <c r="G903" t="inlineStr">
        <is>
          <t>Reporting</t>
        </is>
      </c>
      <c r="H903" t="inlineStr">
        <is>
          <t>Feature Request</t>
        </is>
      </c>
      <c r="I903" t="inlineStr">
        <is>
          <t>We need sales forecasting by team and region for quarterly planning. We estimate we lose roughly 23 hours a month on this.</t>
        </is>
      </c>
      <c r="J903" t="inlineStr">
        <is>
          <t>Negative</t>
        </is>
      </c>
      <c r="K903" t="inlineStr">
        <is>
          <t>Low</t>
        </is>
      </c>
      <c r="L903" t="inlineStr">
        <is>
          <t>Minor Inconvenience</t>
        </is>
      </c>
      <c r="M903" t="inlineStr">
        <is>
          <t>rep_forecast</t>
        </is>
      </c>
      <c r="N903" t="inlineStr">
        <is>
          <t>Sales forecasting</t>
        </is>
      </c>
      <c r="O903" t="inlineStr">
        <is>
          <t>2026-05</t>
        </is>
      </c>
    </row>
    <row r="904">
      <c r="A904" t="inlineStr">
        <is>
          <t>FB-00903</t>
        </is>
      </c>
      <c r="B904" t="inlineStr">
        <is>
          <t>CUST-0317</t>
        </is>
      </c>
      <c r="C904" s="11" t="n">
        <v>46169</v>
      </c>
      <c r="D904" t="inlineStr">
        <is>
          <t>Feature Request</t>
        </is>
      </c>
      <c r="E904" t="inlineStr">
        <is>
          <t>Starter</t>
        </is>
      </c>
      <c r="F904" t="inlineStr">
        <is>
          <t>SMB</t>
        </is>
      </c>
      <c r="G904" t="inlineStr">
        <is>
          <t>Lead Management</t>
        </is>
      </c>
      <c r="H904" t="inlineStr">
        <is>
          <t>Feature Request</t>
        </is>
      </c>
      <c r="I904" t="inlineStr">
        <is>
          <t>Would love to see automated lead scoring that marketing and sales can both tune. So far 74 people on our side have reported it. Thanks to the team.</t>
        </is>
      </c>
      <c r="J904" t="inlineStr">
        <is>
          <t>Positive</t>
        </is>
      </c>
      <c r="K904" t="inlineStr">
        <is>
          <t>Medium</t>
        </is>
      </c>
      <c r="L904" t="inlineStr">
        <is>
          <t>Workflow Slowdown</t>
        </is>
      </c>
      <c r="M904" t="inlineStr">
        <is>
          <t>lead_score</t>
        </is>
      </c>
      <c r="N904" t="inlineStr">
        <is>
          <t>Automated lead scoring</t>
        </is>
      </c>
      <c r="O904" t="inlineStr">
        <is>
          <t>2026-05</t>
        </is>
      </c>
    </row>
    <row r="905">
      <c r="A905" t="inlineStr">
        <is>
          <t>FB-00904</t>
        </is>
      </c>
      <c r="B905" t="inlineStr">
        <is>
          <t>CUST-0339</t>
        </is>
      </c>
      <c r="C905" s="11" t="n">
        <v>46169</v>
      </c>
      <c r="D905" t="inlineStr">
        <is>
          <t>Customer Survey</t>
        </is>
      </c>
      <c r="E905" t="inlineStr">
        <is>
          <t>Professional</t>
        </is>
      </c>
      <c r="F905" t="inlineStr">
        <is>
          <t>Mid-Market</t>
        </is>
      </c>
      <c r="G905" t="inlineStr">
        <is>
          <t>Lead Management</t>
        </is>
      </c>
      <c r="H905" t="inlineStr">
        <is>
          <t>Feature Request</t>
        </is>
      </c>
      <c r="I905" t="inlineStr">
        <is>
          <t>Noting this during onboarding. We need lead scoring rules so reps can focus on the prospects most likely to close.</t>
        </is>
      </c>
      <c r="J905" t="inlineStr">
        <is>
          <t>Neutral</t>
        </is>
      </c>
      <c r="K905" t="inlineStr">
        <is>
          <t>Medium</t>
        </is>
      </c>
      <c r="L905" t="inlineStr">
        <is>
          <t>Blocks Key Task</t>
        </is>
      </c>
      <c r="M905" t="inlineStr">
        <is>
          <t>lead_score</t>
        </is>
      </c>
      <c r="N905" t="inlineStr">
        <is>
          <t>Automated lead scoring</t>
        </is>
      </c>
      <c r="O905" t="inlineStr">
        <is>
          <t>2026-05</t>
        </is>
      </c>
    </row>
    <row r="906">
      <c r="A906" t="inlineStr">
        <is>
          <t>FB-00905</t>
        </is>
      </c>
      <c r="B906" t="inlineStr">
        <is>
          <t>CUST-0108</t>
        </is>
      </c>
      <c r="C906" s="11" t="n">
        <v>46169</v>
      </c>
      <c r="D906" t="inlineStr">
        <is>
          <t>Feature Request</t>
        </is>
      </c>
      <c r="E906" t="inlineStr">
        <is>
          <t>Enterprise</t>
        </is>
      </c>
      <c r="F906" t="inlineStr">
        <is>
          <t>Mid-Market</t>
        </is>
      </c>
      <c r="G906" t="inlineStr">
        <is>
          <t>Workflow Automation</t>
        </is>
      </c>
      <c r="H906" t="inlineStr">
        <is>
          <t>Feature Request</t>
        </is>
      </c>
      <c r="I906" t="inlineStr">
        <is>
          <t>Our team keeps running into this. Requesting a discount approval flow; today approvals happen over chat. It affects our quarterly planning process every cycle. Please look into it soon.</t>
        </is>
      </c>
      <c r="J906" t="inlineStr">
        <is>
          <t>Negative</t>
        </is>
      </c>
      <c r="K906" t="inlineStr">
        <is>
          <t>Low</t>
        </is>
      </c>
      <c r="L906" t="inlineStr">
        <is>
          <t>Minor Inconvenience</t>
        </is>
      </c>
      <c r="M906" t="inlineStr">
        <is>
          <t>wf_approval</t>
        </is>
      </c>
      <c r="N906" t="inlineStr">
        <is>
          <t>Approval steps in workflows</t>
        </is>
      </c>
      <c r="O906" t="inlineStr">
        <is>
          <t>2026-05</t>
        </is>
      </c>
    </row>
    <row r="907">
      <c r="A907" t="inlineStr">
        <is>
          <t>FB-00906</t>
        </is>
      </c>
      <c r="B907" t="inlineStr">
        <is>
          <t>CUST-0349</t>
        </is>
      </c>
      <c r="C907" s="11" t="n">
        <v>46170</v>
      </c>
      <c r="D907" t="inlineStr">
        <is>
          <t>Customer Survey</t>
        </is>
      </c>
      <c r="E907" t="inlineStr">
        <is>
          <t>Professional</t>
        </is>
      </c>
      <c r="F907" t="inlineStr">
        <is>
          <t>Mid-Market</t>
        </is>
      </c>
      <c r="G907" t="inlineStr">
        <is>
          <t>Workflow Automation</t>
        </is>
      </c>
      <c r="H907" t="inlineStr">
        <is>
          <t>Usability Issue</t>
        </is>
      </c>
      <c r="I907" t="inlineStr">
        <is>
          <t>Not what we expected for the price. The workflow editor doesn't let us copy steps between flows. So far 73 people on our side have reported it. Support suggested logging it here.</t>
        </is>
      </c>
      <c r="J907" t="inlineStr">
        <is>
          <t>Negative</t>
        </is>
      </c>
      <c r="K907" t="inlineStr">
        <is>
          <t>High</t>
        </is>
      </c>
      <c r="L907" t="inlineStr">
        <is>
          <t>Revenue/Operations Risk</t>
        </is>
      </c>
      <c r="M907" t="inlineStr">
        <is>
          <t>wf_builder</t>
        </is>
      </c>
      <c r="N907" t="inlineStr">
        <is>
          <t>Confusing workflow builder</t>
        </is>
      </c>
      <c r="O907" t="inlineStr">
        <is>
          <t>2026-05</t>
        </is>
      </c>
    </row>
    <row r="908">
      <c r="A908" t="inlineStr">
        <is>
          <t>FB-00907</t>
        </is>
      </c>
      <c r="B908" t="inlineStr">
        <is>
          <t>CUST-0109</t>
        </is>
      </c>
      <c r="C908" s="11" t="n">
        <v>46170</v>
      </c>
      <c r="D908" t="inlineStr">
        <is>
          <t>Customer Survey</t>
        </is>
      </c>
      <c r="E908" t="inlineStr">
        <is>
          <t>Enterprise</t>
        </is>
      </c>
      <c r="F908" t="inlineStr">
        <is>
          <t>Enterprise</t>
        </is>
      </c>
      <c r="G908" t="inlineStr">
        <is>
          <t>Workflow Automation</t>
        </is>
      </c>
      <c r="H908" t="inlineStr">
        <is>
          <t>Feature Request</t>
        </is>
      </c>
      <c r="I908" t="inlineStr">
        <is>
          <t>Requesting multi-level approvals; today approvals happen over chat. Happy to join a feedback call.</t>
        </is>
      </c>
      <c r="J908" t="inlineStr">
        <is>
          <t>Neutral</t>
        </is>
      </c>
      <c r="K908" t="inlineStr">
        <is>
          <t>Medium</t>
        </is>
      </c>
      <c r="L908" t="inlineStr">
        <is>
          <t>Workflow Slowdown</t>
        </is>
      </c>
      <c r="M908" t="inlineStr">
        <is>
          <t>wf_approval</t>
        </is>
      </c>
      <c r="N908" t="inlineStr">
        <is>
          <t>Approval steps in workflows</t>
        </is>
      </c>
      <c r="O908" t="inlineStr">
        <is>
          <t>2026-05</t>
        </is>
      </c>
    </row>
    <row r="909">
      <c r="A909" t="inlineStr">
        <is>
          <t>FB-00908</t>
        </is>
      </c>
      <c r="B909" t="inlineStr">
        <is>
          <t>CUST-0300</t>
        </is>
      </c>
      <c r="C909" s="11" t="n">
        <v>46170</v>
      </c>
      <c r="D909" t="inlineStr">
        <is>
          <t>Customer Survey</t>
        </is>
      </c>
      <c r="E909" t="inlineStr">
        <is>
          <t>Professional</t>
        </is>
      </c>
      <c r="F909" t="inlineStr">
        <is>
          <t>Mid-Market</t>
        </is>
      </c>
      <c r="G909" t="inlineStr">
        <is>
          <t>Reporting</t>
        </is>
      </c>
      <c r="H909" t="inlineStr">
        <is>
          <t>Feature Request</t>
        </is>
      </c>
      <c r="I909" t="inlineStr">
        <is>
          <t>Without report scheduling we export raw data and rebuild everything elsewhere. We estimate we lose roughly 18 hours a month on this.</t>
        </is>
      </c>
      <c r="J909" t="inlineStr">
        <is>
          <t>Positive</t>
        </is>
      </c>
      <c r="K909" t="inlineStr">
        <is>
          <t>Medium</t>
        </is>
      </c>
      <c r="L909" t="inlineStr">
        <is>
          <t>Minor Inconvenience</t>
        </is>
      </c>
      <c r="M909" t="inlineStr">
        <is>
          <t>rep_custom</t>
        </is>
      </c>
      <c r="N909" t="inlineStr">
        <is>
          <t>Custom and scheduled reports</t>
        </is>
      </c>
      <c r="O909" t="inlineStr">
        <is>
          <t>2026-05</t>
        </is>
      </c>
    </row>
    <row r="910">
      <c r="A910" t="inlineStr">
        <is>
          <t>FB-00909</t>
        </is>
      </c>
      <c r="B910" t="inlineStr">
        <is>
          <t>CUST-0353</t>
        </is>
      </c>
      <c r="C910" s="11" t="n">
        <v>46170</v>
      </c>
      <c r="D910" t="inlineStr">
        <is>
          <t>In-App Feedback</t>
        </is>
      </c>
      <c r="E910" t="inlineStr">
        <is>
          <t>Starter</t>
        </is>
      </c>
      <c r="F910" t="inlineStr">
        <is>
          <t>SMB</t>
        </is>
      </c>
      <c r="G910" t="inlineStr">
        <is>
          <t>User Interface</t>
        </is>
      </c>
      <c r="H910" t="inlineStr">
        <is>
          <t>Performance Issue</t>
        </is>
      </c>
      <c r="I910" t="inlineStr">
        <is>
          <t>Our team keeps running into this. Page lag makes data entry frustrating during live calls. We estimate we lose roughly 52 hours a month on this.</t>
        </is>
      </c>
      <c r="J910" t="inlineStr">
        <is>
          <t>Negative</t>
        </is>
      </c>
      <c r="K910" t="inlineStr">
        <is>
          <t>Medium</t>
        </is>
      </c>
      <c r="L910" t="inlineStr">
        <is>
          <t>Workflow Slowdown</t>
        </is>
      </c>
      <c r="M910" t="inlineStr">
        <is>
          <t>ui_perf</t>
        </is>
      </c>
      <c r="N910" t="inlineStr">
        <is>
          <t>Laggy pages</t>
        </is>
      </c>
      <c r="O910" t="inlineStr">
        <is>
          <t>2026-05</t>
        </is>
      </c>
    </row>
    <row r="911">
      <c r="A911" t="inlineStr">
        <is>
          <t>FB-00910</t>
        </is>
      </c>
      <c r="B911" t="inlineStr">
        <is>
          <t>CUST-0032</t>
        </is>
      </c>
      <c r="C911" s="11" t="n">
        <v>46170</v>
      </c>
      <c r="D911" t="inlineStr">
        <is>
          <t>In-App Feedback</t>
        </is>
      </c>
      <c r="E911" t="inlineStr">
        <is>
          <t>Starter</t>
        </is>
      </c>
      <c r="F911" t="inlineStr">
        <is>
          <t>SMB</t>
        </is>
      </c>
      <c r="G911" t="inlineStr">
        <is>
          <t>User Interface</t>
        </is>
      </c>
      <c r="H911" t="inlineStr">
        <is>
          <t>Performance Issue</t>
        </is>
      </c>
      <c r="I911" t="inlineStr">
        <is>
          <t>Escalating on behalf of our ops lead. The slow page transitions gets worse in the afternoon.</t>
        </is>
      </c>
      <c r="J911" t="inlineStr">
        <is>
          <t>Negative</t>
        </is>
      </c>
      <c r="K911" t="inlineStr">
        <is>
          <t>Medium</t>
        </is>
      </c>
      <c r="L911" t="inlineStr">
        <is>
          <t>Workflow Slowdown</t>
        </is>
      </c>
      <c r="M911" t="inlineStr">
        <is>
          <t>ui_perf</t>
        </is>
      </c>
      <c r="N911" t="inlineStr">
        <is>
          <t>Laggy pages</t>
        </is>
      </c>
      <c r="O911" t="inlineStr">
        <is>
          <t>2026-05</t>
        </is>
      </c>
    </row>
    <row r="912">
      <c r="A912" t="inlineStr">
        <is>
          <t>FB-00911</t>
        </is>
      </c>
      <c r="B912" t="inlineStr">
        <is>
          <t>CUST-0003</t>
        </is>
      </c>
      <c r="C912" s="11" t="n">
        <v>46171</v>
      </c>
      <c r="D912" t="inlineStr">
        <is>
          <t>In-App Feedback</t>
        </is>
      </c>
      <c r="E912" t="inlineStr">
        <is>
          <t>Starter</t>
        </is>
      </c>
      <c r="F912" t="inlineStr">
        <is>
          <t>Mid-Market</t>
        </is>
      </c>
      <c r="G912" t="inlineStr">
        <is>
          <t>Workflow Automation</t>
        </is>
      </c>
      <c r="H912" t="inlineStr">
        <is>
          <t>Bug</t>
        </is>
      </c>
      <c r="I912" t="inlineStr">
        <is>
          <t>Raising this again after our last business review. We found automation misfires only because a customer complained. Support suggested logging it here.</t>
        </is>
      </c>
      <c r="J912" t="inlineStr">
        <is>
          <t>Negative</t>
        </is>
      </c>
      <c r="K912" t="inlineStr">
        <is>
          <t>Low</t>
        </is>
      </c>
      <c r="L912" t="inlineStr">
        <is>
          <t>Minor Inconvenience</t>
        </is>
      </c>
      <c r="M912" t="inlineStr">
        <is>
          <t>wf_fail</t>
        </is>
      </c>
      <c r="N912" t="inlineStr">
        <is>
          <t>Workflows failing silently</t>
        </is>
      </c>
      <c r="O912" t="inlineStr">
        <is>
          <t>2026-05</t>
        </is>
      </c>
    </row>
    <row r="913">
      <c r="A913" t="inlineStr">
        <is>
          <t>FB-00912</t>
        </is>
      </c>
      <c r="B913" t="inlineStr">
        <is>
          <t>CUST-0206</t>
        </is>
      </c>
      <c r="C913" s="11" t="n">
        <v>46171</v>
      </c>
      <c r="D913" t="inlineStr">
        <is>
          <t>Support Ticket</t>
        </is>
      </c>
      <c r="E913" t="inlineStr">
        <is>
          <t>Professional</t>
        </is>
      </c>
      <c r="F913" t="inlineStr">
        <is>
          <t>Mid-Market</t>
        </is>
      </c>
      <c r="G913" t="inlineStr">
        <is>
          <t>Contact Management</t>
        </is>
      </c>
      <c r="H913" t="inlineStr">
        <is>
          <t>Bug</t>
        </is>
      </c>
      <c r="I913" t="inlineStr">
        <is>
          <t>Our contact CSV import scrambles phone and email columns even after we map them correctly.</t>
        </is>
      </c>
      <c r="J913" t="inlineStr">
        <is>
          <t>Negative</t>
        </is>
      </c>
      <c r="K913" t="inlineStr">
        <is>
          <t>Medium</t>
        </is>
      </c>
      <c r="L913" t="inlineStr">
        <is>
          <t>Blocks Key Task</t>
        </is>
      </c>
      <c r="M913" t="inlineStr">
        <is>
          <t>contact_import</t>
        </is>
      </c>
      <c r="N913" t="inlineStr">
        <is>
          <t>Unreliable contact imports</t>
        </is>
      </c>
      <c r="O913" t="inlineStr">
        <is>
          <t>2026-05</t>
        </is>
      </c>
    </row>
    <row r="914">
      <c r="A914" t="inlineStr">
        <is>
          <t>FB-00913</t>
        </is>
      </c>
      <c r="B914" t="inlineStr">
        <is>
          <t>CUST-0151</t>
        </is>
      </c>
      <c r="C914" s="11" t="n">
        <v>46171</v>
      </c>
      <c r="D914" t="inlineStr">
        <is>
          <t>Customer Survey</t>
        </is>
      </c>
      <c r="E914" t="inlineStr">
        <is>
          <t>Starter</t>
        </is>
      </c>
      <c r="F914" t="inlineStr">
        <is>
          <t>SMB</t>
        </is>
      </c>
      <c r="G914" t="inlineStr">
        <is>
          <t>User Interface</t>
        </is>
      </c>
      <c r="H914" t="inlineStr">
        <is>
          <t>Usability Issue</t>
        </is>
      </c>
      <c r="I914" t="inlineStr">
        <is>
          <t>Escalating on behalf of our ops lead. The page layout is cluttered and I can never find the setting I need. We estimate we lose roughly 53 hours a month on this.</t>
        </is>
      </c>
      <c r="J914" t="inlineStr">
        <is>
          <t>Negative</t>
        </is>
      </c>
      <c r="K914" t="inlineStr">
        <is>
          <t>Medium</t>
        </is>
      </c>
      <c r="L914" t="inlineStr">
        <is>
          <t>Minor Inconvenience</t>
        </is>
      </c>
      <c r="M914" t="inlineStr">
        <is>
          <t>ui_nav</t>
        </is>
      </c>
      <c r="N914" t="inlineStr">
        <is>
          <t>Cluttered navigation</t>
        </is>
      </c>
      <c r="O914" t="inlineStr">
        <is>
          <t>2026-05</t>
        </is>
      </c>
    </row>
    <row r="915">
      <c r="A915" t="inlineStr">
        <is>
          <t>FB-00914</t>
        </is>
      </c>
      <c r="B915" t="inlineStr">
        <is>
          <t>CUST-0146</t>
        </is>
      </c>
      <c r="C915" s="11" t="n">
        <v>46171</v>
      </c>
      <c r="D915" t="inlineStr">
        <is>
          <t>Support Ticket</t>
        </is>
      </c>
      <c r="E915" t="inlineStr">
        <is>
          <t>Starter</t>
        </is>
      </c>
      <c r="F915" t="inlineStr">
        <is>
          <t>SMB</t>
        </is>
      </c>
      <c r="G915" t="inlineStr">
        <is>
          <t>User Interface</t>
        </is>
      </c>
      <c r="H915" t="inlineStr">
        <is>
          <t>Feature Request</t>
        </is>
      </c>
      <c r="I915" t="inlineStr">
        <is>
          <t>Our field reps need mobile call logging to update deals between visits. Keep up the good work.</t>
        </is>
      </c>
      <c r="J915" t="inlineStr">
        <is>
          <t>Positive</t>
        </is>
      </c>
      <c r="K915" t="inlineStr">
        <is>
          <t>Low</t>
        </is>
      </c>
      <c r="L915" t="inlineStr">
        <is>
          <t>Minor Inconvenience</t>
        </is>
      </c>
      <c r="M915" t="inlineStr">
        <is>
          <t>ui_mobile</t>
        </is>
      </c>
      <c r="N915" t="inlineStr">
        <is>
          <t>Mobile app</t>
        </is>
      </c>
      <c r="O915" t="inlineStr">
        <is>
          <t>2026-05</t>
        </is>
      </c>
    </row>
    <row r="916">
      <c r="A916" t="inlineStr">
        <is>
          <t>FB-00915</t>
        </is>
      </c>
      <c r="B916" t="inlineStr">
        <is>
          <t>CUST-0215</t>
        </is>
      </c>
      <c r="C916" s="11" t="n">
        <v>46171</v>
      </c>
      <c r="D916" t="inlineStr">
        <is>
          <t>Customer Survey</t>
        </is>
      </c>
      <c r="E916" t="inlineStr">
        <is>
          <t>Starter</t>
        </is>
      </c>
      <c r="F916" t="inlineStr">
        <is>
          <t>SMB</t>
        </is>
      </c>
      <c r="G916" t="inlineStr">
        <is>
          <t>Workflow Automation</t>
        </is>
      </c>
      <c r="H916" t="inlineStr">
        <is>
          <t>Usability Issue</t>
        </is>
      </c>
      <c r="I916" t="inlineStr">
        <is>
          <t>Quick note from our admin. The workflow editor is hard to follow once a flow has more than a handful of steps. We estimate we lose roughly 46 hours a month on this.</t>
        </is>
      </c>
      <c r="J916" t="inlineStr">
        <is>
          <t>Neutral</t>
        </is>
      </c>
      <c r="K916" t="inlineStr">
        <is>
          <t>Medium</t>
        </is>
      </c>
      <c r="L916" t="inlineStr">
        <is>
          <t>Blocks Key Task</t>
        </is>
      </c>
      <c r="M916" t="inlineStr">
        <is>
          <t>wf_builder</t>
        </is>
      </c>
      <c r="N916" t="inlineStr">
        <is>
          <t>Confusing workflow builder</t>
        </is>
      </c>
      <c r="O916" t="inlineStr">
        <is>
          <t>2026-05</t>
        </is>
      </c>
    </row>
    <row r="917">
      <c r="A917" t="inlineStr">
        <is>
          <t>FB-00916</t>
        </is>
      </c>
      <c r="B917" t="inlineStr">
        <is>
          <t>CUST-0067</t>
        </is>
      </c>
      <c r="C917" s="11" t="n">
        <v>46171</v>
      </c>
      <c r="D917" t="inlineStr">
        <is>
          <t>Support Ticket</t>
        </is>
      </c>
      <c r="E917" t="inlineStr">
        <is>
          <t>Professional</t>
        </is>
      </c>
      <c r="F917" t="inlineStr">
        <is>
          <t>Mid-Market</t>
        </is>
      </c>
      <c r="G917" t="inlineStr">
        <is>
          <t>Lead Management</t>
        </is>
      </c>
      <c r="H917" t="inlineStr">
        <is>
          <t>Feature Request</t>
        </is>
      </c>
      <c r="I917" t="inlineStr">
        <is>
          <t>Sharing this from our team. Right now reps rank leads by gut feel; a lead score model would fix that. It affects our weekly pipeline review process every cycle.</t>
        </is>
      </c>
      <c r="J917" t="inlineStr">
        <is>
          <t>Neutral</t>
        </is>
      </c>
      <c r="K917" t="inlineStr">
        <is>
          <t>Medium</t>
        </is>
      </c>
      <c r="L917" t="inlineStr">
        <is>
          <t>Workflow Slowdown</t>
        </is>
      </c>
      <c r="M917" t="inlineStr">
        <is>
          <t>lead_score</t>
        </is>
      </c>
      <c r="N917" t="inlineStr">
        <is>
          <t>Automated lead scoring</t>
        </is>
      </c>
      <c r="O917" t="inlineStr">
        <is>
          <t>2026-05</t>
        </is>
      </c>
    </row>
    <row r="918">
      <c r="A918" t="inlineStr">
        <is>
          <t>FB-00917</t>
        </is>
      </c>
      <c r="B918" t="inlineStr">
        <is>
          <t>CUST-0004</t>
        </is>
      </c>
      <c r="C918" s="11" t="n">
        <v>46171</v>
      </c>
      <c r="D918" t="inlineStr">
        <is>
          <t>Customer Survey</t>
        </is>
      </c>
      <c r="E918" t="inlineStr">
        <is>
          <t>Starter</t>
        </is>
      </c>
      <c r="F918" t="inlineStr">
        <is>
          <t>SMB</t>
        </is>
      </c>
      <c r="G918" t="inlineStr">
        <is>
          <t>Lead Management</t>
        </is>
      </c>
      <c r="H918" t="inlineStr">
        <is>
          <t>Usability Issue</t>
        </is>
      </c>
      <c r="I918" t="inlineStr">
        <is>
          <t>Feedback from our monthly review. The lead assignment settings are confusing and new leads sometimes sit unassigned over weekends. We estimate we lose roughly 20 hours a month on this.</t>
        </is>
      </c>
      <c r="J918" t="inlineStr">
        <is>
          <t>Neutral</t>
        </is>
      </c>
      <c r="K918" t="inlineStr">
        <is>
          <t>Medium</t>
        </is>
      </c>
      <c r="L918" t="inlineStr">
        <is>
          <t>Minor Inconvenience</t>
        </is>
      </c>
      <c r="M918" t="inlineStr">
        <is>
          <t>lead_assign</t>
        </is>
      </c>
      <c r="N918" t="inlineStr">
        <is>
          <t>Lead routing is inflexible</t>
        </is>
      </c>
      <c r="O918" t="inlineStr">
        <is>
          <t>2026-05</t>
        </is>
      </c>
    </row>
    <row r="919">
      <c r="A919" t="inlineStr">
        <is>
          <t>FB-00918</t>
        </is>
      </c>
      <c r="B919" t="inlineStr">
        <is>
          <t>CUST-0030</t>
        </is>
      </c>
      <c r="C919" s="11" t="n">
        <v>46172</v>
      </c>
      <c r="D919" t="inlineStr">
        <is>
          <t>In-App Feedback</t>
        </is>
      </c>
      <c r="E919" t="inlineStr">
        <is>
          <t>Professional</t>
        </is>
      </c>
      <c r="F919" t="inlineStr">
        <is>
          <t>Mid-Market</t>
        </is>
      </c>
      <c r="G919" t="inlineStr">
        <is>
          <t>Contact Management</t>
        </is>
      </c>
      <c r="H919" t="inlineStr">
        <is>
          <t>Performance Issue</t>
        </is>
      </c>
      <c r="I919" t="inlineStr">
        <is>
          <t>Our team keeps running into this. We avoid contact search during calls because it takes too long. We need a fix before renewal.</t>
        </is>
      </c>
      <c r="J919" t="inlineStr">
        <is>
          <t>Negative</t>
        </is>
      </c>
      <c r="K919" t="inlineStr">
        <is>
          <t>Low</t>
        </is>
      </c>
      <c r="L919" t="inlineStr">
        <is>
          <t>Minor Inconvenience</t>
        </is>
      </c>
      <c r="M919" t="inlineStr">
        <is>
          <t>contact_search</t>
        </is>
      </c>
      <c r="N919" t="inlineStr">
        <is>
          <t>Slow contact search</t>
        </is>
      </c>
      <c r="O919" t="inlineStr">
        <is>
          <t>2026-05</t>
        </is>
      </c>
    </row>
    <row r="920">
      <c r="A920" t="inlineStr">
        <is>
          <t>FB-00919</t>
        </is>
      </c>
      <c r="B920" t="inlineStr">
        <is>
          <t>CUST-0221</t>
        </is>
      </c>
      <c r="C920" s="11" t="n">
        <v>46172</v>
      </c>
      <c r="D920" t="inlineStr">
        <is>
          <t>Feature Request</t>
        </is>
      </c>
      <c r="E920" t="inlineStr">
        <is>
          <t>Professional</t>
        </is>
      </c>
      <c r="F920" t="inlineStr">
        <is>
          <t>SMB</t>
        </is>
      </c>
      <c r="G920" t="inlineStr">
        <is>
          <t>User Interface</t>
        </is>
      </c>
      <c r="H920" t="inlineStr">
        <is>
          <t>Feature Request</t>
        </is>
      </c>
      <c r="I920" t="inlineStr">
        <is>
          <t>We lose notes whenever reps are away from a desk without offline mobile access. Our customer success lead flagged it while onboarding 14 new users.</t>
        </is>
      </c>
      <c r="J920" t="inlineStr">
        <is>
          <t>Neutral</t>
        </is>
      </c>
      <c r="K920" t="inlineStr">
        <is>
          <t>Low</t>
        </is>
      </c>
      <c r="L920" t="inlineStr">
        <is>
          <t>Minor Inconvenience</t>
        </is>
      </c>
      <c r="M920" t="inlineStr">
        <is>
          <t>ui_mobile</t>
        </is>
      </c>
      <c r="N920" t="inlineStr">
        <is>
          <t>Mobile app</t>
        </is>
      </c>
      <c r="O920" t="inlineStr">
        <is>
          <t>2026-05</t>
        </is>
      </c>
    </row>
    <row r="921">
      <c r="A921" t="inlineStr">
        <is>
          <t>FB-00920</t>
        </is>
      </c>
      <c r="B921" t="inlineStr">
        <is>
          <t>CUST-0117</t>
        </is>
      </c>
      <c r="C921" s="11" t="n">
        <v>46172</v>
      </c>
      <c r="D921" t="inlineStr">
        <is>
          <t>Support Ticket</t>
        </is>
      </c>
      <c r="E921" t="inlineStr">
        <is>
          <t>Professional</t>
        </is>
      </c>
      <c r="F921" t="inlineStr">
        <is>
          <t>Mid-Market</t>
        </is>
      </c>
      <c r="G921" t="inlineStr">
        <is>
          <t>Integrations</t>
        </is>
      </c>
      <c r="H921" t="inlineStr">
        <is>
          <t>Integration Issue</t>
        </is>
      </c>
      <c r="I921" t="inlineStr">
        <is>
          <t>API timeouts is unreliable and there is no retry or log we can inspect. It happens about 5 times a week for our team of 41. Please look into it soon.</t>
        </is>
      </c>
      <c r="J921" t="inlineStr">
        <is>
          <t>Negative</t>
        </is>
      </c>
      <c r="K921" t="inlineStr">
        <is>
          <t>High</t>
        </is>
      </c>
      <c r="L921" t="inlineStr">
        <is>
          <t>Blocks Key Task</t>
        </is>
      </c>
      <c r="M921" t="inlineStr">
        <is>
          <t>int_api</t>
        </is>
      </c>
      <c r="N921" t="inlineStr">
        <is>
          <t>API limits and webhook failures</t>
        </is>
      </c>
      <c r="O921" t="inlineStr">
        <is>
          <t>2026-05</t>
        </is>
      </c>
    </row>
    <row r="922">
      <c r="A922" t="inlineStr">
        <is>
          <t>FB-00921</t>
        </is>
      </c>
      <c r="B922" t="inlineStr">
        <is>
          <t>CUST-0181</t>
        </is>
      </c>
      <c r="C922" s="11" t="n">
        <v>46173</v>
      </c>
      <c r="D922" t="inlineStr">
        <is>
          <t>Feature Request</t>
        </is>
      </c>
      <c r="E922" t="inlineStr">
        <is>
          <t>Starter</t>
        </is>
      </c>
      <c r="F922" t="inlineStr">
        <is>
          <t>SMB</t>
        </is>
      </c>
      <c r="G922" t="inlineStr">
        <is>
          <t>Lead Management</t>
        </is>
      </c>
      <c r="H922" t="inlineStr">
        <is>
          <t>Usability Issue</t>
        </is>
      </c>
      <c r="I922" t="inlineStr">
        <is>
          <t>This has been a recurring problem for us. We can't combine region and deal size in the lead routing rules. It affects our weekly pipeline review process every cycle. We need a fix before renewal.</t>
        </is>
      </c>
      <c r="J922" t="inlineStr">
        <is>
          <t>Negative</t>
        </is>
      </c>
      <c r="K922" t="inlineStr">
        <is>
          <t>Low</t>
        </is>
      </c>
      <c r="L922" t="inlineStr">
        <is>
          <t>Workflow Slowdown</t>
        </is>
      </c>
      <c r="M922" t="inlineStr">
        <is>
          <t>lead_assign</t>
        </is>
      </c>
      <c r="N922" t="inlineStr">
        <is>
          <t>Lead routing is inflexible</t>
        </is>
      </c>
      <c r="O922" t="inlineStr">
        <is>
          <t>2026-05</t>
        </is>
      </c>
    </row>
    <row r="923">
      <c r="A923" t="inlineStr">
        <is>
          <t>FB-00922</t>
        </is>
      </c>
      <c r="B923" t="inlineStr">
        <is>
          <t>CUST-0051</t>
        </is>
      </c>
      <c r="C923" s="11" t="n">
        <v>46173</v>
      </c>
      <c r="D923" t="inlineStr">
        <is>
          <t>Feature Request</t>
        </is>
      </c>
      <c r="E923" t="inlineStr">
        <is>
          <t>Enterprise</t>
        </is>
      </c>
      <c r="F923" t="inlineStr">
        <is>
          <t>Enterprise</t>
        </is>
      </c>
      <c r="G923" t="inlineStr">
        <is>
          <t>Workflow Automation</t>
        </is>
      </c>
      <c r="H923" t="inlineStr">
        <is>
          <t>Feature Request</t>
        </is>
      </c>
      <c r="I923" t="inlineStr">
        <is>
          <t>Frustrated with this one. Competitors ship prebuilt automations; we are rebuilding the same flows from scratch. It affects our quarterly planning process every cycle. Please look into it soon.</t>
        </is>
      </c>
      <c r="J923" t="inlineStr">
        <is>
          <t>Negative</t>
        </is>
      </c>
      <c r="K923" t="inlineStr">
        <is>
          <t>Low</t>
        </is>
      </c>
      <c r="L923" t="inlineStr">
        <is>
          <t>Minor Inconvenience</t>
        </is>
      </c>
      <c r="M923" t="inlineStr">
        <is>
          <t>wf_templates</t>
        </is>
      </c>
      <c r="N923" t="inlineStr">
        <is>
          <t>Workflow templates</t>
        </is>
      </c>
      <c r="O923" t="inlineStr">
        <is>
          <t>2026-05</t>
        </is>
      </c>
    </row>
    <row r="924">
      <c r="A924" t="inlineStr">
        <is>
          <t>FB-00923</t>
        </is>
      </c>
      <c r="B924" t="inlineStr">
        <is>
          <t>CUST-0152</t>
        </is>
      </c>
      <c r="C924" s="11" t="n">
        <v>46174</v>
      </c>
      <c r="D924" t="inlineStr">
        <is>
          <t>Customer Survey</t>
        </is>
      </c>
      <c r="E924" t="inlineStr">
        <is>
          <t>Enterprise</t>
        </is>
      </c>
      <c r="F924" t="inlineStr">
        <is>
          <t>Enterprise</t>
        </is>
      </c>
      <c r="G924" t="inlineStr">
        <is>
          <t>Integrations</t>
        </is>
      </c>
      <c r="H924" t="inlineStr">
        <is>
          <t>Feature Request</t>
        </is>
      </c>
      <c r="I924" t="inlineStr">
        <is>
          <t>Quick note from our admin. Our security team requires SSO support before we can expand seats. It happens about 7 times a week for our team of 59.</t>
        </is>
      </c>
      <c r="J924" t="inlineStr">
        <is>
          <t>Neutral</t>
        </is>
      </c>
      <c r="K924" t="inlineStr">
        <is>
          <t>Low</t>
        </is>
      </c>
      <c r="L924" t="inlineStr">
        <is>
          <t>Minor Inconvenience</t>
        </is>
      </c>
      <c r="M924" t="inlineStr">
        <is>
          <t>int_sso</t>
        </is>
      </c>
      <c r="N924" t="inlineStr">
        <is>
          <t>SSO and provisioning</t>
        </is>
      </c>
      <c r="O924" t="inlineStr">
        <is>
          <t>2026-06</t>
        </is>
      </c>
    </row>
    <row r="925">
      <c r="A925" t="inlineStr">
        <is>
          <t>FB-00924</t>
        </is>
      </c>
      <c r="B925" t="inlineStr">
        <is>
          <t>CUST-0308</t>
        </is>
      </c>
      <c r="C925" s="11" t="n">
        <v>46174</v>
      </c>
      <c r="D925" t="inlineStr">
        <is>
          <t>Feature Request</t>
        </is>
      </c>
      <c r="E925" t="inlineStr">
        <is>
          <t>Professional</t>
        </is>
      </c>
      <c r="F925" t="inlineStr">
        <is>
          <t>SMB</t>
        </is>
      </c>
      <c r="G925" t="inlineStr">
        <is>
          <t>Reporting</t>
        </is>
      </c>
      <c r="H925" t="inlineStr">
        <is>
          <t>Feature Request</t>
        </is>
      </c>
      <c r="I925" t="inlineStr">
        <is>
          <t>We need scheduled report emails so non-technical managers can create their own views.</t>
        </is>
      </c>
      <c r="J925" t="inlineStr">
        <is>
          <t>Neutral</t>
        </is>
      </c>
      <c r="K925" t="inlineStr">
        <is>
          <t>Medium</t>
        </is>
      </c>
      <c r="L925" t="inlineStr">
        <is>
          <t>Revenue/Operations Risk</t>
        </is>
      </c>
      <c r="M925" t="inlineStr">
        <is>
          <t>rep_custom</t>
        </is>
      </c>
      <c r="N925" t="inlineStr">
        <is>
          <t>Custom and scheduled reports</t>
        </is>
      </c>
      <c r="O925" t="inlineStr">
        <is>
          <t>2026-06</t>
        </is>
      </c>
    </row>
    <row r="926">
      <c r="A926" t="inlineStr">
        <is>
          <t>FB-00925</t>
        </is>
      </c>
      <c r="B926" t="inlineStr">
        <is>
          <t>CUST-0227</t>
        </is>
      </c>
      <c r="C926" s="11" t="n">
        <v>46174</v>
      </c>
      <c r="D926" t="inlineStr">
        <is>
          <t>In-App Feedback</t>
        </is>
      </c>
      <c r="E926" t="inlineStr">
        <is>
          <t>Enterprise</t>
        </is>
      </c>
      <c r="F926" t="inlineStr">
        <is>
          <t>Enterprise</t>
        </is>
      </c>
      <c r="G926" t="inlineStr">
        <is>
          <t>Workflow Automation</t>
        </is>
      </c>
      <c r="H926" t="inlineStr">
        <is>
          <t>Bug</t>
        </is>
      </c>
      <c r="I926" t="inlineStr">
        <is>
          <t>This has been a recurring problem for us. We found workflow failures only because a customer complained. We need a fix before renewal.</t>
        </is>
      </c>
      <c r="J926" t="inlineStr">
        <is>
          <t>Negative</t>
        </is>
      </c>
      <c r="K926" t="inlineStr">
        <is>
          <t>Low</t>
        </is>
      </c>
      <c r="L926" t="inlineStr">
        <is>
          <t>Minor Inconvenience</t>
        </is>
      </c>
      <c r="M926" t="inlineStr">
        <is>
          <t>wf_fail</t>
        </is>
      </c>
      <c r="N926" t="inlineStr">
        <is>
          <t>Workflows failing silently</t>
        </is>
      </c>
      <c r="O926" t="inlineStr">
        <is>
          <t>2026-06</t>
        </is>
      </c>
    </row>
    <row r="927">
      <c r="A927" t="inlineStr">
        <is>
          <t>FB-00926</t>
        </is>
      </c>
      <c r="B927" t="inlineStr">
        <is>
          <t>CUST-0201</t>
        </is>
      </c>
      <c r="C927" s="11" t="n">
        <v>46175</v>
      </c>
      <c r="D927" t="inlineStr">
        <is>
          <t>Feature Request</t>
        </is>
      </c>
      <c r="E927" t="inlineStr">
        <is>
          <t>Starter</t>
        </is>
      </c>
      <c r="F927" t="inlineStr">
        <is>
          <t>SMB</t>
        </is>
      </c>
      <c r="G927" t="inlineStr">
        <is>
          <t>Reporting</t>
        </is>
      </c>
      <c r="H927" t="inlineStr">
        <is>
          <t>Feature Request</t>
        </is>
      </c>
      <c r="I927" t="inlineStr">
        <is>
          <t>Feedback from our monthly review. Please add sales forecasting; managers keep a separate spreadsheet. It affects our onboarding process every cycle.</t>
        </is>
      </c>
      <c r="J927" t="inlineStr">
        <is>
          <t>Neutral</t>
        </is>
      </c>
      <c r="K927" t="inlineStr">
        <is>
          <t>Low</t>
        </is>
      </c>
      <c r="L927" t="inlineStr">
        <is>
          <t>Workflow Slowdown</t>
        </is>
      </c>
      <c r="M927" t="inlineStr">
        <is>
          <t>rep_forecast</t>
        </is>
      </c>
      <c r="N927" t="inlineStr">
        <is>
          <t>Sales forecasting</t>
        </is>
      </c>
      <c r="O927" t="inlineStr">
        <is>
          <t>2026-06</t>
        </is>
      </c>
    </row>
    <row r="928">
      <c r="A928" t="inlineStr">
        <is>
          <t>FB-00927</t>
        </is>
      </c>
      <c r="B928" t="inlineStr">
        <is>
          <t>CUST-0234</t>
        </is>
      </c>
      <c r="C928" s="11" t="n">
        <v>46175</v>
      </c>
      <c r="D928" t="inlineStr">
        <is>
          <t>Feature Request</t>
        </is>
      </c>
      <c r="E928" t="inlineStr">
        <is>
          <t>Enterprise</t>
        </is>
      </c>
      <c r="F928" t="inlineStr">
        <is>
          <t>SMB</t>
        </is>
      </c>
      <c r="G928" t="inlineStr">
        <is>
          <t>Contact Management</t>
        </is>
      </c>
      <c r="H928" t="inlineStr">
        <is>
          <t>Feature Request</t>
        </is>
      </c>
      <c r="I928" t="inlineStr">
        <is>
          <t>Please build a tool to merge duplicate contacts with a preview of what will be combined. It happens about 19 times a week for our team of 30.</t>
        </is>
      </c>
      <c r="J928" t="inlineStr">
        <is>
          <t>Positive</t>
        </is>
      </c>
      <c r="K928" t="inlineStr">
        <is>
          <t>Low</t>
        </is>
      </c>
      <c r="L928" t="inlineStr">
        <is>
          <t>Minor Inconvenience</t>
        </is>
      </c>
      <c r="M928" t="inlineStr">
        <is>
          <t>contact_dedupe</t>
        </is>
      </c>
      <c r="N928" t="inlineStr">
        <is>
          <t>Bulk contact merge</t>
        </is>
      </c>
      <c r="O928" t="inlineStr">
        <is>
          <t>2026-06</t>
        </is>
      </c>
    </row>
    <row r="929">
      <c r="A929" t="inlineStr">
        <is>
          <t>FB-00928</t>
        </is>
      </c>
      <c r="B929" t="inlineStr">
        <is>
          <t>CUST-0145</t>
        </is>
      </c>
      <c r="C929" s="11" t="n">
        <v>46175</v>
      </c>
      <c r="D929" t="inlineStr">
        <is>
          <t>In-App Feedback</t>
        </is>
      </c>
      <c r="E929" t="inlineStr">
        <is>
          <t>Professional</t>
        </is>
      </c>
      <c r="F929" t="inlineStr">
        <is>
          <t>SMB</t>
        </is>
      </c>
      <c r="G929" t="inlineStr">
        <is>
          <t>Reporting</t>
        </is>
      </c>
      <c r="H929" t="inlineStr">
        <is>
          <t>Bug</t>
        </is>
      </c>
      <c r="I929" t="inlineStr">
        <is>
          <t>Frustrated with this one. Our CSV export of reports drops formatting and shows dates as numbers. So far 19 people on our side have reported it. Is there a workaround?</t>
        </is>
      </c>
      <c r="J929" t="inlineStr">
        <is>
          <t>Negative</t>
        </is>
      </c>
      <c r="K929" t="inlineStr">
        <is>
          <t>Critical</t>
        </is>
      </c>
      <c r="L929" t="inlineStr">
        <is>
          <t>Blocks Key Task</t>
        </is>
      </c>
      <c r="M929" t="inlineStr">
        <is>
          <t>rep_export</t>
        </is>
      </c>
      <c r="N929" t="inlineStr">
        <is>
          <t>Broken report exports</t>
        </is>
      </c>
      <c r="O929" t="inlineStr">
        <is>
          <t>2026-06</t>
        </is>
      </c>
    </row>
    <row r="930">
      <c r="A930" t="inlineStr">
        <is>
          <t>FB-00929</t>
        </is>
      </c>
      <c r="B930" t="inlineStr">
        <is>
          <t>CUST-0210</t>
        </is>
      </c>
      <c r="C930" s="11" t="n">
        <v>46175</v>
      </c>
      <c r="D930" t="inlineStr">
        <is>
          <t>Support Ticket</t>
        </is>
      </c>
      <c r="E930" t="inlineStr">
        <is>
          <t>Professional</t>
        </is>
      </c>
      <c r="F930" t="inlineStr">
        <is>
          <t>Mid-Market</t>
        </is>
      </c>
      <c r="G930" t="inlineStr">
        <is>
          <t>Contact Management</t>
        </is>
      </c>
      <c r="H930" t="inlineStr">
        <is>
          <t>Feature Request</t>
        </is>
      </c>
      <c r="I930" t="inlineStr">
        <is>
          <t>Noting this during onboarding. We need custom contact fields to reflect parent companies and subsidiaries. We estimate we lose roughly 21 hours a month on this. Let us know if you need examples.</t>
        </is>
      </c>
      <c r="J930" t="inlineStr">
        <is>
          <t>Neutral</t>
        </is>
      </c>
      <c r="K930" t="inlineStr">
        <is>
          <t>Medium</t>
        </is>
      </c>
      <c r="L930" t="inlineStr">
        <is>
          <t>Minor Inconvenience</t>
        </is>
      </c>
      <c r="M930" t="inlineStr">
        <is>
          <t>contact_custom</t>
        </is>
      </c>
      <c r="N930" t="inlineStr">
        <is>
          <t>Custom fields and hierarchy</t>
        </is>
      </c>
      <c r="O930" t="inlineStr">
        <is>
          <t>2026-06</t>
        </is>
      </c>
    </row>
    <row r="931">
      <c r="A931" t="inlineStr">
        <is>
          <t>FB-00930</t>
        </is>
      </c>
      <c r="B931" t="inlineStr">
        <is>
          <t>CUST-0367</t>
        </is>
      </c>
      <c r="C931" s="11" t="n">
        <v>46175</v>
      </c>
      <c r="D931" t="inlineStr">
        <is>
          <t>In-App Feedback</t>
        </is>
      </c>
      <c r="E931" t="inlineStr">
        <is>
          <t>Enterprise</t>
        </is>
      </c>
      <c r="F931" t="inlineStr">
        <is>
          <t>Mid-Market</t>
        </is>
      </c>
      <c r="G931" t="inlineStr">
        <is>
          <t>Contact Management</t>
        </is>
      </c>
      <c r="H931" t="inlineStr">
        <is>
          <t>Bug</t>
        </is>
      </c>
      <c r="I931" t="inlineStr">
        <is>
          <t>Our team keeps running into this. The spreadsheet import silently skipped rows and we only noticed days later. So far 38 people on our side have reported it.</t>
        </is>
      </c>
      <c r="J931" t="inlineStr">
        <is>
          <t>Negative</t>
        </is>
      </c>
      <c r="K931" t="inlineStr">
        <is>
          <t>Medium</t>
        </is>
      </c>
      <c r="L931" t="inlineStr">
        <is>
          <t>Workflow Slowdown</t>
        </is>
      </c>
      <c r="M931" t="inlineStr">
        <is>
          <t>contact_import</t>
        </is>
      </c>
      <c r="N931" t="inlineStr">
        <is>
          <t>Unreliable contact imports</t>
        </is>
      </c>
      <c r="O931" t="inlineStr">
        <is>
          <t>2026-06</t>
        </is>
      </c>
    </row>
    <row r="932">
      <c r="A932" t="inlineStr">
        <is>
          <t>FB-00931</t>
        </is>
      </c>
      <c r="B932" t="inlineStr">
        <is>
          <t>CUST-0088</t>
        </is>
      </c>
      <c r="C932" s="11" t="n">
        <v>46175</v>
      </c>
      <c r="D932" t="inlineStr">
        <is>
          <t>Feature Request</t>
        </is>
      </c>
      <c r="E932" t="inlineStr">
        <is>
          <t>Starter</t>
        </is>
      </c>
      <c r="F932" t="inlineStr">
        <is>
          <t>SMB</t>
        </is>
      </c>
      <c r="G932" t="inlineStr">
        <is>
          <t>Workflow Automation</t>
        </is>
      </c>
      <c r="H932" t="inlineStr">
        <is>
          <t>Usability Issue</t>
        </is>
      </c>
      <c r="I932" t="inlineStr">
        <is>
          <t>Noting this during onboarding. I can't tell what a branch does in the automation canvas without opening every node. It affects our renewal process every cycle. Let us know if you need examples.</t>
        </is>
      </c>
      <c r="J932" t="inlineStr">
        <is>
          <t>Neutral</t>
        </is>
      </c>
      <c r="K932" t="inlineStr">
        <is>
          <t>Critical</t>
        </is>
      </c>
      <c r="L932" t="inlineStr">
        <is>
          <t>Revenue/Operations Risk</t>
        </is>
      </c>
      <c r="M932" t="inlineStr">
        <is>
          <t>wf_builder</t>
        </is>
      </c>
      <c r="N932" t="inlineStr">
        <is>
          <t>Confusing workflow builder</t>
        </is>
      </c>
      <c r="O932" t="inlineStr">
        <is>
          <t>2026-06</t>
        </is>
      </c>
    </row>
    <row r="933">
      <c r="A933" t="inlineStr">
        <is>
          <t>FB-00932</t>
        </is>
      </c>
      <c r="B933" t="inlineStr">
        <is>
          <t>CUST-0089</t>
        </is>
      </c>
      <c r="C933" s="11" t="n">
        <v>46175</v>
      </c>
      <c r="D933" t="inlineStr">
        <is>
          <t>Support Ticket</t>
        </is>
      </c>
      <c r="E933" t="inlineStr">
        <is>
          <t>Starter</t>
        </is>
      </c>
      <c r="F933" t="inlineStr">
        <is>
          <t>SMB</t>
        </is>
      </c>
      <c r="G933" t="inlineStr">
        <is>
          <t>User Interface</t>
        </is>
      </c>
      <c r="H933" t="inlineStr">
        <is>
          <t>Performance Issue</t>
        </is>
      </c>
      <c r="I933" t="inlineStr">
        <is>
          <t>Feedback from our monthly review. We notice UI freezing whenever more than a few tabs are open.</t>
        </is>
      </c>
      <c r="J933" t="inlineStr">
        <is>
          <t>Neutral</t>
        </is>
      </c>
      <c r="K933" t="inlineStr">
        <is>
          <t>Medium</t>
        </is>
      </c>
      <c r="L933" t="inlineStr">
        <is>
          <t>Workflow Slowdown</t>
        </is>
      </c>
      <c r="M933" t="inlineStr">
        <is>
          <t>ui_perf</t>
        </is>
      </c>
      <c r="N933" t="inlineStr">
        <is>
          <t>Laggy pages</t>
        </is>
      </c>
      <c r="O933" t="inlineStr">
        <is>
          <t>2026-06</t>
        </is>
      </c>
    </row>
    <row r="934">
      <c r="A934" t="inlineStr">
        <is>
          <t>FB-00933</t>
        </is>
      </c>
      <c r="B934" t="inlineStr">
        <is>
          <t>CUST-0260</t>
        </is>
      </c>
      <c r="C934" s="11" t="n">
        <v>46175</v>
      </c>
      <c r="D934" t="inlineStr">
        <is>
          <t>Support Ticket</t>
        </is>
      </c>
      <c r="E934" t="inlineStr">
        <is>
          <t>Starter</t>
        </is>
      </c>
      <c r="F934" t="inlineStr">
        <is>
          <t>SMB</t>
        </is>
      </c>
      <c r="G934" t="inlineStr">
        <is>
          <t>Integrations</t>
        </is>
      </c>
      <c r="H934" t="inlineStr">
        <is>
          <t>Integration Issue</t>
        </is>
      </c>
      <c r="I934" t="inlineStr">
        <is>
          <t>This has been a recurring problem for us. Our Outlook calendar sync keeps disconnecting and activities are missing from the contact timeline. So far 37 people on our side have reported it. Is there a workaround?</t>
        </is>
      </c>
      <c r="J934" t="inlineStr">
        <is>
          <t>Negative</t>
        </is>
      </c>
      <c r="K934" t="inlineStr">
        <is>
          <t>High</t>
        </is>
      </c>
      <c r="L934" t="inlineStr">
        <is>
          <t>Revenue/Operations Risk</t>
        </is>
      </c>
      <c r="M934" t="inlineStr">
        <is>
          <t>int_email</t>
        </is>
      </c>
      <c r="N934" t="inlineStr">
        <is>
          <t>Email and calendar sync drops</t>
        </is>
      </c>
      <c r="O934" t="inlineStr">
        <is>
          <t>2026-06</t>
        </is>
      </c>
    </row>
    <row r="935">
      <c r="A935" t="inlineStr">
        <is>
          <t>FB-00934</t>
        </is>
      </c>
      <c r="B935" t="inlineStr">
        <is>
          <t>CUST-0095</t>
        </is>
      </c>
      <c r="C935" s="11" t="n">
        <v>46176</v>
      </c>
      <c r="D935" t="inlineStr">
        <is>
          <t>Feature Request</t>
        </is>
      </c>
      <c r="E935" t="inlineStr">
        <is>
          <t>Professional</t>
        </is>
      </c>
      <c r="F935" t="inlineStr">
        <is>
          <t>SMB</t>
        </is>
      </c>
      <c r="G935" t="inlineStr">
        <is>
          <t>Workflow Automation</t>
        </is>
      </c>
      <c r="H935" t="inlineStr">
        <is>
          <t>Feature Request</t>
        </is>
      </c>
      <c r="I935" t="inlineStr">
        <is>
          <t>Feedback from our monthly review. Requesting a discount approval flow; today approvals happen over chat. Happy to join a feedback call.</t>
        </is>
      </c>
      <c r="J935" t="inlineStr">
        <is>
          <t>Neutral</t>
        </is>
      </c>
      <c r="K935" t="inlineStr">
        <is>
          <t>Medium</t>
        </is>
      </c>
      <c r="L935" t="inlineStr">
        <is>
          <t>Workflow Slowdown</t>
        </is>
      </c>
      <c r="M935" t="inlineStr">
        <is>
          <t>wf_approval</t>
        </is>
      </c>
      <c r="N935" t="inlineStr">
        <is>
          <t>Approval steps in workflows</t>
        </is>
      </c>
      <c r="O935" t="inlineStr">
        <is>
          <t>2026-06</t>
        </is>
      </c>
    </row>
    <row r="936">
      <c r="A936" t="inlineStr">
        <is>
          <t>FB-00935</t>
        </is>
      </c>
      <c r="B936" t="inlineStr">
        <is>
          <t>CUST-0307</t>
        </is>
      </c>
      <c r="C936" s="11" t="n">
        <v>46176</v>
      </c>
      <c r="D936" t="inlineStr">
        <is>
          <t>Support Ticket</t>
        </is>
      </c>
      <c r="E936" t="inlineStr">
        <is>
          <t>Starter</t>
        </is>
      </c>
      <c r="F936" t="inlineStr">
        <is>
          <t>SMB</t>
        </is>
      </c>
      <c r="G936" t="inlineStr">
        <is>
          <t>Reporting</t>
        </is>
      </c>
      <c r="H936" t="inlineStr">
        <is>
          <t>Bug</t>
        </is>
      </c>
      <c r="I936" t="inlineStr">
        <is>
          <t>Our team keeps running into this. The report export times out for date ranges longer than a quarter. So far 106 people on our side have reported it. Is there a workaround?</t>
        </is>
      </c>
      <c r="J936" t="inlineStr">
        <is>
          <t>Negative</t>
        </is>
      </c>
      <c r="K936" t="inlineStr">
        <is>
          <t>Medium</t>
        </is>
      </c>
      <c r="L936" t="inlineStr">
        <is>
          <t>Workflow Slowdown</t>
        </is>
      </c>
      <c r="M936" t="inlineStr">
        <is>
          <t>rep_export</t>
        </is>
      </c>
      <c r="N936" t="inlineStr">
        <is>
          <t>Broken report exports</t>
        </is>
      </c>
      <c r="O936" t="inlineStr">
        <is>
          <t>2026-06</t>
        </is>
      </c>
    </row>
    <row r="937">
      <c r="A937" t="inlineStr">
        <is>
          <t>FB-00936</t>
        </is>
      </c>
      <c r="B937" t="inlineStr">
        <is>
          <t>CUST-0276</t>
        </is>
      </c>
      <c r="C937" s="11" t="n">
        <v>46176</v>
      </c>
      <c r="D937" t="inlineStr">
        <is>
          <t>In-App Feedback</t>
        </is>
      </c>
      <c r="E937" t="inlineStr">
        <is>
          <t>Professional</t>
        </is>
      </c>
      <c r="F937" t="inlineStr">
        <is>
          <t>SMB</t>
        </is>
      </c>
      <c r="G937" t="inlineStr">
        <is>
          <t>Reporting</t>
        </is>
      </c>
      <c r="H937" t="inlineStr">
        <is>
          <t>Performance Issue</t>
        </is>
      </c>
      <c r="I937" t="inlineStr">
        <is>
          <t>The dashboard loading is painfully slow with a full year of data. We estimate we lose roughly 33 hours a month on this.</t>
        </is>
      </c>
      <c r="J937" t="inlineStr">
        <is>
          <t>Negative</t>
        </is>
      </c>
      <c r="K937" t="inlineStr">
        <is>
          <t>Low</t>
        </is>
      </c>
      <c r="L937" t="inlineStr">
        <is>
          <t>Blocks Key Task</t>
        </is>
      </c>
      <c r="M937" t="inlineStr">
        <is>
          <t>rep_slow</t>
        </is>
      </c>
      <c r="N937" t="inlineStr">
        <is>
          <t>Slow dashboards</t>
        </is>
      </c>
      <c r="O937" t="inlineStr">
        <is>
          <t>2026-06</t>
        </is>
      </c>
    </row>
    <row r="938">
      <c r="A938" t="inlineStr">
        <is>
          <t>FB-00937</t>
        </is>
      </c>
      <c r="B938" t="inlineStr">
        <is>
          <t>CUST-0051</t>
        </is>
      </c>
      <c r="C938" s="11" t="n">
        <v>46177</v>
      </c>
      <c r="D938" t="inlineStr">
        <is>
          <t>In-App Feedback</t>
        </is>
      </c>
      <c r="E938" t="inlineStr">
        <is>
          <t>Enterprise</t>
        </is>
      </c>
      <c r="F938" t="inlineStr">
        <is>
          <t>Enterprise</t>
        </is>
      </c>
      <c r="G938" t="inlineStr">
        <is>
          <t>Workflow Automation</t>
        </is>
      </c>
      <c r="H938" t="inlineStr">
        <is>
          <t>Usability Issue</t>
        </is>
      </c>
      <c r="I938" t="inlineStr">
        <is>
          <t>Sharing this from our team. I can't tell what a branch does in the workflow builder without opening every node. It affects our quarterly planning process every cycle.</t>
        </is>
      </c>
      <c r="J938" t="inlineStr">
        <is>
          <t>Neutral</t>
        </is>
      </c>
      <c r="K938" t="inlineStr">
        <is>
          <t>Medium</t>
        </is>
      </c>
      <c r="L938" t="inlineStr">
        <is>
          <t>Minor Inconvenience</t>
        </is>
      </c>
      <c r="M938" t="inlineStr">
        <is>
          <t>wf_builder</t>
        </is>
      </c>
      <c r="N938" t="inlineStr">
        <is>
          <t>Confusing workflow builder</t>
        </is>
      </c>
      <c r="O938" t="inlineStr">
        <is>
          <t>2026-06</t>
        </is>
      </c>
    </row>
    <row r="939">
      <c r="A939" t="inlineStr">
        <is>
          <t>FB-00938</t>
        </is>
      </c>
      <c r="B939" t="inlineStr">
        <is>
          <t>CUST-0316</t>
        </is>
      </c>
      <c r="C939" s="11" t="n">
        <v>46177</v>
      </c>
      <c r="D939" t="inlineStr">
        <is>
          <t>Support Ticket</t>
        </is>
      </c>
      <c r="E939" t="inlineStr">
        <is>
          <t>Starter</t>
        </is>
      </c>
      <c r="F939" t="inlineStr">
        <is>
          <t>Mid-Market</t>
        </is>
      </c>
      <c r="G939" t="inlineStr">
        <is>
          <t>Reporting</t>
        </is>
      </c>
      <c r="H939" t="inlineStr">
        <is>
          <t>Performance Issue</t>
        </is>
      </c>
      <c r="I939" t="inlineStr">
        <is>
          <t>This has been a recurring problem for us. The report load time is painfully slow with a full year of data. It happens about 28 times a week for our team of 73. Is there a workaround?</t>
        </is>
      </c>
      <c r="J939" t="inlineStr">
        <is>
          <t>Negative</t>
        </is>
      </c>
      <c r="K939" t="inlineStr">
        <is>
          <t>Low</t>
        </is>
      </c>
      <c r="L939" t="inlineStr">
        <is>
          <t>Unknown</t>
        </is>
      </c>
      <c r="M939" t="inlineStr">
        <is>
          <t>rep_slow</t>
        </is>
      </c>
      <c r="N939" t="inlineStr">
        <is>
          <t>Slow dashboards</t>
        </is>
      </c>
      <c r="O939" t="inlineStr">
        <is>
          <t>2026-06</t>
        </is>
      </c>
    </row>
    <row r="940">
      <c r="A940" t="inlineStr">
        <is>
          <t>FB-00939</t>
        </is>
      </c>
      <c r="B940" t="inlineStr">
        <is>
          <t>CUST-0168</t>
        </is>
      </c>
      <c r="C940" s="11" t="n">
        <v>46177</v>
      </c>
      <c r="D940" t="inlineStr">
        <is>
          <t>Support Ticket</t>
        </is>
      </c>
      <c r="E940" t="inlineStr">
        <is>
          <t>Professional</t>
        </is>
      </c>
      <c r="F940" t="inlineStr">
        <is>
          <t>Mid-Market</t>
        </is>
      </c>
      <c r="G940" t="inlineStr">
        <is>
          <t>Reporting</t>
        </is>
      </c>
      <c r="H940" t="inlineStr">
        <is>
          <t>Performance Issue</t>
        </is>
      </c>
      <c r="I940" t="inlineStr">
        <is>
          <t>Not what we expected for the price. Dashboard loading got noticeably worse over the last few months. Is there a workaround?</t>
        </is>
      </c>
      <c r="J940" t="inlineStr">
        <is>
          <t>Negative</t>
        </is>
      </c>
      <c r="K940" t="inlineStr">
        <is>
          <t>Low</t>
        </is>
      </c>
      <c r="L940" t="inlineStr">
        <is>
          <t>Minor Inconvenience</t>
        </is>
      </c>
      <c r="M940" t="inlineStr">
        <is>
          <t>rep_slow</t>
        </is>
      </c>
      <c r="N940" t="inlineStr">
        <is>
          <t>Slow dashboards</t>
        </is>
      </c>
      <c r="O940" t="inlineStr">
        <is>
          <t>2026-06</t>
        </is>
      </c>
    </row>
    <row r="941">
      <c r="A941" t="inlineStr">
        <is>
          <t>FB-00940</t>
        </is>
      </c>
      <c r="B941" t="inlineStr">
        <is>
          <t>CUST-0415</t>
        </is>
      </c>
      <c r="C941" s="11" t="n">
        <v>46177</v>
      </c>
      <c r="D941" t="inlineStr">
        <is>
          <t>Support Ticket</t>
        </is>
      </c>
      <c r="E941" t="inlineStr">
        <is>
          <t>Enterprise</t>
        </is>
      </c>
      <c r="F941" t="inlineStr">
        <is>
          <t>Mid-Market</t>
        </is>
      </c>
      <c r="G941" t="inlineStr">
        <is>
          <t>Integrations</t>
        </is>
      </c>
      <c r="H941" t="inlineStr">
        <is>
          <t>Feature Request</t>
        </is>
      </c>
      <c r="I941" t="inlineStr">
        <is>
          <t>Our security team requires SCIM provisioning before we can expand seats. So far 107 people on our side have reported it. Let us know if you need examples.</t>
        </is>
      </c>
      <c r="J941" t="inlineStr">
        <is>
          <t>Neutral</t>
        </is>
      </c>
      <c r="K941" t="inlineStr">
        <is>
          <t>High</t>
        </is>
      </c>
      <c r="L941" t="inlineStr">
        <is>
          <t>Workflow Slowdown</t>
        </is>
      </c>
      <c r="M941" t="inlineStr">
        <is>
          <t>int_sso</t>
        </is>
      </c>
      <c r="N941" t="inlineStr">
        <is>
          <t>SSO and provisioning</t>
        </is>
      </c>
      <c r="O941" t="inlineStr">
        <is>
          <t>2026-06</t>
        </is>
      </c>
    </row>
    <row r="942">
      <c r="A942" t="inlineStr">
        <is>
          <t>FB-00941</t>
        </is>
      </c>
      <c r="B942" t="inlineStr">
        <is>
          <t>CUST-0269</t>
        </is>
      </c>
      <c r="C942" s="11" t="n">
        <v>46177</v>
      </c>
      <c r="D942" t="inlineStr">
        <is>
          <t>In-App Feedback</t>
        </is>
      </c>
      <c r="E942" t="inlineStr">
        <is>
          <t>Professional</t>
        </is>
      </c>
      <c r="F942" t="inlineStr">
        <is>
          <t>SMB</t>
        </is>
      </c>
      <c r="G942" t="inlineStr">
        <is>
          <t>Workflow Automation</t>
        </is>
      </c>
      <c r="H942" t="inlineStr">
        <is>
          <t>Usability Issue</t>
        </is>
      </c>
      <c r="I942" t="inlineStr">
        <is>
          <t>Our new admins struggle with the automation canvas; there is no guidance or validation. So far 115 people on our side have reported it. Please look into it soon.</t>
        </is>
      </c>
      <c r="J942" t="inlineStr">
        <is>
          <t>Negative</t>
        </is>
      </c>
      <c r="K942" t="inlineStr">
        <is>
          <t>Low</t>
        </is>
      </c>
      <c r="L942" t="inlineStr">
        <is>
          <t>Minor Inconvenience</t>
        </is>
      </c>
      <c r="M942" t="inlineStr">
        <is>
          <t>wf_builder</t>
        </is>
      </c>
      <c r="N942" t="inlineStr">
        <is>
          <t>Confusing workflow builder</t>
        </is>
      </c>
      <c r="O942" t="inlineStr">
        <is>
          <t>2026-06</t>
        </is>
      </c>
    </row>
    <row r="943">
      <c r="A943" t="inlineStr">
        <is>
          <t>FB-00942</t>
        </is>
      </c>
      <c r="B943" t="inlineStr">
        <is>
          <t>CUST-0117</t>
        </is>
      </c>
      <c r="C943" s="11" t="n">
        <v>46177</v>
      </c>
      <c r="D943" t="inlineStr">
        <is>
          <t>Customer Survey</t>
        </is>
      </c>
      <c r="E943" t="inlineStr">
        <is>
          <t>Professional</t>
        </is>
      </c>
      <c r="F943" t="inlineStr">
        <is>
          <t>Mid-Market</t>
        </is>
      </c>
      <c r="G943" t="inlineStr">
        <is>
          <t>Reporting</t>
        </is>
      </c>
      <c r="H943" t="inlineStr">
        <is>
          <t>Feature Request</t>
        </is>
      </c>
      <c r="I943" t="inlineStr">
        <is>
          <t>Feedback from our monthly review. We need report scheduling so non-technical managers can create their own views. Let us know if you need examples.</t>
        </is>
      </c>
      <c r="J943" t="inlineStr">
        <is>
          <t>Neutral</t>
        </is>
      </c>
      <c r="K943" t="inlineStr">
        <is>
          <t>High</t>
        </is>
      </c>
      <c r="L943" t="inlineStr">
        <is>
          <t>Workflow Slowdown</t>
        </is>
      </c>
      <c r="M943" t="inlineStr">
        <is>
          <t>rep_custom</t>
        </is>
      </c>
      <c r="N943" t="inlineStr">
        <is>
          <t>Custom and scheduled reports</t>
        </is>
      </c>
      <c r="O943" t="inlineStr">
        <is>
          <t>2026-06</t>
        </is>
      </c>
    </row>
    <row r="944">
      <c r="A944" t="inlineStr">
        <is>
          <t>FB-00943</t>
        </is>
      </c>
      <c r="B944" t="inlineStr">
        <is>
          <t>CUST-0315</t>
        </is>
      </c>
      <c r="C944" s="11" t="n">
        <v>46178</v>
      </c>
      <c r="D944" t="inlineStr">
        <is>
          <t>Customer Survey</t>
        </is>
      </c>
      <c r="E944" t="inlineStr">
        <is>
          <t>Professional</t>
        </is>
      </c>
      <c r="F944" t="inlineStr">
        <is>
          <t>SMB</t>
        </is>
      </c>
      <c r="G944" t="inlineStr">
        <is>
          <t>Lead Management</t>
        </is>
      </c>
      <c r="H944" t="inlineStr">
        <is>
          <t>Feature Request</t>
        </is>
      </c>
      <c r="I944" t="inlineStr">
        <is>
          <t>Overall we like the product. Right now reps rank leads by gut feel; automated lead scoring would fix that. So far 13 people on our side have reported it.</t>
        </is>
      </c>
      <c r="J944" t="inlineStr">
        <is>
          <t>Positive</t>
        </is>
      </c>
      <c r="K944" t="inlineStr">
        <is>
          <t>Low</t>
        </is>
      </c>
      <c r="L944" t="inlineStr">
        <is>
          <t>Minor Inconvenience</t>
        </is>
      </c>
      <c r="M944" t="inlineStr">
        <is>
          <t>lead_score</t>
        </is>
      </c>
      <c r="N944" t="inlineStr">
        <is>
          <t>Automated lead scoring</t>
        </is>
      </c>
      <c r="O944" t="inlineStr">
        <is>
          <t>2026-06</t>
        </is>
      </c>
    </row>
    <row r="945">
      <c r="A945" t="inlineStr">
        <is>
          <t>FB-00944</t>
        </is>
      </c>
      <c r="B945" t="inlineStr">
        <is>
          <t>CUST-0405</t>
        </is>
      </c>
      <c r="C945" s="11" t="n">
        <v>46178</v>
      </c>
      <c r="D945" t="inlineStr">
        <is>
          <t>Feature Request</t>
        </is>
      </c>
      <c r="E945" t="inlineStr">
        <is>
          <t>Starter</t>
        </is>
      </c>
      <c r="F945" t="inlineStr">
        <is>
          <t>SMB</t>
        </is>
      </c>
      <c r="G945" t="inlineStr">
        <is>
          <t>User Interface</t>
        </is>
      </c>
      <c r="H945" t="inlineStr">
        <is>
          <t>Feature Request</t>
        </is>
      </c>
      <c r="I945" t="inlineStr">
        <is>
          <t>Requesting multi-select actions across every list view. We estimate we lose roughly 27 hours a month on this.</t>
        </is>
      </c>
      <c r="J945" t="inlineStr">
        <is>
          <t>Neutral</t>
        </is>
      </c>
      <c r="K945" t="inlineStr">
        <is>
          <t>Low</t>
        </is>
      </c>
      <c r="L945" t="inlineStr">
        <is>
          <t>Minor Inconvenience</t>
        </is>
      </c>
      <c r="M945" t="inlineStr">
        <is>
          <t>ui_bulk</t>
        </is>
      </c>
      <c r="N945" t="inlineStr">
        <is>
          <t>Bulk actions</t>
        </is>
      </c>
      <c r="O945" t="inlineStr">
        <is>
          <t>2026-06</t>
        </is>
      </c>
    </row>
    <row r="946">
      <c r="A946" t="inlineStr">
        <is>
          <t>FB-00945</t>
        </is>
      </c>
      <c r="B946" t="inlineStr">
        <is>
          <t>CUST-0034</t>
        </is>
      </c>
      <c r="C946" s="11" t="n">
        <v>46178</v>
      </c>
      <c r="D946" t="inlineStr">
        <is>
          <t>In-App Feedback</t>
        </is>
      </c>
      <c r="E946" t="inlineStr">
        <is>
          <t>Professional</t>
        </is>
      </c>
      <c r="F946" t="inlineStr">
        <is>
          <t>Mid-Market</t>
        </is>
      </c>
      <c r="G946" t="inlineStr">
        <is>
          <t>Integrations</t>
        </is>
      </c>
      <c r="H946" t="inlineStr">
        <is>
          <t>Integration Issue</t>
        </is>
      </c>
      <c r="I946" t="inlineStr">
        <is>
          <t>Raising this again after our last business review. After the token expires, Gmail sync stops with no warning. Support suggested logging it here.</t>
        </is>
      </c>
      <c r="J946" t="inlineStr">
        <is>
          <t>Negative</t>
        </is>
      </c>
      <c r="K946" t="inlineStr">
        <is>
          <t>Medium</t>
        </is>
      </c>
      <c r="L946" t="inlineStr">
        <is>
          <t>Workflow Slowdown</t>
        </is>
      </c>
      <c r="M946" t="inlineStr">
        <is>
          <t>int_email</t>
        </is>
      </c>
      <c r="N946" t="inlineStr">
        <is>
          <t>Email and calendar sync drops</t>
        </is>
      </c>
      <c r="O946" t="inlineStr">
        <is>
          <t>2026-06</t>
        </is>
      </c>
    </row>
    <row r="947">
      <c r="A947" t="inlineStr">
        <is>
          <t>FB-00946</t>
        </is>
      </c>
      <c r="B947" t="inlineStr">
        <is>
          <t>CUST-0226</t>
        </is>
      </c>
      <c r="C947" s="11" t="n">
        <v>46178</v>
      </c>
      <c r="D947" t="inlineStr">
        <is>
          <t>In-App Feedback</t>
        </is>
      </c>
      <c r="E947" t="inlineStr">
        <is>
          <t>Professional</t>
        </is>
      </c>
      <c r="F947" t="inlineStr">
        <is>
          <t>Enterprise</t>
        </is>
      </c>
      <c r="G947" t="inlineStr">
        <is>
          <t>User Interface</t>
        </is>
      </c>
      <c r="H947" t="inlineStr">
        <is>
          <t>Performance Issue</t>
        </is>
      </c>
      <c r="I947" t="inlineStr">
        <is>
          <t>The UI freezing gets worse in the afternoon. Our finance analyst flagged it while onboarding 65 new users.</t>
        </is>
      </c>
      <c r="J947" t="inlineStr">
        <is>
          <t>Neutral</t>
        </is>
      </c>
      <c r="K947" t="inlineStr">
        <is>
          <t>Low</t>
        </is>
      </c>
      <c r="L947" t="inlineStr">
        <is>
          <t>Minor Inconvenience</t>
        </is>
      </c>
      <c r="M947" t="inlineStr">
        <is>
          <t>ui_perf</t>
        </is>
      </c>
      <c r="N947" t="inlineStr">
        <is>
          <t>Laggy pages</t>
        </is>
      </c>
      <c r="O947" t="inlineStr">
        <is>
          <t>2026-06</t>
        </is>
      </c>
    </row>
    <row r="948">
      <c r="A948" t="inlineStr">
        <is>
          <t>FB-00947</t>
        </is>
      </c>
      <c r="B948" t="inlineStr">
        <is>
          <t>CUST-0040</t>
        </is>
      </c>
      <c r="C948" s="11" t="n">
        <v>46179</v>
      </c>
      <c r="D948" t="inlineStr">
        <is>
          <t>Customer Survey</t>
        </is>
      </c>
      <c r="E948" t="inlineStr">
        <is>
          <t>Professional</t>
        </is>
      </c>
      <c r="F948" t="inlineStr">
        <is>
          <t>SMB</t>
        </is>
      </c>
      <c r="G948" t="inlineStr">
        <is>
          <t>Contact Management</t>
        </is>
      </c>
      <c r="H948" t="inlineStr">
        <is>
          <t>Feature Request</t>
        </is>
      </c>
      <c r="I948" t="inlineStr">
        <is>
          <t>Feedback from our monthly review. Is there any plan for a bulk contact merge? Merging one record at a time is not realistic. It happens about 4 times a week for our team of 105.</t>
        </is>
      </c>
      <c r="J948" t="inlineStr">
        <is>
          <t>Neutral</t>
        </is>
      </c>
      <c r="K948" t="inlineStr">
        <is>
          <t>Low</t>
        </is>
      </c>
      <c r="L948" t="inlineStr">
        <is>
          <t>Minor Inconvenience</t>
        </is>
      </c>
      <c r="M948" t="inlineStr">
        <is>
          <t>contact_dedupe</t>
        </is>
      </c>
      <c r="N948" t="inlineStr">
        <is>
          <t>Bulk contact merge</t>
        </is>
      </c>
      <c r="O948" t="inlineStr">
        <is>
          <t>2026-06</t>
        </is>
      </c>
    </row>
    <row r="949">
      <c r="A949" t="inlineStr">
        <is>
          <t>FB-00948</t>
        </is>
      </c>
      <c r="B949" t="inlineStr">
        <is>
          <t>CUST-0320</t>
        </is>
      </c>
      <c r="C949" s="11" t="n">
        <v>46179</v>
      </c>
      <c r="D949" t="inlineStr">
        <is>
          <t>In-App Feedback</t>
        </is>
      </c>
      <c r="E949" t="inlineStr">
        <is>
          <t>Professional</t>
        </is>
      </c>
      <c r="F949" t="inlineStr">
        <is>
          <t>Mid-Market</t>
        </is>
      </c>
      <c r="G949" t="inlineStr">
        <is>
          <t>Lead Management</t>
        </is>
      </c>
      <c r="H949" t="inlineStr">
        <is>
          <t>Feature Request</t>
        </is>
      </c>
      <c r="I949" t="inlineStr">
        <is>
          <t>Feedback from our monthly review. Please add a lead score model based on engagement, company size and recent activity. It happens about 26 times a week for our team of 80. Happy to join a feedback call.</t>
        </is>
      </c>
      <c r="J949" t="inlineStr">
        <is>
          <t>Neutral</t>
        </is>
      </c>
      <c r="K949" t="inlineStr">
        <is>
          <t>Low</t>
        </is>
      </c>
      <c r="L949" t="inlineStr">
        <is>
          <t>Minor Inconvenience</t>
        </is>
      </c>
      <c r="M949" t="inlineStr">
        <is>
          <t>lead_score</t>
        </is>
      </c>
      <c r="N949" t="inlineStr">
        <is>
          <t>Automated lead scoring</t>
        </is>
      </c>
      <c r="O949" t="inlineStr">
        <is>
          <t>2026-06</t>
        </is>
      </c>
    </row>
    <row r="950">
      <c r="A950" t="inlineStr">
        <is>
          <t>FB-00949</t>
        </is>
      </c>
      <c r="B950" t="inlineStr">
        <is>
          <t>CUST-0360</t>
        </is>
      </c>
      <c r="C950" s="11" t="n">
        <v>46179</v>
      </c>
      <c r="D950" t="inlineStr">
        <is>
          <t>Customer Survey</t>
        </is>
      </c>
      <c r="E950" t="inlineStr">
        <is>
          <t>Enterprise</t>
        </is>
      </c>
      <c r="F950" t="inlineStr">
        <is>
          <t>Enterprise</t>
        </is>
      </c>
      <c r="G950" t="inlineStr">
        <is>
          <t>Integrations</t>
        </is>
      </c>
      <c r="H950" t="inlineStr">
        <is>
          <t>Feature Request</t>
        </is>
      </c>
      <c r="I950" t="inlineStr">
        <is>
          <t>Please add SSO support; managing users by hand does not scale. It happens about 25 times a week for our team of 94. Let us know if you need examples.</t>
        </is>
      </c>
      <c r="J950" t="inlineStr">
        <is>
          <t>Neutral</t>
        </is>
      </c>
      <c r="K950" t="inlineStr">
        <is>
          <t>Medium</t>
        </is>
      </c>
      <c r="L950" t="inlineStr">
        <is>
          <t>Workflow Slowdown</t>
        </is>
      </c>
      <c r="M950" t="inlineStr">
        <is>
          <t>int_sso</t>
        </is>
      </c>
      <c r="N950" t="inlineStr">
        <is>
          <t>SSO and provisioning</t>
        </is>
      </c>
      <c r="O950" t="inlineStr">
        <is>
          <t>2026-06</t>
        </is>
      </c>
    </row>
    <row r="951">
      <c r="A951" t="inlineStr">
        <is>
          <t>FB-00950</t>
        </is>
      </c>
      <c r="B951" t="inlineStr">
        <is>
          <t>CUST-0253</t>
        </is>
      </c>
      <c r="C951" s="11" t="n">
        <v>46179</v>
      </c>
      <c r="D951" t="inlineStr">
        <is>
          <t>In-App Feedback</t>
        </is>
      </c>
      <c r="E951" t="inlineStr">
        <is>
          <t>Professional</t>
        </is>
      </c>
      <c r="F951" t="inlineStr">
        <is>
          <t>SMB</t>
        </is>
      </c>
      <c r="G951" t="inlineStr">
        <is>
          <t>Integrations</t>
        </is>
      </c>
      <c r="H951" t="inlineStr">
        <is>
          <t>Feature Request</t>
        </is>
      </c>
      <c r="I951" t="inlineStr">
        <is>
          <t>Requesting a marketing automation connector to remove manual re-entry. We estimate we lose roughly 20 hours a month on this. Let us know if you need examples.</t>
        </is>
      </c>
      <c r="J951" t="inlineStr">
        <is>
          <t>Neutral</t>
        </is>
      </c>
      <c r="K951" t="inlineStr">
        <is>
          <t>Low</t>
        </is>
      </c>
      <c r="L951" t="inlineStr">
        <is>
          <t>Minor Inconvenience</t>
        </is>
      </c>
      <c r="M951" t="inlineStr">
        <is>
          <t>int_native</t>
        </is>
      </c>
      <c r="N951" t="inlineStr">
        <is>
          <t>Native integrations</t>
        </is>
      </c>
      <c r="O951" t="inlineStr">
        <is>
          <t>2026-06</t>
        </is>
      </c>
    </row>
    <row r="952">
      <c r="A952" t="inlineStr">
        <is>
          <t>FB-00951</t>
        </is>
      </c>
      <c r="B952" t="inlineStr">
        <is>
          <t>CUST-0128</t>
        </is>
      </c>
      <c r="C952" s="11" t="n">
        <v>46180</v>
      </c>
      <c r="D952" t="inlineStr">
        <is>
          <t>Customer Survey</t>
        </is>
      </c>
      <c r="E952" t="inlineStr">
        <is>
          <t>Professional</t>
        </is>
      </c>
      <c r="F952" t="inlineStr">
        <is>
          <t>SMB</t>
        </is>
      </c>
      <c r="G952" t="inlineStr">
        <is>
          <t>Workflow Automation</t>
        </is>
      </c>
      <c r="H952" t="inlineStr">
        <is>
          <t>Usability Issue</t>
        </is>
      </c>
      <c r="I952" t="inlineStr">
        <is>
          <t>FYI for the product team. The workflow builder is hard to follow once a flow has more than a handful of steps. So far 30 people on our side have reported it. Happy to join a feedback call.</t>
        </is>
      </c>
      <c r="J952" t="inlineStr">
        <is>
          <t>Neutral</t>
        </is>
      </c>
      <c r="K952" t="inlineStr">
        <is>
          <t>Critical</t>
        </is>
      </c>
      <c r="L952" t="inlineStr">
        <is>
          <t>Workflow Slowdown</t>
        </is>
      </c>
      <c r="M952" t="inlineStr">
        <is>
          <t>wf_builder</t>
        </is>
      </c>
      <c r="N952" t="inlineStr">
        <is>
          <t>Confusing workflow builder</t>
        </is>
      </c>
      <c r="O952" t="inlineStr">
        <is>
          <t>2026-06</t>
        </is>
      </c>
    </row>
    <row r="953">
      <c r="A953" t="inlineStr">
        <is>
          <t>FB-00952</t>
        </is>
      </c>
      <c r="B953" t="inlineStr">
        <is>
          <t>CUST-0221</t>
        </is>
      </c>
      <c r="C953" s="11" t="n">
        <v>46181</v>
      </c>
      <c r="D953" t="inlineStr">
        <is>
          <t>Support Ticket</t>
        </is>
      </c>
      <c r="E953" t="inlineStr">
        <is>
          <t>Professional</t>
        </is>
      </c>
      <c r="F953" t="inlineStr">
        <is>
          <t>SMB</t>
        </is>
      </c>
      <c r="G953" t="inlineStr">
        <is>
          <t>Reporting</t>
        </is>
      </c>
      <c r="H953" t="inlineStr">
        <is>
          <t>Bug</t>
        </is>
      </c>
      <c r="I953" t="inlineStr">
        <is>
          <t>The Excel export times out for date ranges longer than a quarter. We estimate we lose roughly 48 hours a month on this. Is there a workaround?</t>
        </is>
      </c>
      <c r="J953" t="inlineStr">
        <is>
          <t>Negative</t>
        </is>
      </c>
      <c r="K953" t="inlineStr">
        <is>
          <t>Low</t>
        </is>
      </c>
      <c r="L953" t="inlineStr">
        <is>
          <t>Unknown</t>
        </is>
      </c>
      <c r="M953" t="inlineStr">
        <is>
          <t>rep_export</t>
        </is>
      </c>
      <c r="N953" t="inlineStr">
        <is>
          <t>Broken report exports</t>
        </is>
      </c>
      <c r="O953" t="inlineStr">
        <is>
          <t>2026-06</t>
        </is>
      </c>
    </row>
    <row r="954">
      <c r="A954" t="inlineStr">
        <is>
          <t>FB-00953</t>
        </is>
      </c>
      <c r="B954" t="inlineStr">
        <is>
          <t>CUST-0026</t>
        </is>
      </c>
      <c r="C954" s="11" t="n">
        <v>46181</v>
      </c>
      <c r="D954" t="inlineStr">
        <is>
          <t>Support Ticket</t>
        </is>
      </c>
      <c r="E954" t="inlineStr">
        <is>
          <t>Starter</t>
        </is>
      </c>
      <c r="F954" t="inlineStr">
        <is>
          <t>SMB</t>
        </is>
      </c>
      <c r="G954" t="inlineStr">
        <is>
          <t>Contact Management</t>
        </is>
      </c>
      <c r="H954" t="inlineStr">
        <is>
          <t>Bug</t>
        </is>
      </c>
      <c r="I954" t="inlineStr">
        <is>
          <t>This has been a recurring problem for us. The contact CSV import rejects files with accented characters in names. So far 118 people on our side have reported it.</t>
        </is>
      </c>
      <c r="J954" t="inlineStr">
        <is>
          <t>Negative</t>
        </is>
      </c>
      <c r="K954" t="inlineStr">
        <is>
          <t>Medium</t>
        </is>
      </c>
      <c r="L954" t="inlineStr">
        <is>
          <t>Minor Inconvenience</t>
        </is>
      </c>
      <c r="M954" t="inlineStr">
        <is>
          <t>contact_import</t>
        </is>
      </c>
      <c r="N954" t="inlineStr">
        <is>
          <t>Unreliable contact imports</t>
        </is>
      </c>
      <c r="O954" t="inlineStr">
        <is>
          <t>2026-06</t>
        </is>
      </c>
    </row>
    <row r="955">
      <c r="A955" t="inlineStr">
        <is>
          <t>FB-00954</t>
        </is>
      </c>
      <c r="B955" t="inlineStr">
        <is>
          <t>CUST-0060</t>
        </is>
      </c>
      <c r="C955" s="11" t="n">
        <v>46181</v>
      </c>
      <c r="D955" t="inlineStr">
        <is>
          <t>Support Ticket</t>
        </is>
      </c>
      <c r="E955" t="inlineStr">
        <is>
          <t>Starter</t>
        </is>
      </c>
      <c r="F955" t="inlineStr">
        <is>
          <t>SMB</t>
        </is>
      </c>
      <c r="G955" t="inlineStr">
        <is>
          <t>Lead Management</t>
        </is>
      </c>
      <c r="H955" t="inlineStr">
        <is>
          <t>Performance Issue</t>
        </is>
      </c>
      <c r="I955" t="inlineStr">
        <is>
          <t>Escalating on behalf of our ops lead. The lead view load times gets very slow once we pass a few thousand open leads.</t>
        </is>
      </c>
      <c r="J955" t="inlineStr">
        <is>
          <t>Negative</t>
        </is>
      </c>
      <c r="K955" t="inlineStr">
        <is>
          <t>Medium</t>
        </is>
      </c>
      <c r="L955" t="inlineStr">
        <is>
          <t>Workflow Slowdown</t>
        </is>
      </c>
      <c r="M955" t="inlineStr">
        <is>
          <t>lead_slow</t>
        </is>
      </c>
      <c r="N955" t="inlineStr">
        <is>
          <t>Slow lead lists and pipeline board</t>
        </is>
      </c>
      <c r="O955" t="inlineStr">
        <is>
          <t>2026-06</t>
        </is>
      </c>
    </row>
    <row r="956">
      <c r="A956" t="inlineStr">
        <is>
          <t>FB-00955</t>
        </is>
      </c>
      <c r="B956" t="inlineStr">
        <is>
          <t>CUST-0318</t>
        </is>
      </c>
      <c r="C956" s="11" t="n">
        <v>46182</v>
      </c>
      <c r="D956" t="inlineStr">
        <is>
          <t>Feature Request</t>
        </is>
      </c>
      <c r="E956" t="inlineStr">
        <is>
          <t>Starter</t>
        </is>
      </c>
      <c r="F956" t="inlineStr">
        <is>
          <t>SMB</t>
        </is>
      </c>
      <c r="G956" t="inlineStr">
        <is>
          <t>User Interface</t>
        </is>
      </c>
      <c r="H956" t="inlineStr">
        <is>
          <t>Feature Request</t>
        </is>
      </c>
      <c r="I956" t="inlineStr">
        <is>
          <t>Our field reps need offline mobile access to update deals between visits.</t>
        </is>
      </c>
      <c r="J956" t="inlineStr">
        <is>
          <t>Neutral</t>
        </is>
      </c>
      <c r="K956" t="inlineStr">
        <is>
          <t>Low</t>
        </is>
      </c>
      <c r="L956" t="inlineStr">
        <is>
          <t>Minor Inconvenience</t>
        </is>
      </c>
      <c r="M956" t="inlineStr">
        <is>
          <t>ui_mobile</t>
        </is>
      </c>
      <c r="N956" t="inlineStr">
        <is>
          <t>Mobile app</t>
        </is>
      </c>
      <c r="O956" t="inlineStr">
        <is>
          <t>2026-06</t>
        </is>
      </c>
    </row>
    <row r="957">
      <c r="A957" t="inlineStr">
        <is>
          <t>FB-00956</t>
        </is>
      </c>
      <c r="B957" t="inlineStr">
        <is>
          <t>CUST-0367</t>
        </is>
      </c>
      <c r="C957" s="11" t="n">
        <v>46182</v>
      </c>
      <c r="D957" t="inlineStr">
        <is>
          <t>In-App Feedback</t>
        </is>
      </c>
      <c r="E957" t="inlineStr">
        <is>
          <t>Enterprise</t>
        </is>
      </c>
      <c r="F957" t="inlineStr">
        <is>
          <t>Mid-Market</t>
        </is>
      </c>
      <c r="G957" t="inlineStr">
        <is>
          <t>User Interface</t>
        </is>
      </c>
      <c r="H957" t="inlineStr">
        <is>
          <t>Feature Request</t>
        </is>
      </c>
      <c r="I957" t="inlineStr">
        <is>
          <t>Requesting a mobile app so reps can log activity right after a meeting. Let us know if you need examples.</t>
        </is>
      </c>
      <c r="J957" t="inlineStr">
        <is>
          <t>Neutral</t>
        </is>
      </c>
      <c r="K957" t="inlineStr">
        <is>
          <t>Low</t>
        </is>
      </c>
      <c r="L957" t="inlineStr">
        <is>
          <t>Workflow Slowdown</t>
        </is>
      </c>
      <c r="M957" t="inlineStr">
        <is>
          <t>ui_mobile</t>
        </is>
      </c>
      <c r="N957" t="inlineStr">
        <is>
          <t>Mobile app</t>
        </is>
      </c>
      <c r="O957" t="inlineStr">
        <is>
          <t>2026-06</t>
        </is>
      </c>
    </row>
    <row r="958">
      <c r="A958" t="inlineStr">
        <is>
          <t>FB-00957</t>
        </is>
      </c>
      <c r="B958" t="inlineStr">
        <is>
          <t>CUST-0286</t>
        </is>
      </c>
      <c r="C958" s="11" t="n">
        <v>46183</v>
      </c>
      <c r="D958" t="inlineStr">
        <is>
          <t>Support Ticket</t>
        </is>
      </c>
      <c r="E958" t="inlineStr">
        <is>
          <t>Enterprise</t>
        </is>
      </c>
      <c r="F958" t="inlineStr">
        <is>
          <t>Enterprise</t>
        </is>
      </c>
      <c r="G958" t="inlineStr">
        <is>
          <t>Integrations</t>
        </is>
      </c>
      <c r="H958" t="inlineStr">
        <is>
          <t>Integration Issue</t>
        </is>
      </c>
      <c r="I958" t="inlineStr">
        <is>
          <t>Raising this again after our last business review. The Outlook calendar sync duplicates meetings and misses replies. So far 91 people on our side have reported it. Is there a workaround?</t>
        </is>
      </c>
      <c r="J958" t="inlineStr">
        <is>
          <t>Negative</t>
        </is>
      </c>
      <c r="K958" t="inlineStr">
        <is>
          <t>High</t>
        </is>
      </c>
      <c r="L958" t="inlineStr">
        <is>
          <t>Minor Inconvenience</t>
        </is>
      </c>
      <c r="M958" t="inlineStr">
        <is>
          <t>int_email</t>
        </is>
      </c>
      <c r="N958" t="inlineStr">
        <is>
          <t>Email and calendar sync drops</t>
        </is>
      </c>
      <c r="O958" t="inlineStr">
        <is>
          <t>2026-06</t>
        </is>
      </c>
    </row>
    <row r="959">
      <c r="A959" t="inlineStr">
        <is>
          <t>FB-00958</t>
        </is>
      </c>
      <c r="B959" t="inlineStr">
        <is>
          <t>CUST-0158</t>
        </is>
      </c>
      <c r="C959" s="11" t="n">
        <v>46183</v>
      </c>
      <c r="D959" t="inlineStr">
        <is>
          <t>Support Ticket</t>
        </is>
      </c>
      <c r="E959" t="inlineStr">
        <is>
          <t>Starter</t>
        </is>
      </c>
      <c r="F959" t="inlineStr">
        <is>
          <t>SMB</t>
        </is>
      </c>
      <c r="G959" t="inlineStr">
        <is>
          <t>Reporting</t>
        </is>
      </c>
      <c r="H959" t="inlineStr">
        <is>
          <t>Performance Issue</t>
        </is>
      </c>
      <c r="I959" t="inlineStr">
        <is>
          <t>Quick note from our admin. Execs gave up on the dashboard loading and ask for screenshots instead. So far 52 people on our side have reported it.</t>
        </is>
      </c>
      <c r="J959" t="inlineStr">
        <is>
          <t>Neutral</t>
        </is>
      </c>
      <c r="K959" t="inlineStr">
        <is>
          <t>Low</t>
        </is>
      </c>
      <c r="L959" t="inlineStr">
        <is>
          <t>Minor Inconvenience</t>
        </is>
      </c>
      <c r="M959" t="inlineStr">
        <is>
          <t>rep_slow</t>
        </is>
      </c>
      <c r="N959" t="inlineStr">
        <is>
          <t>Slow dashboards</t>
        </is>
      </c>
      <c r="O959" t="inlineStr">
        <is>
          <t>2026-06</t>
        </is>
      </c>
    </row>
    <row r="960">
      <c r="A960" t="inlineStr">
        <is>
          <t>FB-00959</t>
        </is>
      </c>
      <c r="B960" t="inlineStr">
        <is>
          <t>CUST-0178</t>
        </is>
      </c>
      <c r="C960" s="11" t="n">
        <v>46184</v>
      </c>
      <c r="D960" t="inlineStr">
        <is>
          <t>Support Ticket</t>
        </is>
      </c>
      <c r="E960" t="inlineStr">
        <is>
          <t>Starter</t>
        </is>
      </c>
      <c r="F960" t="inlineStr">
        <is>
          <t>SMB</t>
        </is>
      </c>
      <c r="G960" t="inlineStr">
        <is>
          <t>Contact Management</t>
        </is>
      </c>
      <c r="H960" t="inlineStr">
        <is>
          <t>Bug</t>
        </is>
      </c>
      <c r="I960" t="inlineStr">
        <is>
          <t>Raising this again after our last business review. The import field mapping fails halfway through with a generic error and no row-level detail. So far 14 people on our side have reported it. We need a fix before renewal.</t>
        </is>
      </c>
      <c r="J960" t="inlineStr">
        <is>
          <t>Negative</t>
        </is>
      </c>
      <c r="K960" t="inlineStr">
        <is>
          <t>Medium</t>
        </is>
      </c>
      <c r="L960" t="inlineStr">
        <is>
          <t>Blocks Key Task</t>
        </is>
      </c>
      <c r="M960" t="inlineStr">
        <is>
          <t>contact_import</t>
        </is>
      </c>
      <c r="N960" t="inlineStr">
        <is>
          <t>Unreliable contact imports</t>
        </is>
      </c>
      <c r="O960" t="inlineStr">
        <is>
          <t>2026-06</t>
        </is>
      </c>
    </row>
    <row r="961">
      <c r="A961" t="inlineStr">
        <is>
          <t>FB-00960</t>
        </is>
      </c>
      <c r="B961" t="inlineStr">
        <is>
          <t>CUST-0308</t>
        </is>
      </c>
      <c r="C961" s="11" t="n">
        <v>46184</v>
      </c>
      <c r="D961" t="inlineStr">
        <is>
          <t>Feature Request</t>
        </is>
      </c>
      <c r="E961" t="inlineStr">
        <is>
          <t>Professional</t>
        </is>
      </c>
      <c r="F961" t="inlineStr">
        <is>
          <t>SMB</t>
        </is>
      </c>
      <c r="G961" t="inlineStr">
        <is>
          <t>User Interface</t>
        </is>
      </c>
      <c r="H961" t="inlineStr">
        <is>
          <t>Feature Request</t>
        </is>
      </c>
      <c r="I961" t="inlineStr">
        <is>
          <t>Happy with most of the product. Requesting bulk actions on lists across every list view. Happy to beta test.</t>
        </is>
      </c>
      <c r="J961" t="inlineStr">
        <is>
          <t>Positive</t>
        </is>
      </c>
      <c r="K961" t="inlineStr">
        <is>
          <t>Medium</t>
        </is>
      </c>
      <c r="L961" t="inlineStr">
        <is>
          <t>Workflow Slowdown</t>
        </is>
      </c>
      <c r="M961" t="inlineStr">
        <is>
          <t>ui_bulk</t>
        </is>
      </c>
      <c r="N961" t="inlineStr">
        <is>
          <t>Bulk actions</t>
        </is>
      </c>
      <c r="O961" t="inlineStr">
        <is>
          <t>2026-06</t>
        </is>
      </c>
    </row>
    <row r="962">
      <c r="A962" t="inlineStr">
        <is>
          <t>FB-00961</t>
        </is>
      </c>
      <c r="B962" t="inlineStr">
        <is>
          <t>CUST-0076</t>
        </is>
      </c>
      <c r="C962" s="11" t="n">
        <v>46184</v>
      </c>
      <c r="D962" t="inlineStr">
        <is>
          <t>Feature Request</t>
        </is>
      </c>
      <c r="E962" t="inlineStr">
        <is>
          <t>Starter</t>
        </is>
      </c>
      <c r="F962" t="inlineStr">
        <is>
          <t>SMB</t>
        </is>
      </c>
      <c r="G962" t="inlineStr">
        <is>
          <t>User Interface</t>
        </is>
      </c>
      <c r="H962" t="inlineStr">
        <is>
          <t>Feature Request</t>
        </is>
      </c>
      <c r="I962" t="inlineStr">
        <is>
          <t>Requesting multi-select actions across every list view. Support suggested logging it here.</t>
        </is>
      </c>
      <c r="J962" t="inlineStr">
        <is>
          <t>Negative</t>
        </is>
      </c>
      <c r="K962" t="inlineStr">
        <is>
          <t>Medium</t>
        </is>
      </c>
      <c r="L962" t="inlineStr">
        <is>
          <t>Workflow Slowdown</t>
        </is>
      </c>
      <c r="M962" t="inlineStr">
        <is>
          <t>ui_bulk</t>
        </is>
      </c>
      <c r="N962" t="inlineStr">
        <is>
          <t>Bulk actions</t>
        </is>
      </c>
      <c r="O962" t="inlineStr">
        <is>
          <t>2026-06</t>
        </is>
      </c>
    </row>
    <row r="963">
      <c r="A963" t="inlineStr">
        <is>
          <t>FB-00962</t>
        </is>
      </c>
      <c r="B963" t="inlineStr">
        <is>
          <t>CUST-0065</t>
        </is>
      </c>
      <c r="C963" s="11" t="n">
        <v>46184</v>
      </c>
      <c r="D963" t="inlineStr">
        <is>
          <t>Customer Survey</t>
        </is>
      </c>
      <c r="E963" t="inlineStr">
        <is>
          <t>Professional</t>
        </is>
      </c>
      <c r="F963" t="inlineStr">
        <is>
          <t>Mid-Market</t>
        </is>
      </c>
      <c r="G963" t="inlineStr">
        <is>
          <t>Reporting</t>
        </is>
      </c>
      <c r="H963" t="inlineStr">
        <is>
          <t>Bug</t>
        </is>
      </c>
      <c r="I963" t="inlineStr">
        <is>
          <t>The report export times out for date ranges longer than a quarter. Our customer success lead flagged it while onboarding 41 new users.</t>
        </is>
      </c>
      <c r="J963" t="inlineStr">
        <is>
          <t>Negative</t>
        </is>
      </c>
      <c r="K963" t="inlineStr">
        <is>
          <t>High</t>
        </is>
      </c>
      <c r="L963" t="inlineStr">
        <is>
          <t>Minor Inconvenience</t>
        </is>
      </c>
      <c r="M963" t="inlineStr">
        <is>
          <t>rep_export</t>
        </is>
      </c>
      <c r="N963" t="inlineStr">
        <is>
          <t>Broken report exports</t>
        </is>
      </c>
      <c r="O963" t="inlineStr">
        <is>
          <t>2026-06</t>
        </is>
      </c>
    </row>
    <row r="964">
      <c r="A964" t="inlineStr">
        <is>
          <t>FB-00963</t>
        </is>
      </c>
      <c r="B964" t="inlineStr">
        <is>
          <t>CUST-0149</t>
        </is>
      </c>
      <c r="C964" s="11" t="n">
        <v>46185</v>
      </c>
      <c r="D964" t="inlineStr">
        <is>
          <t>In-App Feedback</t>
        </is>
      </c>
      <c r="E964" t="inlineStr">
        <is>
          <t>Professional</t>
        </is>
      </c>
      <c r="F964" t="inlineStr">
        <is>
          <t>Mid-Market</t>
        </is>
      </c>
      <c r="G964" t="inlineStr">
        <is>
          <t>Workflow Automation</t>
        </is>
      </c>
      <c r="H964" t="inlineStr">
        <is>
          <t>Feature Request</t>
        </is>
      </c>
      <c r="I964" t="inlineStr">
        <is>
          <t>Not what we expected for the price. We'd adopt automation faster with workflow templates we could customize. So far 27 people on our side have reported it. Support suggested logging it here.</t>
        </is>
      </c>
      <c r="J964" t="inlineStr">
        <is>
          <t>Negative</t>
        </is>
      </c>
      <c r="K964" t="inlineStr">
        <is>
          <t>Medium</t>
        </is>
      </c>
      <c r="L964" t="inlineStr">
        <is>
          <t>Blocks Key Task</t>
        </is>
      </c>
      <c r="M964" t="inlineStr">
        <is>
          <t>wf_templates</t>
        </is>
      </c>
      <c r="N964" t="inlineStr">
        <is>
          <t>Workflow templates</t>
        </is>
      </c>
      <c r="O964" t="inlineStr">
        <is>
          <t>2026-06</t>
        </is>
      </c>
    </row>
    <row r="965">
      <c r="A965" t="inlineStr">
        <is>
          <t>FB-00964</t>
        </is>
      </c>
      <c r="B965" t="inlineStr">
        <is>
          <t>CUST-0165</t>
        </is>
      </c>
      <c r="C965" s="11" t="n">
        <v>46185</v>
      </c>
      <c r="D965" t="inlineStr">
        <is>
          <t>Support Ticket</t>
        </is>
      </c>
      <c r="E965" t="inlineStr">
        <is>
          <t>Enterprise</t>
        </is>
      </c>
      <c r="F965" t="inlineStr">
        <is>
          <t>Mid-Market</t>
        </is>
      </c>
      <c r="G965" t="inlineStr">
        <is>
          <t>Lead Management</t>
        </is>
      </c>
      <c r="H965" t="inlineStr">
        <is>
          <t>Bug</t>
        </is>
      </c>
      <c r="I965" t="inlineStr">
        <is>
          <t>Frustrated with this one. There are lead de-duplication failures across our pipeline views and nobody knows which record is the source of truth. Support suggested logging it here.</t>
        </is>
      </c>
      <c r="J965" t="inlineStr">
        <is>
          <t>Negative</t>
        </is>
      </c>
      <c r="K965" t="inlineStr">
        <is>
          <t>Critical</t>
        </is>
      </c>
      <c r="L965" t="inlineStr">
        <is>
          <t>Blocks Key Task</t>
        </is>
      </c>
      <c r="M965" t="inlineStr">
        <is>
          <t>lead_dup</t>
        </is>
      </c>
      <c r="N965" t="inlineStr">
        <is>
          <t>Duplicate leads created</t>
        </is>
      </c>
      <c r="O965" t="inlineStr">
        <is>
          <t>2026-06</t>
        </is>
      </c>
    </row>
    <row r="966">
      <c r="A966" t="inlineStr">
        <is>
          <t>FB-00965</t>
        </is>
      </c>
      <c r="B966" t="inlineStr">
        <is>
          <t>CUST-0146</t>
        </is>
      </c>
      <c r="C966" s="11" t="n">
        <v>46185</v>
      </c>
      <c r="D966" t="inlineStr">
        <is>
          <t>Feature Request</t>
        </is>
      </c>
      <c r="E966" t="inlineStr">
        <is>
          <t>Starter</t>
        </is>
      </c>
      <c r="F966" t="inlineStr">
        <is>
          <t>SMB</t>
        </is>
      </c>
      <c r="G966" t="inlineStr">
        <is>
          <t>Reporting</t>
        </is>
      </c>
      <c r="H966" t="inlineStr">
        <is>
          <t>Feature Request</t>
        </is>
      </c>
      <c r="I966" t="inlineStr">
        <is>
          <t>Requesting quota tracking that updates as deal stages change. So far 33 people on our side have reported it.</t>
        </is>
      </c>
      <c r="J966" t="inlineStr">
        <is>
          <t>Neutral</t>
        </is>
      </c>
      <c r="K966" t="inlineStr">
        <is>
          <t>Low</t>
        </is>
      </c>
      <c r="L966" t="inlineStr">
        <is>
          <t>Minor Inconvenience</t>
        </is>
      </c>
      <c r="M966" t="inlineStr">
        <is>
          <t>rep_forecast</t>
        </is>
      </c>
      <c r="N966" t="inlineStr">
        <is>
          <t>Sales forecasting</t>
        </is>
      </c>
      <c r="O966" t="inlineStr">
        <is>
          <t>2026-06</t>
        </is>
      </c>
    </row>
    <row r="967">
      <c r="A967" t="inlineStr">
        <is>
          <t>FB-00966</t>
        </is>
      </c>
      <c r="B967" t="inlineStr">
        <is>
          <t>CUST-0338</t>
        </is>
      </c>
      <c r="C967" s="11" t="n">
        <v>46185</v>
      </c>
      <c r="D967" t="inlineStr">
        <is>
          <t>Support Ticket</t>
        </is>
      </c>
      <c r="E967" t="inlineStr">
        <is>
          <t>Professional</t>
        </is>
      </c>
      <c r="F967" t="inlineStr">
        <is>
          <t>Mid-Market</t>
        </is>
      </c>
      <c r="G967" t="inlineStr">
        <is>
          <t>Lead Management</t>
        </is>
      </c>
      <c r="H967" t="inlineStr">
        <is>
          <t>Bug</t>
        </is>
      </c>
      <c r="I967" t="inlineStr">
        <is>
          <t>Escalating on behalf of our ops lead. Web form submissions keep creating duplicated leads, and reps end up calling the same prospect twice. So far 16 people on our side have reported it. Is there a workaround?</t>
        </is>
      </c>
      <c r="J967" t="inlineStr">
        <is>
          <t>Negative</t>
        </is>
      </c>
      <c r="K967" t="inlineStr">
        <is>
          <t>Medium</t>
        </is>
      </c>
      <c r="L967" t="inlineStr">
        <is>
          <t>Workflow Slowdown</t>
        </is>
      </c>
      <c r="M967" t="inlineStr">
        <is>
          <t>lead_dup</t>
        </is>
      </c>
      <c r="N967" t="inlineStr">
        <is>
          <t>Duplicate leads created</t>
        </is>
      </c>
      <c r="O967" t="inlineStr">
        <is>
          <t>2026-06</t>
        </is>
      </c>
    </row>
    <row r="968">
      <c r="A968" t="inlineStr">
        <is>
          <t>FB-00967</t>
        </is>
      </c>
      <c r="B968" t="inlineStr">
        <is>
          <t>CUST-0145</t>
        </is>
      </c>
      <c r="C968" s="11" t="n">
        <v>46185</v>
      </c>
      <c r="D968" t="inlineStr">
        <is>
          <t>Customer Survey</t>
        </is>
      </c>
      <c r="E968" t="inlineStr">
        <is>
          <t>Professional</t>
        </is>
      </c>
      <c r="F968" t="inlineStr">
        <is>
          <t>SMB</t>
        </is>
      </c>
      <c r="G968" t="inlineStr">
        <is>
          <t>Contact Management</t>
        </is>
      </c>
      <c r="H968" t="inlineStr">
        <is>
          <t>Bug</t>
        </is>
      </c>
      <c r="I968" t="inlineStr">
        <is>
          <t>Raising this again after our last business review. Our spreadsheet import scrambles phone and email columns even after we map them correctly. It affects our lead handoff process every cycle.</t>
        </is>
      </c>
      <c r="J968" t="inlineStr">
        <is>
          <t>Negative</t>
        </is>
      </c>
      <c r="K968" t="inlineStr">
        <is>
          <t>Medium</t>
        </is>
      </c>
      <c r="L968" t="inlineStr">
        <is>
          <t>Workflow Slowdown</t>
        </is>
      </c>
      <c r="M968" t="inlineStr">
        <is>
          <t>contact_import</t>
        </is>
      </c>
      <c r="N968" t="inlineStr">
        <is>
          <t>Unreliable contact imports</t>
        </is>
      </c>
      <c r="O968" t="inlineStr">
        <is>
          <t>2026-06</t>
        </is>
      </c>
    </row>
    <row r="969">
      <c r="A969" t="inlineStr">
        <is>
          <t>FB-00968</t>
        </is>
      </c>
      <c r="B969" t="inlineStr">
        <is>
          <t>CUST-0284</t>
        </is>
      </c>
      <c r="C969" s="11" t="n">
        <v>46186</v>
      </c>
      <c r="D969" t="inlineStr">
        <is>
          <t>In-App Feedback</t>
        </is>
      </c>
      <c r="E969" t="inlineStr">
        <is>
          <t>Enterprise</t>
        </is>
      </c>
      <c r="F969" t="inlineStr">
        <is>
          <t>Enterprise</t>
        </is>
      </c>
      <c r="G969" t="inlineStr">
        <is>
          <t>User Interface</t>
        </is>
      </c>
      <c r="H969" t="inlineStr">
        <is>
          <t>Feature Request</t>
        </is>
      </c>
      <c r="I969" t="inlineStr">
        <is>
          <t>We need multi-select actions to update owners and stages for many records at once. We estimate we lose roughly 8 hours a month on this. Support suggested logging it here.</t>
        </is>
      </c>
      <c r="J969" t="inlineStr">
        <is>
          <t>Negative</t>
        </is>
      </c>
      <c r="K969" t="inlineStr">
        <is>
          <t>Low</t>
        </is>
      </c>
      <c r="L969" t="inlineStr">
        <is>
          <t>Minor Inconvenience</t>
        </is>
      </c>
      <c r="M969" t="inlineStr">
        <is>
          <t>ui_bulk</t>
        </is>
      </c>
      <c r="N969" t="inlineStr">
        <is>
          <t>Bulk actions</t>
        </is>
      </c>
      <c r="O969" t="inlineStr">
        <is>
          <t>2026-06</t>
        </is>
      </c>
    </row>
    <row r="970">
      <c r="A970" t="inlineStr">
        <is>
          <t>FB-00969</t>
        </is>
      </c>
      <c r="B970" t="inlineStr">
        <is>
          <t>CUST-0216</t>
        </is>
      </c>
      <c r="C970" s="11" t="n">
        <v>46186</v>
      </c>
      <c r="D970" t="inlineStr">
        <is>
          <t>Support Ticket</t>
        </is>
      </c>
      <c r="E970" t="inlineStr">
        <is>
          <t>Starter</t>
        </is>
      </c>
      <c r="F970" t="inlineStr">
        <is>
          <t>Mid-Market</t>
        </is>
      </c>
      <c r="G970" t="inlineStr">
        <is>
          <t>Reporting</t>
        </is>
      </c>
      <c r="H970" t="inlineStr">
        <is>
          <t>Bug</t>
        </is>
      </c>
      <c r="I970" t="inlineStr">
        <is>
          <t>Frustrated with this one. Our Excel export drops formatting and shows dates as numbers. So far 101 people on our side have reported it. Please look into it soon.</t>
        </is>
      </c>
      <c r="J970" t="inlineStr">
        <is>
          <t>Negative</t>
        </is>
      </c>
      <c r="K970" t="inlineStr">
        <is>
          <t>High</t>
        </is>
      </c>
      <c r="L970" t="inlineStr">
        <is>
          <t>Workflow Slowdown</t>
        </is>
      </c>
      <c r="M970" t="inlineStr">
        <is>
          <t>rep_export</t>
        </is>
      </c>
      <c r="N970" t="inlineStr">
        <is>
          <t>Broken report exports</t>
        </is>
      </c>
      <c r="O970" t="inlineStr">
        <is>
          <t>2026-06</t>
        </is>
      </c>
    </row>
    <row r="971">
      <c r="A971" t="inlineStr">
        <is>
          <t>FB-00970</t>
        </is>
      </c>
      <c r="B971" t="inlineStr">
        <is>
          <t>CUST-0102</t>
        </is>
      </c>
      <c r="C971" s="11" t="n">
        <v>46187</v>
      </c>
      <c r="D971" t="inlineStr">
        <is>
          <t>Support Ticket</t>
        </is>
      </c>
      <c r="E971" t="inlineStr">
        <is>
          <t>Professional</t>
        </is>
      </c>
      <c r="F971" t="inlineStr">
        <is>
          <t>Mid-Market</t>
        </is>
      </c>
      <c r="G971" t="inlineStr">
        <is>
          <t>Workflow Automation</t>
        </is>
      </c>
      <c r="H971" t="inlineStr">
        <is>
          <t>Bug</t>
        </is>
      </c>
      <c r="I971" t="inlineStr">
        <is>
          <t>Since the last release we've had workflow failures and tasks are being created twice. It affects our lead handoff process every cycle. Please look into it soon.</t>
        </is>
      </c>
      <c r="J971" t="inlineStr">
        <is>
          <t>Negative</t>
        </is>
      </c>
      <c r="K971" t="inlineStr">
        <is>
          <t>Medium</t>
        </is>
      </c>
      <c r="L971" t="inlineStr">
        <is>
          <t>Blocks Key Task</t>
        </is>
      </c>
      <c r="M971" t="inlineStr">
        <is>
          <t>wf_fail</t>
        </is>
      </c>
      <c r="N971" t="inlineStr">
        <is>
          <t>Workflows failing silently</t>
        </is>
      </c>
      <c r="O971" t="inlineStr">
        <is>
          <t>2026-06</t>
        </is>
      </c>
    </row>
    <row r="972">
      <c r="A972" t="inlineStr">
        <is>
          <t>FB-00971</t>
        </is>
      </c>
      <c r="B972" t="inlineStr">
        <is>
          <t>CUST-0027</t>
        </is>
      </c>
      <c r="C972" s="11" t="n">
        <v>46187</v>
      </c>
      <c r="D972" t="inlineStr">
        <is>
          <t>In-App Feedback</t>
        </is>
      </c>
      <c r="E972" t="inlineStr">
        <is>
          <t>Professional</t>
        </is>
      </c>
      <c r="F972" t="inlineStr">
        <is>
          <t>SMB</t>
        </is>
      </c>
      <c r="G972" t="inlineStr">
        <is>
          <t>Reporting</t>
        </is>
      </c>
      <c r="H972" t="inlineStr">
        <is>
          <t>Bug</t>
        </is>
      </c>
      <c r="I972" t="inlineStr">
        <is>
          <t>Finance can't rely on the CSV export of reports; totals don't match the screen. We estimate we lose roughly 8 hours a month on this. Support suggested logging it here.</t>
        </is>
      </c>
      <c r="J972" t="inlineStr">
        <is>
          <t>Negative</t>
        </is>
      </c>
      <c r="K972" t="inlineStr">
        <is>
          <t>High</t>
        </is>
      </c>
      <c r="L972" t="inlineStr">
        <is>
          <t>Blocks Key Task</t>
        </is>
      </c>
      <c r="M972" t="inlineStr">
        <is>
          <t>rep_export</t>
        </is>
      </c>
      <c r="N972" t="inlineStr">
        <is>
          <t>Broken report exports</t>
        </is>
      </c>
      <c r="O972" t="inlineStr">
        <is>
          <t>2026-06</t>
        </is>
      </c>
    </row>
    <row r="973">
      <c r="A973" t="inlineStr">
        <is>
          <t>FB-00972</t>
        </is>
      </c>
      <c r="B973" t="inlineStr">
        <is>
          <t>CUST-0069</t>
        </is>
      </c>
      <c r="C973" s="11" t="n">
        <v>46188</v>
      </c>
      <c r="D973" t="inlineStr">
        <is>
          <t>Support Ticket</t>
        </is>
      </c>
      <c r="E973" t="inlineStr">
        <is>
          <t>Starter</t>
        </is>
      </c>
      <c r="F973" t="inlineStr">
        <is>
          <t>Mid-Market</t>
        </is>
      </c>
      <c r="G973" t="inlineStr">
        <is>
          <t>Contact Management</t>
        </is>
      </c>
      <c r="H973" t="inlineStr">
        <is>
          <t>Bug</t>
        </is>
      </c>
      <c r="I973" t="inlineStr">
        <is>
          <t>Not what we expected for the price. The spreadsheet import rejects files with accented characters in names. Our finance analyst flagged it while onboarding 110 new users.</t>
        </is>
      </c>
      <c r="J973" t="inlineStr">
        <is>
          <t>Negative</t>
        </is>
      </c>
      <c r="K973" t="inlineStr">
        <is>
          <t>Low</t>
        </is>
      </c>
      <c r="L973" t="inlineStr">
        <is>
          <t>Minor Inconvenience</t>
        </is>
      </c>
      <c r="M973" t="inlineStr">
        <is>
          <t>contact_import</t>
        </is>
      </c>
      <c r="N973" t="inlineStr">
        <is>
          <t>Unreliable contact imports</t>
        </is>
      </c>
      <c r="O973" t="inlineStr">
        <is>
          <t>2026-06</t>
        </is>
      </c>
    </row>
    <row r="974">
      <c r="A974" t="inlineStr">
        <is>
          <t>FB-00973</t>
        </is>
      </c>
      <c r="B974" t="inlineStr">
        <is>
          <t>CUST-0154</t>
        </is>
      </c>
      <c r="C974" s="11" t="n">
        <v>46188</v>
      </c>
      <c r="D974" t="inlineStr">
        <is>
          <t>Support Ticket</t>
        </is>
      </c>
      <c r="E974" t="inlineStr">
        <is>
          <t>Professional</t>
        </is>
      </c>
      <c r="F974" t="inlineStr">
        <is>
          <t>SMB</t>
        </is>
      </c>
      <c r="G974" t="inlineStr">
        <is>
          <t>Integrations</t>
        </is>
      </c>
      <c r="H974" t="inlineStr">
        <is>
          <t>Integration Issue</t>
        </is>
      </c>
      <c r="I974" t="inlineStr">
        <is>
          <t>This has been a recurring problem for us. Our email sync keeps disconnecting and activities are missing from the contact timeline. Is there a workaround?</t>
        </is>
      </c>
      <c r="J974" t="inlineStr">
        <is>
          <t>Negative</t>
        </is>
      </c>
      <c r="K974" t="inlineStr">
        <is>
          <t>High</t>
        </is>
      </c>
      <c r="L974" t="inlineStr">
        <is>
          <t>Workflow Slowdown</t>
        </is>
      </c>
      <c r="M974" t="inlineStr">
        <is>
          <t>int_email</t>
        </is>
      </c>
      <c r="N974" t="inlineStr">
        <is>
          <t>Email and calendar sync drops</t>
        </is>
      </c>
      <c r="O974" t="inlineStr">
        <is>
          <t>2026-06</t>
        </is>
      </c>
    </row>
    <row r="975">
      <c r="A975" t="inlineStr">
        <is>
          <t>FB-00974</t>
        </is>
      </c>
      <c r="B975" t="inlineStr">
        <is>
          <t>CUST-0145</t>
        </is>
      </c>
      <c r="C975" s="11" t="n">
        <v>46188</v>
      </c>
      <c r="D975" t="inlineStr">
        <is>
          <t>In-App Feedback</t>
        </is>
      </c>
      <c r="E975" t="inlineStr">
        <is>
          <t>Professional</t>
        </is>
      </c>
      <c r="F975" t="inlineStr">
        <is>
          <t>SMB</t>
        </is>
      </c>
      <c r="G975" t="inlineStr">
        <is>
          <t>Workflow Automation</t>
        </is>
      </c>
      <c r="H975" t="inlineStr">
        <is>
          <t>Bug</t>
        </is>
      </c>
      <c r="I975" t="inlineStr">
        <is>
          <t>Since the last release we've had workflow runs failing silently and tasks are being created twice. It happens about 34 times a week for our team of 21. Support suggested logging it here.</t>
        </is>
      </c>
      <c r="J975" t="inlineStr">
        <is>
          <t>Negative</t>
        </is>
      </c>
      <c r="K975" t="inlineStr">
        <is>
          <t>High</t>
        </is>
      </c>
      <c r="L975" t="inlineStr">
        <is>
          <t>Workflow Slowdown</t>
        </is>
      </c>
      <c r="M975" t="inlineStr">
        <is>
          <t>wf_fail</t>
        </is>
      </c>
      <c r="N975" t="inlineStr">
        <is>
          <t>Workflows failing silently</t>
        </is>
      </c>
      <c r="O975" t="inlineStr">
        <is>
          <t>2026-06</t>
        </is>
      </c>
    </row>
    <row r="976">
      <c r="A976" t="inlineStr">
        <is>
          <t>FB-00975</t>
        </is>
      </c>
      <c r="B976" t="inlineStr">
        <is>
          <t>CUST-0299</t>
        </is>
      </c>
      <c r="C976" s="11" t="n">
        <v>46188</v>
      </c>
      <c r="D976" t="inlineStr">
        <is>
          <t>In-App Feedback</t>
        </is>
      </c>
      <c r="E976" t="inlineStr">
        <is>
          <t>Professional</t>
        </is>
      </c>
      <c r="F976" t="inlineStr">
        <is>
          <t>Mid-Market</t>
        </is>
      </c>
      <c r="G976" t="inlineStr">
        <is>
          <t>Contact Management</t>
        </is>
      </c>
      <c r="H976" t="inlineStr">
        <is>
          <t>Performance Issue</t>
        </is>
      </c>
      <c r="I976" t="inlineStr">
        <is>
          <t>Our saved contact filters is slow and often returns stale results right after an update. We estimate we lose roughly 49 hours a month on this.</t>
        </is>
      </c>
      <c r="J976" t="inlineStr">
        <is>
          <t>Negative</t>
        </is>
      </c>
      <c r="K976" t="inlineStr">
        <is>
          <t>Medium</t>
        </is>
      </c>
      <c r="L976" t="inlineStr">
        <is>
          <t>Minor Inconvenience</t>
        </is>
      </c>
      <c r="M976" t="inlineStr">
        <is>
          <t>contact_search</t>
        </is>
      </c>
      <c r="N976" t="inlineStr">
        <is>
          <t>Slow contact search</t>
        </is>
      </c>
      <c r="O976" t="inlineStr">
        <is>
          <t>2026-06</t>
        </is>
      </c>
    </row>
    <row r="977">
      <c r="A977" t="inlineStr">
        <is>
          <t>FB-00976</t>
        </is>
      </c>
      <c r="B977" t="inlineStr">
        <is>
          <t>CUST-0360</t>
        </is>
      </c>
      <c r="C977" s="11" t="n">
        <v>46188</v>
      </c>
      <c r="D977" t="inlineStr">
        <is>
          <t>Support Ticket</t>
        </is>
      </c>
      <c r="E977" t="inlineStr">
        <is>
          <t>Enterprise</t>
        </is>
      </c>
      <c r="F977" t="inlineStr">
        <is>
          <t>Enterprise</t>
        </is>
      </c>
      <c r="G977" t="inlineStr">
        <is>
          <t>Workflow Automation</t>
        </is>
      </c>
      <c r="H977" t="inlineStr">
        <is>
          <t>Usability Issue</t>
        </is>
      </c>
      <c r="I977" t="inlineStr">
        <is>
          <t>I can't tell what a branch does in the workflow editor without opening every node. Let us know if you need examples.</t>
        </is>
      </c>
      <c r="J977" t="inlineStr">
        <is>
          <t>Neutral</t>
        </is>
      </c>
      <c r="K977" t="inlineStr">
        <is>
          <t>High</t>
        </is>
      </c>
      <c r="L977" t="inlineStr">
        <is>
          <t>Workflow Slowdown</t>
        </is>
      </c>
      <c r="M977" t="inlineStr">
        <is>
          <t>wf_builder</t>
        </is>
      </c>
      <c r="N977" t="inlineStr">
        <is>
          <t>Confusing workflow builder</t>
        </is>
      </c>
      <c r="O977" t="inlineStr">
        <is>
          <t>2026-06</t>
        </is>
      </c>
    </row>
    <row r="978">
      <c r="A978" t="inlineStr">
        <is>
          <t>FB-00977</t>
        </is>
      </c>
      <c r="B978" t="inlineStr">
        <is>
          <t>CUST-0338</t>
        </is>
      </c>
      <c r="C978" s="11" t="n">
        <v>46189</v>
      </c>
      <c r="D978" t="inlineStr">
        <is>
          <t>In-App Feedback</t>
        </is>
      </c>
      <c r="E978" t="inlineStr">
        <is>
          <t>Professional</t>
        </is>
      </c>
      <c r="F978" t="inlineStr">
        <is>
          <t>Mid-Market</t>
        </is>
      </c>
      <c r="G978" t="inlineStr">
        <is>
          <t>Integrations</t>
        </is>
      </c>
      <c r="H978" t="inlineStr">
        <is>
          <t>Integration Issue</t>
        </is>
      </c>
      <c r="I978" t="inlineStr">
        <is>
          <t>Not what we expected for the price. The Outlook calendar sync duplicates meetings and misses replies. Please look into it soon.</t>
        </is>
      </c>
      <c r="J978" t="inlineStr">
        <is>
          <t>Negative</t>
        </is>
      </c>
      <c r="K978" t="inlineStr">
        <is>
          <t>Medium</t>
        </is>
      </c>
      <c r="L978" t="inlineStr">
        <is>
          <t>Minor Inconvenience</t>
        </is>
      </c>
      <c r="M978" t="inlineStr">
        <is>
          <t>int_email</t>
        </is>
      </c>
      <c r="N978" t="inlineStr">
        <is>
          <t>Email and calendar sync drops</t>
        </is>
      </c>
      <c r="O978" t="inlineStr">
        <is>
          <t>2026-06</t>
        </is>
      </c>
    </row>
    <row r="979">
      <c r="A979" t="inlineStr">
        <is>
          <t>FB-00978</t>
        </is>
      </c>
      <c r="B979" t="inlineStr">
        <is>
          <t>CUST-0120</t>
        </is>
      </c>
      <c r="C979" s="11" t="n">
        <v>46189</v>
      </c>
      <c r="D979" t="inlineStr">
        <is>
          <t>Feature Request</t>
        </is>
      </c>
      <c r="E979" t="inlineStr">
        <is>
          <t>Starter</t>
        </is>
      </c>
      <c r="F979" t="inlineStr">
        <is>
          <t>Mid-Market</t>
        </is>
      </c>
      <c r="G979" t="inlineStr">
        <is>
          <t>Integrations</t>
        </is>
      </c>
      <c r="H979" t="inlineStr">
        <is>
          <t>Feature Request</t>
        </is>
      </c>
      <c r="I979" t="inlineStr">
        <is>
          <t>Great support experience recently. We would pay for a marketing automation connector instead of maintaining Zapier chains. Our customer success lead flagged it while onboarding 67 new users. Keep up the good work.</t>
        </is>
      </c>
      <c r="J979" t="inlineStr">
        <is>
          <t>Positive</t>
        </is>
      </c>
      <c r="K979" t="inlineStr">
        <is>
          <t>Low</t>
        </is>
      </c>
      <c r="L979" t="inlineStr">
        <is>
          <t>Workflow Slowdown</t>
        </is>
      </c>
      <c r="M979" t="inlineStr">
        <is>
          <t>int_native</t>
        </is>
      </c>
      <c r="N979" t="inlineStr">
        <is>
          <t>Native integrations</t>
        </is>
      </c>
      <c r="O979" t="inlineStr">
        <is>
          <t>2026-06</t>
        </is>
      </c>
    </row>
    <row r="980">
      <c r="A980" t="inlineStr">
        <is>
          <t>FB-00979</t>
        </is>
      </c>
      <c r="B980" t="inlineStr">
        <is>
          <t>CUST-0132</t>
        </is>
      </c>
      <c r="C980" s="11" t="n">
        <v>46189</v>
      </c>
      <c r="D980" t="inlineStr">
        <is>
          <t>Support Ticket</t>
        </is>
      </c>
      <c r="E980" t="inlineStr">
        <is>
          <t>Starter</t>
        </is>
      </c>
      <c r="F980" t="inlineStr">
        <is>
          <t>SMB</t>
        </is>
      </c>
      <c r="G980" t="inlineStr">
        <is>
          <t>Lead Management</t>
        </is>
      </c>
      <c r="H980" t="inlineStr">
        <is>
          <t>Bug</t>
        </is>
      </c>
      <c r="I980" t="inlineStr">
        <is>
          <t>Not what we expected for the price. We are seeing duplicated leads when a lead arrives from both the website and a trade-show list. Please look into it soon.</t>
        </is>
      </c>
      <c r="J980" t="inlineStr">
        <is>
          <t>Negative</t>
        </is>
      </c>
      <c r="K980" t="inlineStr">
        <is>
          <t>Medium</t>
        </is>
      </c>
      <c r="L980" t="inlineStr">
        <is>
          <t>Minor Inconvenience</t>
        </is>
      </c>
      <c r="M980" t="inlineStr">
        <is>
          <t>lead_dup</t>
        </is>
      </c>
      <c r="N980" t="inlineStr">
        <is>
          <t>Duplicate leads created</t>
        </is>
      </c>
      <c r="O980" t="inlineStr">
        <is>
          <t>2026-06</t>
        </is>
      </c>
    </row>
    <row r="981">
      <c r="A981" t="inlineStr">
        <is>
          <t>FB-00980</t>
        </is>
      </c>
      <c r="B981" t="inlineStr">
        <is>
          <t>CUST-0249</t>
        </is>
      </c>
      <c r="C981" s="11" t="n">
        <v>46189</v>
      </c>
      <c r="D981" t="inlineStr">
        <is>
          <t>Feature Request</t>
        </is>
      </c>
      <c r="E981" t="inlineStr">
        <is>
          <t>Starter</t>
        </is>
      </c>
      <c r="F981" t="inlineStr">
        <is>
          <t>SMB</t>
        </is>
      </c>
      <c r="G981" t="inlineStr">
        <is>
          <t>User Interface</t>
        </is>
      </c>
      <c r="H981" t="inlineStr">
        <is>
          <t>Feature Request</t>
        </is>
      </c>
      <c r="I981" t="inlineStr">
        <is>
          <t>Requesting offline mobile access so reps can log activity right after a meeting. It affects our onboarding process every cycle. Happy to join a feedback call.</t>
        </is>
      </c>
      <c r="J981" t="inlineStr">
        <is>
          <t>Neutral</t>
        </is>
      </c>
      <c r="K981" t="inlineStr">
        <is>
          <t>Medium</t>
        </is>
      </c>
      <c r="L981" t="inlineStr">
        <is>
          <t>Blocks Key Task</t>
        </is>
      </c>
      <c r="M981" t="inlineStr">
        <is>
          <t>ui_mobile</t>
        </is>
      </c>
      <c r="N981" t="inlineStr">
        <is>
          <t>Mobile app</t>
        </is>
      </c>
      <c r="O981" t="inlineStr">
        <is>
          <t>2026-06</t>
        </is>
      </c>
    </row>
    <row r="982">
      <c r="A982" t="inlineStr">
        <is>
          <t>FB-00981</t>
        </is>
      </c>
      <c r="B982" t="inlineStr">
        <is>
          <t>CUST-0231</t>
        </is>
      </c>
      <c r="C982" s="11" t="n">
        <v>46189</v>
      </c>
      <c r="D982" t="inlineStr">
        <is>
          <t>Support Ticket</t>
        </is>
      </c>
      <c r="E982" t="inlineStr">
        <is>
          <t>Enterprise</t>
        </is>
      </c>
      <c r="F982" t="inlineStr">
        <is>
          <t>Enterprise</t>
        </is>
      </c>
      <c r="G982" t="inlineStr">
        <is>
          <t>Integrations</t>
        </is>
      </c>
      <c r="H982" t="inlineStr">
        <is>
          <t>Integration Issue</t>
        </is>
      </c>
      <c r="I982" t="inlineStr">
        <is>
          <t>Frustrated with this one. Reps no longer trust Gmail sync, so they log activity by hand.</t>
        </is>
      </c>
      <c r="J982" t="inlineStr">
        <is>
          <t>Negative</t>
        </is>
      </c>
      <c r="K982" t="inlineStr">
        <is>
          <t>Medium</t>
        </is>
      </c>
      <c r="L982" t="inlineStr">
        <is>
          <t>Workflow Slowdown</t>
        </is>
      </c>
      <c r="M982" t="inlineStr">
        <is>
          <t>int_email</t>
        </is>
      </c>
      <c r="N982" t="inlineStr">
        <is>
          <t>Email and calendar sync drops</t>
        </is>
      </c>
      <c r="O982" t="inlineStr">
        <is>
          <t>2026-06</t>
        </is>
      </c>
    </row>
    <row r="983">
      <c r="A983" t="inlineStr">
        <is>
          <t>FB-00982</t>
        </is>
      </c>
      <c r="B983" t="inlineStr">
        <is>
          <t>CUST-0202</t>
        </is>
      </c>
      <c r="C983" s="11" t="n">
        <v>46189</v>
      </c>
      <c r="D983" t="inlineStr">
        <is>
          <t>Feature Request</t>
        </is>
      </c>
      <c r="E983" t="inlineStr">
        <is>
          <t>Enterprise</t>
        </is>
      </c>
      <c r="F983" t="inlineStr">
        <is>
          <t>Enterprise</t>
        </is>
      </c>
      <c r="G983" t="inlineStr">
        <is>
          <t>Reporting</t>
        </is>
      </c>
      <c r="H983" t="inlineStr">
        <is>
          <t>Feature Request</t>
        </is>
      </c>
      <c r="I983" t="inlineStr">
        <is>
          <t>Happy with most of the product. We need a custom report builder so non-technical managers can create their own views. So far 38 people on our side have reported it. Keep up the good work.</t>
        </is>
      </c>
      <c r="J983" t="inlineStr">
        <is>
          <t>Positive</t>
        </is>
      </c>
      <c r="K983" t="inlineStr">
        <is>
          <t>Low</t>
        </is>
      </c>
      <c r="L983" t="inlineStr">
        <is>
          <t>Minor Inconvenience</t>
        </is>
      </c>
      <c r="M983" t="inlineStr">
        <is>
          <t>rep_custom</t>
        </is>
      </c>
      <c r="N983" t="inlineStr">
        <is>
          <t>Custom and scheduled reports</t>
        </is>
      </c>
      <c r="O983" t="inlineStr">
        <is>
          <t>2026-06</t>
        </is>
      </c>
    </row>
    <row r="984">
      <c r="A984" t="inlineStr">
        <is>
          <t>FB-00983</t>
        </is>
      </c>
      <c r="B984" t="inlineStr">
        <is>
          <t>CUST-0246</t>
        </is>
      </c>
      <c r="C984" s="11" t="n">
        <v>46189</v>
      </c>
      <c r="D984" t="inlineStr">
        <is>
          <t>Customer Survey</t>
        </is>
      </c>
      <c r="E984" t="inlineStr">
        <is>
          <t>Professional</t>
        </is>
      </c>
      <c r="F984" t="inlineStr">
        <is>
          <t>Mid-Market</t>
        </is>
      </c>
      <c r="G984" t="inlineStr">
        <is>
          <t>Lead Management</t>
        </is>
      </c>
      <c r="H984" t="inlineStr">
        <is>
          <t>Usability Issue</t>
        </is>
      </c>
      <c r="I984" t="inlineStr">
        <is>
          <t>Escalating on behalf of our ops lead. We can't combine region and deal size in the round-robin lead assignment. So far 13 people on our side have reported it. We need a fix before renewal.</t>
        </is>
      </c>
      <c r="J984" t="inlineStr">
        <is>
          <t>Negative</t>
        </is>
      </c>
      <c r="K984" t="inlineStr">
        <is>
          <t>Medium</t>
        </is>
      </c>
      <c r="L984" t="inlineStr">
        <is>
          <t>Workflow Slowdown</t>
        </is>
      </c>
      <c r="M984" t="inlineStr">
        <is>
          <t>lead_assign</t>
        </is>
      </c>
      <c r="N984" t="inlineStr">
        <is>
          <t>Lead routing is inflexible</t>
        </is>
      </c>
      <c r="O984" t="inlineStr">
        <is>
          <t>2026-06</t>
        </is>
      </c>
    </row>
    <row r="985">
      <c r="A985" t="inlineStr">
        <is>
          <t>FB-00984</t>
        </is>
      </c>
      <c r="B985" t="inlineStr">
        <is>
          <t>CUST-0326</t>
        </is>
      </c>
      <c r="C985" s="11" t="n">
        <v>46189</v>
      </c>
      <c r="D985" t="inlineStr">
        <is>
          <t>Support Ticket</t>
        </is>
      </c>
      <c r="E985" t="inlineStr">
        <is>
          <t>Starter</t>
        </is>
      </c>
      <c r="F985" t="inlineStr">
        <is>
          <t>SMB</t>
        </is>
      </c>
      <c r="G985" t="inlineStr">
        <is>
          <t>Workflow Automation</t>
        </is>
      </c>
      <c r="H985" t="inlineStr">
        <is>
          <t>Usability Issue</t>
        </is>
      </c>
      <c r="I985" t="inlineStr">
        <is>
          <t>Raising this again after our last business review. Our new admins struggle with the automation canvas; there is no guidance or validation. We estimate we lose roughly 21 hours a month on this. We need a fix before renewal.</t>
        </is>
      </c>
      <c r="J985" t="inlineStr">
        <is>
          <t>Negative</t>
        </is>
      </c>
      <c r="K985" t="inlineStr">
        <is>
          <t>Medium</t>
        </is>
      </c>
      <c r="L985" t="inlineStr">
        <is>
          <t>Minor Inconvenience</t>
        </is>
      </c>
      <c r="M985" t="inlineStr">
        <is>
          <t>wf_builder</t>
        </is>
      </c>
      <c r="N985" t="inlineStr">
        <is>
          <t>Confusing workflow builder</t>
        </is>
      </c>
      <c r="O985" t="inlineStr">
        <is>
          <t>2026-06</t>
        </is>
      </c>
    </row>
    <row r="986">
      <c r="A986" t="inlineStr">
        <is>
          <t>FB-00985</t>
        </is>
      </c>
      <c r="B986" t="inlineStr">
        <is>
          <t>CUST-0394</t>
        </is>
      </c>
      <c r="C986" s="11" t="n">
        <v>46190</v>
      </c>
      <c r="D986" t="inlineStr">
        <is>
          <t>In-App Feedback</t>
        </is>
      </c>
      <c r="E986" t="inlineStr">
        <is>
          <t>Enterprise</t>
        </is>
      </c>
      <c r="F986" t="inlineStr">
        <is>
          <t>Enterprise</t>
        </is>
      </c>
      <c r="G986" t="inlineStr">
        <is>
          <t>Contact Management</t>
        </is>
      </c>
      <c r="H986" t="inlineStr">
        <is>
          <t>Performance Issue</t>
        </is>
      </c>
      <c r="I986" t="inlineStr">
        <is>
          <t>Escalating on behalf of our ops lead. Combining several conditions in contact search makes the page hang. Our RevOps lead flagged it while onboarding 30 new users.</t>
        </is>
      </c>
      <c r="J986" t="inlineStr">
        <is>
          <t>Negative</t>
        </is>
      </c>
      <c r="K986" t="inlineStr">
        <is>
          <t>High</t>
        </is>
      </c>
      <c r="L986" t="inlineStr">
        <is>
          <t>Blocks Key Task</t>
        </is>
      </c>
      <c r="M986" t="inlineStr">
        <is>
          <t>contact_search</t>
        </is>
      </c>
      <c r="N986" t="inlineStr">
        <is>
          <t>Slow contact search</t>
        </is>
      </c>
      <c r="O986" t="inlineStr">
        <is>
          <t>2026-06</t>
        </is>
      </c>
    </row>
    <row r="987">
      <c r="A987" t="inlineStr">
        <is>
          <t>FB-00986</t>
        </is>
      </c>
      <c r="B987" t="inlineStr">
        <is>
          <t>CUST-0054</t>
        </is>
      </c>
      <c r="C987" s="11" t="n">
        <v>46190</v>
      </c>
      <c r="D987" t="inlineStr">
        <is>
          <t>Support Ticket</t>
        </is>
      </c>
      <c r="E987" t="inlineStr">
        <is>
          <t>Enterprise</t>
        </is>
      </c>
      <c r="F987" t="inlineStr">
        <is>
          <t>Enterprise</t>
        </is>
      </c>
      <c r="G987" t="inlineStr">
        <is>
          <t>Integrations</t>
        </is>
      </c>
      <c r="H987" t="inlineStr">
        <is>
          <t>Integration Issue</t>
        </is>
      </c>
      <c r="I987" t="inlineStr">
        <is>
          <t>Our integration partner flagged API rate limits as a risk for the project. Our admin flagged it while onboarding 102 new users. Happy to join a feedback call.</t>
        </is>
      </c>
      <c r="J987" t="inlineStr">
        <is>
          <t>Neutral</t>
        </is>
      </c>
      <c r="K987" t="inlineStr">
        <is>
          <t>Medium</t>
        </is>
      </c>
      <c r="L987" t="inlineStr">
        <is>
          <t>Workflow Slowdown</t>
        </is>
      </c>
      <c r="M987" t="inlineStr">
        <is>
          <t>int_api</t>
        </is>
      </c>
      <c r="N987" t="inlineStr">
        <is>
          <t>API limits and webhook failures</t>
        </is>
      </c>
      <c r="O987" t="inlineStr">
        <is>
          <t>2026-06</t>
        </is>
      </c>
    </row>
    <row r="988">
      <c r="A988" t="inlineStr">
        <is>
          <t>FB-00987</t>
        </is>
      </c>
      <c r="B988" t="inlineStr">
        <is>
          <t>CUST-0094</t>
        </is>
      </c>
      <c r="C988" s="11" t="n">
        <v>46190</v>
      </c>
      <c r="D988" t="inlineStr">
        <is>
          <t>In-App Feedback</t>
        </is>
      </c>
      <c r="E988" t="inlineStr">
        <is>
          <t>Professional</t>
        </is>
      </c>
      <c r="F988" t="inlineStr">
        <is>
          <t>SMB</t>
        </is>
      </c>
      <c r="G988" t="inlineStr">
        <is>
          <t>Reporting</t>
        </is>
      </c>
      <c r="H988" t="inlineStr">
        <is>
          <t>Bug</t>
        </is>
      </c>
      <c r="I988" t="inlineStr">
        <is>
          <t>Our Excel export drops formatting and shows dates as numbers.</t>
        </is>
      </c>
      <c r="J988" t="inlineStr">
        <is>
          <t>Neutral</t>
        </is>
      </c>
      <c r="K988" t="inlineStr">
        <is>
          <t>Medium</t>
        </is>
      </c>
      <c r="L988" t="inlineStr">
        <is>
          <t>Workflow Slowdown</t>
        </is>
      </c>
      <c r="M988" t="inlineStr">
        <is>
          <t>rep_export</t>
        </is>
      </c>
      <c r="N988" t="inlineStr">
        <is>
          <t>Broken report exports</t>
        </is>
      </c>
      <c r="O988" t="inlineStr">
        <is>
          <t>2026-06</t>
        </is>
      </c>
    </row>
    <row r="989">
      <c r="A989" t="inlineStr">
        <is>
          <t>FB-00988</t>
        </is>
      </c>
      <c r="B989" t="inlineStr">
        <is>
          <t>CUST-0002</t>
        </is>
      </c>
      <c r="C989" s="11" t="n">
        <v>46191</v>
      </c>
      <c r="D989" t="inlineStr">
        <is>
          <t>Customer Survey</t>
        </is>
      </c>
      <c r="E989" t="inlineStr">
        <is>
          <t>Starter</t>
        </is>
      </c>
      <c r="F989" t="inlineStr">
        <is>
          <t>SMB</t>
        </is>
      </c>
      <c r="G989" t="inlineStr">
        <is>
          <t>Workflow Automation</t>
        </is>
      </c>
      <c r="H989" t="inlineStr">
        <is>
          <t>Feature Request</t>
        </is>
      </c>
      <c r="I989" t="inlineStr">
        <is>
          <t>FYI for the product team. Please provide prebuilt automations for common processes like onboarding and renewals. It happens about 29 times a week for our team of 5. Happy to join a feedback call.</t>
        </is>
      </c>
      <c r="J989" t="inlineStr">
        <is>
          <t>Neutral</t>
        </is>
      </c>
      <c r="K989" t="inlineStr">
        <is>
          <t>High</t>
        </is>
      </c>
      <c r="L989" t="inlineStr">
        <is>
          <t>Blocks Key Task</t>
        </is>
      </c>
      <c r="M989" t="inlineStr">
        <is>
          <t>wf_templates</t>
        </is>
      </c>
      <c r="N989" t="inlineStr">
        <is>
          <t>Workflow templates</t>
        </is>
      </c>
      <c r="O989" t="inlineStr">
        <is>
          <t>2026-06</t>
        </is>
      </c>
    </row>
    <row r="990">
      <c r="A990" t="inlineStr">
        <is>
          <t>FB-00989</t>
        </is>
      </c>
      <c r="B990" t="inlineStr">
        <is>
          <t>CUST-0286</t>
        </is>
      </c>
      <c r="C990" s="11" t="n">
        <v>46191</v>
      </c>
      <c r="D990" t="inlineStr">
        <is>
          <t>Feature Request</t>
        </is>
      </c>
      <c r="E990" t="inlineStr">
        <is>
          <t>Enterprise</t>
        </is>
      </c>
      <c r="F990" t="inlineStr">
        <is>
          <t>Enterprise</t>
        </is>
      </c>
      <c r="G990" t="inlineStr">
        <is>
          <t>Workflow Automation</t>
        </is>
      </c>
      <c r="H990" t="inlineStr">
        <is>
          <t>Feature Request</t>
        </is>
      </c>
      <c r="I990" t="inlineStr">
        <is>
          <t>Please provide prebuilt automations for common processes like onboarding and renewals.</t>
        </is>
      </c>
      <c r="J990" t="inlineStr">
        <is>
          <t>Neutral</t>
        </is>
      </c>
      <c r="K990" t="inlineStr">
        <is>
          <t>High</t>
        </is>
      </c>
      <c r="L990" t="inlineStr">
        <is>
          <t>Workflow Slowdown</t>
        </is>
      </c>
      <c r="M990" t="inlineStr">
        <is>
          <t>wf_templates</t>
        </is>
      </c>
      <c r="N990" t="inlineStr">
        <is>
          <t>Workflow templates</t>
        </is>
      </c>
      <c r="O990" t="inlineStr">
        <is>
          <t>2026-06</t>
        </is>
      </c>
    </row>
    <row r="991">
      <c r="A991" t="inlineStr">
        <is>
          <t>FB-00990</t>
        </is>
      </c>
      <c r="B991" t="inlineStr">
        <is>
          <t>CUST-0210</t>
        </is>
      </c>
      <c r="C991" s="11" t="n">
        <v>46191</v>
      </c>
      <c r="D991" t="inlineStr">
        <is>
          <t>Feature Request</t>
        </is>
      </c>
      <c r="E991" t="inlineStr">
        <is>
          <t>Professional</t>
        </is>
      </c>
      <c r="F991" t="inlineStr">
        <is>
          <t>Mid-Market</t>
        </is>
      </c>
      <c r="G991" t="inlineStr">
        <is>
          <t>Lead Management</t>
        </is>
      </c>
      <c r="H991" t="inlineStr">
        <is>
          <t>Feature Request</t>
        </is>
      </c>
      <c r="I991" t="inlineStr">
        <is>
          <t>Overall we like the product. Right now reps rank leads by gut feel; lead scoring rules would fix that. So far 50 people on our side have reported it. Thanks to the team.</t>
        </is>
      </c>
      <c r="J991" t="inlineStr">
        <is>
          <t>Positive</t>
        </is>
      </c>
      <c r="K991" t="inlineStr">
        <is>
          <t>Low</t>
        </is>
      </c>
      <c r="L991" t="inlineStr">
        <is>
          <t>Minor Inconvenience</t>
        </is>
      </c>
      <c r="M991" t="inlineStr">
        <is>
          <t>lead_score</t>
        </is>
      </c>
      <c r="N991" t="inlineStr">
        <is>
          <t>Automated lead scoring</t>
        </is>
      </c>
      <c r="O991" t="inlineStr">
        <is>
          <t>2026-06</t>
        </is>
      </c>
    </row>
    <row r="992">
      <c r="A992" t="inlineStr">
        <is>
          <t>FB-00991</t>
        </is>
      </c>
      <c r="B992" t="inlineStr">
        <is>
          <t>CUST-0107</t>
        </is>
      </c>
      <c r="C992" s="11" t="n">
        <v>46191</v>
      </c>
      <c r="D992" t="inlineStr">
        <is>
          <t>Feature Request</t>
        </is>
      </c>
      <c r="E992" t="inlineStr">
        <is>
          <t>Starter</t>
        </is>
      </c>
      <c r="F992" t="inlineStr">
        <is>
          <t>SMB</t>
        </is>
      </c>
      <c r="G992" t="inlineStr">
        <is>
          <t>Contact Management</t>
        </is>
      </c>
      <c r="H992" t="inlineStr">
        <is>
          <t>Feature Request</t>
        </is>
      </c>
      <c r="I992" t="inlineStr">
        <is>
          <t>Noting this during onboarding. Contact de-duplication tooling that keeps activity history would save our ops team hours. It happens about 23 times a week for our team of 95. Let us know if you need examples.</t>
        </is>
      </c>
      <c r="J992" t="inlineStr">
        <is>
          <t>Neutral</t>
        </is>
      </c>
      <c r="K992" t="inlineStr">
        <is>
          <t>Low</t>
        </is>
      </c>
      <c r="L992" t="inlineStr">
        <is>
          <t>Minor Inconvenience</t>
        </is>
      </c>
      <c r="M992" t="inlineStr">
        <is>
          <t>contact_dedupe</t>
        </is>
      </c>
      <c r="N992" t="inlineStr">
        <is>
          <t>Bulk contact merge</t>
        </is>
      </c>
      <c r="O992" t="inlineStr">
        <is>
          <t>2026-06</t>
        </is>
      </c>
    </row>
    <row r="993">
      <c r="A993" t="inlineStr">
        <is>
          <t>FB-00992</t>
        </is>
      </c>
      <c r="B993" t="inlineStr">
        <is>
          <t>CUST-0347</t>
        </is>
      </c>
      <c r="C993" s="11" t="n">
        <v>46191</v>
      </c>
      <c r="D993" t="inlineStr">
        <is>
          <t>Support Ticket</t>
        </is>
      </c>
      <c r="E993" t="inlineStr">
        <is>
          <t>Starter</t>
        </is>
      </c>
      <c r="F993" t="inlineStr">
        <is>
          <t>SMB</t>
        </is>
      </c>
      <c r="G993" t="inlineStr">
        <is>
          <t>Contact Management</t>
        </is>
      </c>
      <c r="H993" t="inlineStr">
        <is>
          <t>Bug</t>
        </is>
      </c>
      <c r="I993" t="inlineStr">
        <is>
          <t>Our spreadsheet import scrambles phone and email columns even after we map them correctly. Please look into it soon.</t>
        </is>
      </c>
      <c r="J993" t="inlineStr">
        <is>
          <t>Negative</t>
        </is>
      </c>
      <c r="K993" t="inlineStr">
        <is>
          <t>Medium</t>
        </is>
      </c>
      <c r="L993" t="inlineStr">
        <is>
          <t>Workflow Slowdown</t>
        </is>
      </c>
      <c r="M993" t="inlineStr">
        <is>
          <t>contact_import</t>
        </is>
      </c>
      <c r="N993" t="inlineStr">
        <is>
          <t>Unreliable contact imports</t>
        </is>
      </c>
      <c r="O993" t="inlineStr">
        <is>
          <t>2026-06</t>
        </is>
      </c>
    </row>
    <row r="994">
      <c r="A994" t="inlineStr">
        <is>
          <t>FB-00993</t>
        </is>
      </c>
      <c r="B994" t="inlineStr">
        <is>
          <t>CUST-0096</t>
        </is>
      </c>
      <c r="C994" s="11" t="n">
        <v>46192</v>
      </c>
      <c r="D994" t="inlineStr">
        <is>
          <t>Feature Request</t>
        </is>
      </c>
      <c r="E994" t="inlineStr">
        <is>
          <t>Enterprise</t>
        </is>
      </c>
      <c r="F994" t="inlineStr">
        <is>
          <t>Enterprise</t>
        </is>
      </c>
      <c r="G994" t="inlineStr">
        <is>
          <t>Integrations</t>
        </is>
      </c>
      <c r="H994" t="inlineStr">
        <is>
          <t>Feature Request</t>
        </is>
      </c>
      <c r="I994" t="inlineStr">
        <is>
          <t>FYI for the product team. Our security team requires SSO support before we can expand seats. It affects our quarterly planning process every cycle.</t>
        </is>
      </c>
      <c r="J994" t="inlineStr">
        <is>
          <t>Neutral</t>
        </is>
      </c>
      <c r="K994" t="inlineStr">
        <is>
          <t>Low</t>
        </is>
      </c>
      <c r="L994" t="inlineStr">
        <is>
          <t>Blocks Key Task</t>
        </is>
      </c>
      <c r="M994" t="inlineStr">
        <is>
          <t>int_sso</t>
        </is>
      </c>
      <c r="N994" t="inlineStr">
        <is>
          <t>SSO and provisioning</t>
        </is>
      </c>
      <c r="O994" t="inlineStr">
        <is>
          <t>2026-06</t>
        </is>
      </c>
    </row>
    <row r="995">
      <c r="A995" t="inlineStr">
        <is>
          <t>FB-00994</t>
        </is>
      </c>
      <c r="B995" t="inlineStr">
        <is>
          <t>CUST-0107</t>
        </is>
      </c>
      <c r="C995" s="11" t="n">
        <v>46192</v>
      </c>
      <c r="D995" t="inlineStr">
        <is>
          <t>Customer Survey</t>
        </is>
      </c>
      <c r="E995" t="inlineStr">
        <is>
          <t>Starter</t>
        </is>
      </c>
      <c r="F995" t="inlineStr">
        <is>
          <t>SMB</t>
        </is>
      </c>
      <c r="G995" t="inlineStr">
        <is>
          <t>User Interface</t>
        </is>
      </c>
      <c r="H995" t="inlineStr">
        <is>
          <t>Feature Request</t>
        </is>
      </c>
      <c r="I995" t="inlineStr">
        <is>
          <t>Sharing this from our team. Please prioritize offline mobile access; the mobile web view is hard to use. So far 94 people on our side have reported it. Happy to join a feedback call.</t>
        </is>
      </c>
      <c r="J995" t="inlineStr">
        <is>
          <t>Neutral</t>
        </is>
      </c>
      <c r="K995" t="inlineStr">
        <is>
          <t>Medium</t>
        </is>
      </c>
      <c r="L995" t="inlineStr">
        <is>
          <t>Minor Inconvenience</t>
        </is>
      </c>
      <c r="M995" t="inlineStr">
        <is>
          <t>ui_mobile</t>
        </is>
      </c>
      <c r="N995" t="inlineStr">
        <is>
          <t>Mobile app</t>
        </is>
      </c>
      <c r="O995" t="inlineStr">
        <is>
          <t>2026-06</t>
        </is>
      </c>
    </row>
    <row r="996">
      <c r="A996" t="inlineStr">
        <is>
          <t>FB-00995</t>
        </is>
      </c>
      <c r="B996" t="inlineStr">
        <is>
          <t>CUST-0261</t>
        </is>
      </c>
      <c r="C996" s="11" t="n">
        <v>46192</v>
      </c>
      <c r="D996" t="inlineStr">
        <is>
          <t>In-App Feedback</t>
        </is>
      </c>
      <c r="E996" t="inlineStr">
        <is>
          <t>Professional</t>
        </is>
      </c>
      <c r="F996" t="inlineStr">
        <is>
          <t>Enterprise</t>
        </is>
      </c>
      <c r="G996" t="inlineStr">
        <is>
          <t>Integrations</t>
        </is>
      </c>
      <c r="H996" t="inlineStr">
        <is>
          <t>Integration Issue</t>
        </is>
      </c>
      <c r="I996" t="inlineStr">
        <is>
          <t>After the token expires, Outlook calendar sync stops with no warning. It affects our quarterly planning process every cycle.</t>
        </is>
      </c>
      <c r="J996" t="inlineStr">
        <is>
          <t>Neutral</t>
        </is>
      </c>
      <c r="K996" t="inlineStr">
        <is>
          <t>High</t>
        </is>
      </c>
      <c r="L996" t="inlineStr">
        <is>
          <t>Blocks Key Task</t>
        </is>
      </c>
      <c r="M996" t="inlineStr">
        <is>
          <t>int_email</t>
        </is>
      </c>
      <c r="N996" t="inlineStr">
        <is>
          <t>Email and calendar sync drops</t>
        </is>
      </c>
      <c r="O996" t="inlineStr">
        <is>
          <t>2026-06</t>
        </is>
      </c>
    </row>
    <row r="997">
      <c r="A997" t="inlineStr">
        <is>
          <t>FB-00996</t>
        </is>
      </c>
      <c r="B997" t="inlineStr">
        <is>
          <t>CUST-0418</t>
        </is>
      </c>
      <c r="C997" s="11" t="n">
        <v>46192</v>
      </c>
      <c r="D997" t="inlineStr">
        <is>
          <t>Feature Request</t>
        </is>
      </c>
      <c r="E997" t="inlineStr">
        <is>
          <t>Professional</t>
        </is>
      </c>
      <c r="F997" t="inlineStr">
        <is>
          <t>Mid-Market</t>
        </is>
      </c>
      <c r="G997" t="inlineStr">
        <is>
          <t>User Interface</t>
        </is>
      </c>
      <c r="H997" t="inlineStr">
        <is>
          <t>Feature Request</t>
        </is>
      </c>
      <c r="I997" t="inlineStr">
        <is>
          <t>Happy with most of the product. Please prioritize a mobile app; the mobile web view is hard to use.</t>
        </is>
      </c>
      <c r="J997" t="inlineStr">
        <is>
          <t>Positive</t>
        </is>
      </c>
      <c r="K997" t="inlineStr">
        <is>
          <t>Low</t>
        </is>
      </c>
      <c r="L997" t="inlineStr">
        <is>
          <t>Minor Inconvenience</t>
        </is>
      </c>
      <c r="M997" t="inlineStr">
        <is>
          <t>ui_mobile</t>
        </is>
      </c>
      <c r="N997" t="inlineStr">
        <is>
          <t>Mobile app</t>
        </is>
      </c>
      <c r="O997" t="inlineStr">
        <is>
          <t>2026-06</t>
        </is>
      </c>
    </row>
    <row r="998">
      <c r="A998" t="inlineStr">
        <is>
          <t>FB-00997</t>
        </is>
      </c>
      <c r="B998" t="inlineStr">
        <is>
          <t>CUST-0338</t>
        </is>
      </c>
      <c r="C998" s="11" t="n">
        <v>46192</v>
      </c>
      <c r="D998" t="inlineStr">
        <is>
          <t>Support Ticket</t>
        </is>
      </c>
      <c r="E998" t="inlineStr">
        <is>
          <t>Professional</t>
        </is>
      </c>
      <c r="F998" t="inlineStr">
        <is>
          <t>Mid-Market</t>
        </is>
      </c>
      <c r="G998" t="inlineStr">
        <is>
          <t>User Interface</t>
        </is>
      </c>
      <c r="H998" t="inlineStr">
        <is>
          <t>Performance Issue</t>
        </is>
      </c>
      <c r="I998" t="inlineStr">
        <is>
          <t>Quick note from our admin. Since the redesign there is more UI freezing on older laptops. We estimate we lose roughly 47 hours a month on this. Happy to join a feedback call.</t>
        </is>
      </c>
      <c r="J998" t="inlineStr">
        <is>
          <t>Neutral</t>
        </is>
      </c>
      <c r="K998" t="inlineStr">
        <is>
          <t>Low</t>
        </is>
      </c>
      <c r="L998" t="inlineStr">
        <is>
          <t>Minor Inconvenience</t>
        </is>
      </c>
      <c r="M998" t="inlineStr">
        <is>
          <t>ui_perf</t>
        </is>
      </c>
      <c r="N998" t="inlineStr">
        <is>
          <t>Laggy pages</t>
        </is>
      </c>
      <c r="O998" t="inlineStr">
        <is>
          <t>2026-06</t>
        </is>
      </c>
    </row>
    <row r="999">
      <c r="A999" t="inlineStr">
        <is>
          <t>FB-00998</t>
        </is>
      </c>
      <c r="B999" t="inlineStr">
        <is>
          <t>CUST-0117</t>
        </is>
      </c>
      <c r="C999" s="11" t="n">
        <v>46192</v>
      </c>
      <c r="D999" t="inlineStr">
        <is>
          <t>Support Ticket</t>
        </is>
      </c>
      <c r="E999" t="inlineStr">
        <is>
          <t>Professional</t>
        </is>
      </c>
      <c r="F999" t="inlineStr">
        <is>
          <t>Mid-Market</t>
        </is>
      </c>
      <c r="G999" t="inlineStr">
        <is>
          <t>Contact Management</t>
        </is>
      </c>
      <c r="H999" t="inlineStr">
        <is>
          <t>Bug</t>
        </is>
      </c>
      <c r="I999" t="inlineStr">
        <is>
          <t>Not what we expected for the price. The spreadsheet import rejects files with accented characters in names. Our admin flagged it while onboarding 109 new users. Is there a workaround?</t>
        </is>
      </c>
      <c r="J999" t="inlineStr">
        <is>
          <t>Negative</t>
        </is>
      </c>
      <c r="K999" t="inlineStr">
        <is>
          <t>High</t>
        </is>
      </c>
      <c r="L999" t="inlineStr">
        <is>
          <t>Workflow Slowdown</t>
        </is>
      </c>
      <c r="M999" t="inlineStr">
        <is>
          <t>contact_import</t>
        </is>
      </c>
      <c r="N999" t="inlineStr">
        <is>
          <t>Unreliable contact imports</t>
        </is>
      </c>
      <c r="O999" t="inlineStr">
        <is>
          <t>2026-06</t>
        </is>
      </c>
    </row>
    <row r="1000">
      <c r="A1000" t="inlineStr">
        <is>
          <t>FB-00999</t>
        </is>
      </c>
      <c r="B1000" t="inlineStr">
        <is>
          <t>CUST-0203</t>
        </is>
      </c>
      <c r="C1000" s="11" t="n">
        <v>46193</v>
      </c>
      <c r="D1000" t="inlineStr">
        <is>
          <t>Customer Survey</t>
        </is>
      </c>
      <c r="E1000" t="inlineStr">
        <is>
          <t>Professional</t>
        </is>
      </c>
      <c r="F1000" t="inlineStr">
        <is>
          <t>Mid-Market</t>
        </is>
      </c>
      <c r="G1000" t="inlineStr">
        <is>
          <t>Reporting</t>
        </is>
      </c>
      <c r="H1000" t="inlineStr">
        <is>
          <t>Feature Request</t>
        </is>
      </c>
      <c r="I1000" t="inlineStr">
        <is>
          <t>Requesting report scheduling so leadership gets numbers without logging in. Happy to join a feedback call.</t>
        </is>
      </c>
      <c r="J1000" t="inlineStr">
        <is>
          <t>Neutral</t>
        </is>
      </c>
      <c r="K1000" t="inlineStr">
        <is>
          <t>Low</t>
        </is>
      </c>
      <c r="L1000" t="inlineStr">
        <is>
          <t>Minor Inconvenience</t>
        </is>
      </c>
      <c r="M1000" t="inlineStr">
        <is>
          <t>rep_custom</t>
        </is>
      </c>
      <c r="N1000" t="inlineStr">
        <is>
          <t>Custom and scheduled reports</t>
        </is>
      </c>
      <c r="O1000" t="inlineStr">
        <is>
          <t>2026-06</t>
        </is>
      </c>
    </row>
    <row r="1001">
      <c r="A1001" t="inlineStr">
        <is>
          <t>FB-01000</t>
        </is>
      </c>
      <c r="B1001" t="inlineStr">
        <is>
          <t>CUST-0153</t>
        </is>
      </c>
      <c r="C1001" s="11" t="n">
        <v>46193</v>
      </c>
      <c r="D1001" t="inlineStr">
        <is>
          <t>Feature Request</t>
        </is>
      </c>
      <c r="E1001" t="inlineStr">
        <is>
          <t>Enterprise</t>
        </is>
      </c>
      <c r="F1001" t="inlineStr">
        <is>
          <t>Enterprise</t>
        </is>
      </c>
      <c r="G1001" t="inlineStr">
        <is>
          <t>Contact Management</t>
        </is>
      </c>
      <c r="H1001" t="inlineStr">
        <is>
          <t>Feature Request</t>
        </is>
      </c>
      <c r="I1001" t="inlineStr">
        <is>
          <t>We need a tool to merge duplicate contacts because our database has years of overlapping records. Our customer success lead flagged it while onboarding 109 new users. Happy to join a feedback call.</t>
        </is>
      </c>
      <c r="J1001" t="inlineStr">
        <is>
          <t>Neutral</t>
        </is>
      </c>
      <c r="K1001" t="inlineStr">
        <is>
          <t>Medium</t>
        </is>
      </c>
      <c r="L1001" t="inlineStr">
        <is>
          <t>Workflow Slowdown</t>
        </is>
      </c>
      <c r="M1001" t="inlineStr">
        <is>
          <t>contact_dedupe</t>
        </is>
      </c>
      <c r="N1001" t="inlineStr">
        <is>
          <t>Bulk contact merge</t>
        </is>
      </c>
      <c r="O1001" t="inlineStr">
        <is>
          <t>2026-06</t>
        </is>
      </c>
    </row>
    <row r="1002">
      <c r="A1002" t="inlineStr">
        <is>
          <t>FB-01001</t>
        </is>
      </c>
      <c r="B1002" t="inlineStr">
        <is>
          <t>CUST-0046</t>
        </is>
      </c>
      <c r="C1002" s="11" t="n">
        <v>46193</v>
      </c>
      <c r="D1002" t="inlineStr">
        <is>
          <t>Customer Survey</t>
        </is>
      </c>
      <c r="E1002" t="inlineStr">
        <is>
          <t>Professional</t>
        </is>
      </c>
      <c r="F1002" t="inlineStr">
        <is>
          <t>Mid-Market</t>
        </is>
      </c>
      <c r="G1002" t="inlineStr">
        <is>
          <t>Integrations</t>
        </is>
      </c>
      <c r="H1002" t="inlineStr">
        <is>
          <t>Integration Issue</t>
        </is>
      </c>
      <c r="I1002" t="inlineStr">
        <is>
          <t>Our integration partner flagged API timeouts as a risk for the project. It affects our onboarding process every cycle.</t>
        </is>
      </c>
      <c r="J1002" t="inlineStr">
        <is>
          <t>Neutral</t>
        </is>
      </c>
      <c r="K1002" t="inlineStr">
        <is>
          <t>Medium</t>
        </is>
      </c>
      <c r="L1002" t="inlineStr">
        <is>
          <t>Minor Inconvenience</t>
        </is>
      </c>
      <c r="M1002" t="inlineStr">
        <is>
          <t>int_api</t>
        </is>
      </c>
      <c r="N1002" t="inlineStr">
        <is>
          <t>API limits and webhook failures</t>
        </is>
      </c>
      <c r="O1002" t="inlineStr">
        <is>
          <t>2026-06</t>
        </is>
      </c>
    </row>
    <row r="1003">
      <c r="A1003" t="inlineStr">
        <is>
          <t>FB-01002</t>
        </is>
      </c>
      <c r="B1003" t="inlineStr">
        <is>
          <t>CUST-0074</t>
        </is>
      </c>
      <c r="C1003" s="11" t="n">
        <v>46193</v>
      </c>
      <c r="D1003" t="inlineStr">
        <is>
          <t>Support Ticket</t>
        </is>
      </c>
      <c r="E1003" t="inlineStr">
        <is>
          <t>Enterprise</t>
        </is>
      </c>
      <c r="F1003" t="inlineStr">
        <is>
          <t>Mid-Market</t>
        </is>
      </c>
      <c r="G1003" t="inlineStr">
        <is>
          <t>Workflow Automation</t>
        </is>
      </c>
      <c r="H1003" t="inlineStr">
        <is>
          <t>Bug</t>
        </is>
      </c>
      <c r="I1003" t="inlineStr">
        <is>
          <t>Frustrated with this one. Several automation misfires left deals stuck in the wrong stage. Support suggested logging it here.</t>
        </is>
      </c>
      <c r="J1003" t="inlineStr">
        <is>
          <t>Negative</t>
        </is>
      </c>
      <c r="K1003" t="inlineStr">
        <is>
          <t>High</t>
        </is>
      </c>
      <c r="L1003" t="inlineStr">
        <is>
          <t>Blocks Key Task</t>
        </is>
      </c>
      <c r="M1003" t="inlineStr">
        <is>
          <t>wf_fail</t>
        </is>
      </c>
      <c r="N1003" t="inlineStr">
        <is>
          <t>Workflows failing silently</t>
        </is>
      </c>
      <c r="O1003" t="inlineStr">
        <is>
          <t>2026-06</t>
        </is>
      </c>
    </row>
    <row r="1004">
      <c r="A1004" t="inlineStr">
        <is>
          <t>FB-01003</t>
        </is>
      </c>
      <c r="B1004" t="inlineStr">
        <is>
          <t>CUST-0358</t>
        </is>
      </c>
      <c r="C1004" s="11" t="n">
        <v>46194</v>
      </c>
      <c r="D1004" t="inlineStr">
        <is>
          <t>Customer Survey</t>
        </is>
      </c>
      <c r="E1004" t="inlineStr">
        <is>
          <t>Starter</t>
        </is>
      </c>
      <c r="F1004" t="inlineStr">
        <is>
          <t>Mid-Market</t>
        </is>
      </c>
      <c r="G1004" t="inlineStr">
        <is>
          <t>User Interface</t>
        </is>
      </c>
      <c r="H1004" t="inlineStr">
        <is>
          <t>Usability Issue</t>
        </is>
      </c>
      <c r="I1004" t="inlineStr">
        <is>
          <t>This has been a recurring problem for us. Too many clicks to reach common screens because of the navigation menu. So far 105 people on our side have reported it. We need a fix before renewal.</t>
        </is>
      </c>
      <c r="J1004" t="inlineStr">
        <is>
          <t>Negative</t>
        </is>
      </c>
      <c r="K1004" t="inlineStr">
        <is>
          <t>Medium</t>
        </is>
      </c>
      <c r="L1004" t="inlineStr">
        <is>
          <t>Blocks Key Task</t>
        </is>
      </c>
      <c r="M1004" t="inlineStr">
        <is>
          <t>ui_nav</t>
        </is>
      </c>
      <c r="N1004" t="inlineStr">
        <is>
          <t>Cluttered navigation</t>
        </is>
      </c>
      <c r="O1004" t="inlineStr">
        <is>
          <t>2026-06</t>
        </is>
      </c>
    </row>
    <row r="1005">
      <c r="A1005" t="inlineStr">
        <is>
          <t>FB-01004</t>
        </is>
      </c>
      <c r="B1005" t="inlineStr">
        <is>
          <t>CUST-0002</t>
        </is>
      </c>
      <c r="C1005" s="11" t="n">
        <v>46194</v>
      </c>
      <c r="D1005" t="inlineStr">
        <is>
          <t>In-App Feedback</t>
        </is>
      </c>
      <c r="E1005" t="inlineStr">
        <is>
          <t>Starter</t>
        </is>
      </c>
      <c r="F1005" t="inlineStr">
        <is>
          <t>SMB</t>
        </is>
      </c>
      <c r="G1005" t="inlineStr">
        <is>
          <t>Lead Management</t>
        </is>
      </c>
      <c r="H1005" t="inlineStr">
        <is>
          <t>Performance Issue</t>
        </is>
      </c>
      <c r="I1005" t="inlineStr">
        <is>
          <t>Reps have stopped using the board because of lead view load times. We estimate we lose roughly 47 hours a month on this. Please look into it soon.</t>
        </is>
      </c>
      <c r="J1005" t="inlineStr">
        <is>
          <t>Negative</t>
        </is>
      </c>
      <c r="K1005" t="inlineStr">
        <is>
          <t>Medium</t>
        </is>
      </c>
      <c r="L1005" t="inlineStr">
        <is>
          <t>Workflow Slowdown</t>
        </is>
      </c>
      <c r="M1005" t="inlineStr">
        <is>
          <t>lead_slow</t>
        </is>
      </c>
      <c r="N1005" t="inlineStr">
        <is>
          <t>Slow lead lists and pipeline board</t>
        </is>
      </c>
      <c r="O1005" t="inlineStr">
        <is>
          <t>2026-06</t>
        </is>
      </c>
    </row>
    <row r="1006">
      <c r="A1006" t="inlineStr">
        <is>
          <t>FB-01005</t>
        </is>
      </c>
      <c r="B1006" t="inlineStr">
        <is>
          <t>CUST-0204</t>
        </is>
      </c>
      <c r="C1006" s="11" t="n">
        <v>46194</v>
      </c>
      <c r="D1006" t="inlineStr">
        <is>
          <t>Support Ticket</t>
        </is>
      </c>
      <c r="E1006" t="inlineStr">
        <is>
          <t>Enterprise</t>
        </is>
      </c>
      <c r="F1006" t="inlineStr">
        <is>
          <t>Enterprise</t>
        </is>
      </c>
      <c r="G1006" t="inlineStr">
        <is>
          <t>Integrations</t>
        </is>
      </c>
      <c r="H1006" t="inlineStr">
        <is>
          <t>Feature Request</t>
        </is>
      </c>
      <c r="I1006" t="inlineStr">
        <is>
          <t>Noting this during onboarding. Please add SSO support; managing users by hand does not scale. Happy to join a feedback call.</t>
        </is>
      </c>
      <c r="J1006" t="inlineStr">
        <is>
          <t>Neutral</t>
        </is>
      </c>
      <c r="K1006" t="inlineStr">
        <is>
          <t>Low</t>
        </is>
      </c>
      <c r="L1006" t="inlineStr">
        <is>
          <t>Workflow Slowdown</t>
        </is>
      </c>
      <c r="M1006" t="inlineStr">
        <is>
          <t>int_sso</t>
        </is>
      </c>
      <c r="N1006" t="inlineStr">
        <is>
          <t>SSO and provisioning</t>
        </is>
      </c>
      <c r="O1006" t="inlineStr">
        <is>
          <t>2026-06</t>
        </is>
      </c>
    </row>
    <row r="1007">
      <c r="A1007" t="inlineStr">
        <is>
          <t>FB-01006</t>
        </is>
      </c>
      <c r="B1007" t="inlineStr">
        <is>
          <t>CUST-0126</t>
        </is>
      </c>
      <c r="C1007" s="11" t="n">
        <v>46194</v>
      </c>
      <c r="D1007" t="inlineStr">
        <is>
          <t>Customer Survey</t>
        </is>
      </c>
      <c r="E1007" t="inlineStr">
        <is>
          <t>Professional</t>
        </is>
      </c>
      <c r="F1007" t="inlineStr">
        <is>
          <t>Mid-Market</t>
        </is>
      </c>
      <c r="G1007" t="inlineStr">
        <is>
          <t>User Interface</t>
        </is>
      </c>
      <c r="H1007" t="inlineStr">
        <is>
          <t>Usability Issue</t>
        </is>
      </c>
      <c r="I1007" t="inlineStr">
        <is>
          <t>FYI for the product team. Too many clicks to reach common screens because of the settings navigation. Let us know if you need examples.</t>
        </is>
      </c>
      <c r="J1007" t="inlineStr">
        <is>
          <t>Neutral</t>
        </is>
      </c>
      <c r="K1007" t="inlineStr">
        <is>
          <t>Low</t>
        </is>
      </c>
      <c r="L1007" t="inlineStr">
        <is>
          <t>Minor Inconvenience</t>
        </is>
      </c>
      <c r="M1007" t="inlineStr">
        <is>
          <t>ui_nav</t>
        </is>
      </c>
      <c r="N1007" t="inlineStr">
        <is>
          <t>Cluttered navigation</t>
        </is>
      </c>
      <c r="O1007" t="inlineStr">
        <is>
          <t>2026-06</t>
        </is>
      </c>
    </row>
    <row r="1008">
      <c r="A1008" t="inlineStr">
        <is>
          <t>FB-01007</t>
        </is>
      </c>
      <c r="B1008" t="inlineStr">
        <is>
          <t>CUST-0152</t>
        </is>
      </c>
      <c r="C1008" s="11" t="n">
        <v>46194</v>
      </c>
      <c r="D1008" t="inlineStr">
        <is>
          <t>Support Ticket</t>
        </is>
      </c>
      <c r="E1008" t="inlineStr">
        <is>
          <t>Enterprise</t>
        </is>
      </c>
      <c r="F1008" t="inlineStr">
        <is>
          <t>Enterprise</t>
        </is>
      </c>
      <c r="G1008" t="inlineStr">
        <is>
          <t>Lead Management</t>
        </is>
      </c>
      <c r="H1008" t="inlineStr">
        <is>
          <t>Bug</t>
        </is>
      </c>
      <c r="I1008" t="inlineStr">
        <is>
          <t>Sharing this from our team. We are seeing duplicated leads when a lead arrives from both the website and a trade-show list. It affects our lead handoff process every cycle. Happy to join a feedback call.</t>
        </is>
      </c>
      <c r="J1008" t="inlineStr">
        <is>
          <t>Neutral</t>
        </is>
      </c>
      <c r="K1008" t="inlineStr">
        <is>
          <t>Medium</t>
        </is>
      </c>
      <c r="L1008" t="inlineStr">
        <is>
          <t>Workflow Slowdown</t>
        </is>
      </c>
      <c r="M1008" t="inlineStr">
        <is>
          <t>lead_dup</t>
        </is>
      </c>
      <c r="N1008" t="inlineStr">
        <is>
          <t>Duplicate leads created</t>
        </is>
      </c>
      <c r="O1008" t="inlineStr">
        <is>
          <t>2026-06</t>
        </is>
      </c>
    </row>
    <row r="1009">
      <c r="A1009" t="inlineStr">
        <is>
          <t>FB-01008</t>
        </is>
      </c>
      <c r="B1009" t="inlineStr">
        <is>
          <t>CUST-0322</t>
        </is>
      </c>
      <c r="C1009" s="11" t="n">
        <v>46194</v>
      </c>
      <c r="D1009" t="inlineStr">
        <is>
          <t>In-App Feedback</t>
        </is>
      </c>
      <c r="E1009" t="inlineStr">
        <is>
          <t>Starter</t>
        </is>
      </c>
      <c r="F1009" t="inlineStr">
        <is>
          <t>SMB</t>
        </is>
      </c>
      <c r="G1009" t="inlineStr">
        <is>
          <t>User Interface</t>
        </is>
      </c>
      <c r="H1009" t="inlineStr">
        <is>
          <t>Usability Issue</t>
        </is>
      </c>
      <c r="I1009" t="inlineStr">
        <is>
          <t>Sharing this from our team. New hires get lost in the navigation menu; it takes weeks to learn. We estimate we lose roughly 39 hours a month on this.</t>
        </is>
      </c>
      <c r="J1009" t="inlineStr">
        <is>
          <t>Neutral</t>
        </is>
      </c>
      <c r="K1009" t="inlineStr">
        <is>
          <t>Low</t>
        </is>
      </c>
      <c r="L1009" t="inlineStr">
        <is>
          <t>Minor Inconvenience</t>
        </is>
      </c>
      <c r="M1009" t="inlineStr">
        <is>
          <t>ui_nav</t>
        </is>
      </c>
      <c r="N1009" t="inlineStr">
        <is>
          <t>Cluttered navigation</t>
        </is>
      </c>
      <c r="O1009" t="inlineStr">
        <is>
          <t>2026-06</t>
        </is>
      </c>
    </row>
    <row r="1010">
      <c r="A1010" t="inlineStr">
        <is>
          <t>FB-01009</t>
        </is>
      </c>
      <c r="B1010" t="inlineStr">
        <is>
          <t>CUST-0054</t>
        </is>
      </c>
      <c r="C1010" s="11" t="n">
        <v>46194</v>
      </c>
      <c r="D1010" t="inlineStr">
        <is>
          <t>In-App Feedback</t>
        </is>
      </c>
      <c r="E1010" t="inlineStr">
        <is>
          <t>Enterprise</t>
        </is>
      </c>
      <c r="F1010" t="inlineStr">
        <is>
          <t>Enterprise</t>
        </is>
      </c>
      <c r="G1010" t="inlineStr">
        <is>
          <t>Workflow Automation</t>
        </is>
      </c>
      <c r="H1010" t="inlineStr">
        <is>
          <t>Feature Request</t>
        </is>
      </c>
      <c r="I1010" t="inlineStr">
        <is>
          <t>Great support experience recently. We'd adopt automation faster with workflow templates we could customize. So far 10 people on our side have reported it. Thanks to the team.</t>
        </is>
      </c>
      <c r="J1010" t="inlineStr">
        <is>
          <t>Positive</t>
        </is>
      </c>
      <c r="K1010" t="inlineStr">
        <is>
          <t>Low</t>
        </is>
      </c>
      <c r="L1010" t="inlineStr">
        <is>
          <t>Minor Inconvenience</t>
        </is>
      </c>
      <c r="M1010" t="inlineStr">
        <is>
          <t>wf_templates</t>
        </is>
      </c>
      <c r="N1010" t="inlineStr">
        <is>
          <t>Workflow templates</t>
        </is>
      </c>
      <c r="O1010" t="inlineStr">
        <is>
          <t>2026-06</t>
        </is>
      </c>
    </row>
    <row r="1011">
      <c r="A1011" t="inlineStr">
        <is>
          <t>FB-01010</t>
        </is>
      </c>
      <c r="B1011" t="inlineStr">
        <is>
          <t>CUST-0227</t>
        </is>
      </c>
      <c r="C1011" s="11" t="n">
        <v>46194</v>
      </c>
      <c r="D1011" t="inlineStr">
        <is>
          <t>Support Ticket</t>
        </is>
      </c>
      <c r="E1011" t="inlineStr">
        <is>
          <t>Enterprise</t>
        </is>
      </c>
      <c r="F1011" t="inlineStr">
        <is>
          <t>Enterprise</t>
        </is>
      </c>
      <c r="G1011" t="inlineStr">
        <is>
          <t>Workflow Automation</t>
        </is>
      </c>
      <c r="H1011" t="inlineStr">
        <is>
          <t>Bug</t>
        </is>
      </c>
      <c r="I1011" t="inlineStr">
        <is>
          <t>Several automation misfires left deals stuck in the wrong stage. Happy to join a feedback call.</t>
        </is>
      </c>
      <c r="J1011" t="inlineStr">
        <is>
          <t>Neutral</t>
        </is>
      </c>
      <c r="K1011" t="inlineStr">
        <is>
          <t>Critical</t>
        </is>
      </c>
      <c r="L1011" t="inlineStr">
        <is>
          <t>Workflow Slowdown</t>
        </is>
      </c>
      <c r="M1011" t="inlineStr">
        <is>
          <t>wf_fail</t>
        </is>
      </c>
      <c r="N1011" t="inlineStr">
        <is>
          <t>Workflows failing silently</t>
        </is>
      </c>
      <c r="O1011" t="inlineStr">
        <is>
          <t>2026-06</t>
        </is>
      </c>
    </row>
    <row r="1012">
      <c r="A1012" t="inlineStr">
        <is>
          <t>FB-01011</t>
        </is>
      </c>
      <c r="B1012" t="inlineStr">
        <is>
          <t>CUST-0073</t>
        </is>
      </c>
      <c r="C1012" s="11" t="n">
        <v>46195</v>
      </c>
      <c r="D1012" t="inlineStr">
        <is>
          <t>Customer Survey</t>
        </is>
      </c>
      <c r="E1012" t="inlineStr">
        <is>
          <t>Starter</t>
        </is>
      </c>
      <c r="F1012" t="inlineStr">
        <is>
          <t>SMB</t>
        </is>
      </c>
      <c r="G1012" t="inlineStr">
        <is>
          <t>User Interface</t>
        </is>
      </c>
      <c r="H1012" t="inlineStr">
        <is>
          <t>Feature Request</t>
        </is>
      </c>
      <c r="I1012" t="inlineStr">
        <is>
          <t>We lose notes whenever reps are away from a desk without offline mobile access. So far 108 people on our side have reported it. Happy to join a feedback call.</t>
        </is>
      </c>
      <c r="J1012" t="inlineStr">
        <is>
          <t>Neutral</t>
        </is>
      </c>
      <c r="K1012" t="inlineStr">
        <is>
          <t>Low</t>
        </is>
      </c>
      <c r="L1012" t="inlineStr">
        <is>
          <t>Minor Inconvenience</t>
        </is>
      </c>
      <c r="M1012" t="inlineStr">
        <is>
          <t>ui_mobile</t>
        </is>
      </c>
      <c r="N1012" t="inlineStr">
        <is>
          <t>Mobile app</t>
        </is>
      </c>
      <c r="O1012" t="inlineStr">
        <is>
          <t>2026-06</t>
        </is>
      </c>
    </row>
    <row r="1013">
      <c r="A1013" t="inlineStr">
        <is>
          <t>FB-01012</t>
        </is>
      </c>
      <c r="B1013" t="inlineStr">
        <is>
          <t>CUST-0413</t>
        </is>
      </c>
      <c r="C1013" s="11" t="n">
        <v>46195</v>
      </c>
      <c r="D1013" t="inlineStr">
        <is>
          <t>In-App Feedback</t>
        </is>
      </c>
      <c r="E1013" t="inlineStr">
        <is>
          <t>Professional</t>
        </is>
      </c>
      <c r="F1013" t="inlineStr">
        <is>
          <t>SMB</t>
        </is>
      </c>
      <c r="G1013" t="inlineStr">
        <is>
          <t>Integrations</t>
        </is>
      </c>
      <c r="H1013" t="inlineStr">
        <is>
          <t>Integration Issue</t>
        </is>
      </c>
      <c r="I1013" t="inlineStr">
        <is>
          <t>Frustrated with this one. The Outlook calendar sync duplicates meetings and misses replies.</t>
        </is>
      </c>
      <c r="J1013" t="inlineStr">
        <is>
          <t>Negative</t>
        </is>
      </c>
      <c r="K1013" t="inlineStr">
        <is>
          <t>Medium</t>
        </is>
      </c>
      <c r="L1013" t="inlineStr">
        <is>
          <t>Workflow Slowdown</t>
        </is>
      </c>
      <c r="M1013" t="inlineStr">
        <is>
          <t>int_email</t>
        </is>
      </c>
      <c r="N1013" t="inlineStr">
        <is>
          <t>Email and calendar sync drops</t>
        </is>
      </c>
      <c r="O1013" t="inlineStr">
        <is>
          <t>2026-06</t>
        </is>
      </c>
    </row>
    <row r="1014">
      <c r="A1014" t="inlineStr">
        <is>
          <t>FB-01013</t>
        </is>
      </c>
      <c r="B1014" t="inlineStr">
        <is>
          <t>CUST-0147</t>
        </is>
      </c>
      <c r="C1014" s="11" t="n">
        <v>46195</v>
      </c>
      <c r="D1014" t="inlineStr">
        <is>
          <t>Support Ticket</t>
        </is>
      </c>
      <c r="E1014" t="inlineStr">
        <is>
          <t>Enterprise</t>
        </is>
      </c>
      <c r="F1014" t="inlineStr">
        <is>
          <t>Enterprise</t>
        </is>
      </c>
      <c r="G1014" t="inlineStr">
        <is>
          <t>User Interface</t>
        </is>
      </c>
      <c r="H1014" t="inlineStr">
        <is>
          <t>Performance Issue</t>
        </is>
      </c>
      <c r="I1014" t="inlineStr">
        <is>
          <t>Not what we expected for the price. The page lag gets worse in the afternoon. Please look into it soon.</t>
        </is>
      </c>
      <c r="J1014" t="inlineStr">
        <is>
          <t>Negative</t>
        </is>
      </c>
      <c r="K1014" t="inlineStr">
        <is>
          <t>Medium</t>
        </is>
      </c>
      <c r="L1014" t="inlineStr">
        <is>
          <t>Blocks Key Task</t>
        </is>
      </c>
      <c r="M1014" t="inlineStr">
        <is>
          <t>ui_perf</t>
        </is>
      </c>
      <c r="N1014" t="inlineStr">
        <is>
          <t>Laggy pages</t>
        </is>
      </c>
      <c r="O1014" t="inlineStr">
        <is>
          <t>2026-06</t>
        </is>
      </c>
    </row>
    <row r="1015">
      <c r="A1015" t="inlineStr">
        <is>
          <t>FB-01014</t>
        </is>
      </c>
      <c r="B1015" t="inlineStr">
        <is>
          <t>CUST-0060</t>
        </is>
      </c>
      <c r="C1015" s="11" t="n">
        <v>46195</v>
      </c>
      <c r="D1015" t="inlineStr">
        <is>
          <t>Feature Request</t>
        </is>
      </c>
      <c r="E1015" t="inlineStr">
        <is>
          <t>Starter</t>
        </is>
      </c>
      <c r="F1015" t="inlineStr">
        <is>
          <t>SMB</t>
        </is>
      </c>
      <c r="G1015" t="inlineStr">
        <is>
          <t>User Interface</t>
        </is>
      </c>
      <c r="H1015" t="inlineStr">
        <is>
          <t>Feature Request</t>
        </is>
      </c>
      <c r="I1015" t="inlineStr">
        <is>
          <t>Sharing this from our team. Requesting mobile call logging so reps can log activity right after a meeting.</t>
        </is>
      </c>
      <c r="J1015" t="inlineStr">
        <is>
          <t>Neutral</t>
        </is>
      </c>
      <c r="K1015" t="inlineStr">
        <is>
          <t>Low</t>
        </is>
      </c>
      <c r="L1015" t="inlineStr">
        <is>
          <t>Minor Inconvenience</t>
        </is>
      </c>
      <c r="M1015" t="inlineStr">
        <is>
          <t>ui_mobile</t>
        </is>
      </c>
      <c r="N1015" t="inlineStr">
        <is>
          <t>Mobile app</t>
        </is>
      </c>
      <c r="O1015" t="inlineStr">
        <is>
          <t>2026-06</t>
        </is>
      </c>
    </row>
    <row r="1016">
      <c r="A1016" t="inlineStr">
        <is>
          <t>FB-01015</t>
        </is>
      </c>
      <c r="B1016" t="inlineStr">
        <is>
          <t>CUST-0341</t>
        </is>
      </c>
      <c r="C1016" s="11" t="n">
        <v>46195</v>
      </c>
      <c r="D1016" t="inlineStr">
        <is>
          <t>Feature Request</t>
        </is>
      </c>
      <c r="E1016" t="inlineStr">
        <is>
          <t>Starter</t>
        </is>
      </c>
      <c r="F1016" t="inlineStr">
        <is>
          <t>SMB</t>
        </is>
      </c>
      <c r="G1016" t="inlineStr">
        <is>
          <t>User Interface</t>
        </is>
      </c>
      <c r="H1016" t="inlineStr">
        <is>
          <t>Feature Request</t>
        </is>
      </c>
      <c r="I1016" t="inlineStr">
        <is>
          <t>We lose notes whenever reps are away from a desk without mobile call logging. Is there a workaround?</t>
        </is>
      </c>
      <c r="J1016" t="inlineStr">
        <is>
          <t>Negative</t>
        </is>
      </c>
      <c r="K1016" t="inlineStr">
        <is>
          <t>Low</t>
        </is>
      </c>
      <c r="L1016" t="inlineStr">
        <is>
          <t>Blocks Key Task</t>
        </is>
      </c>
      <c r="M1016" t="inlineStr">
        <is>
          <t>ui_mobile</t>
        </is>
      </c>
      <c r="N1016" t="inlineStr">
        <is>
          <t>Mobile app</t>
        </is>
      </c>
      <c r="O1016" t="inlineStr">
        <is>
          <t>2026-06</t>
        </is>
      </c>
    </row>
    <row r="1017">
      <c r="A1017" t="inlineStr">
        <is>
          <t>FB-01016</t>
        </is>
      </c>
      <c r="B1017" t="inlineStr">
        <is>
          <t>CUST-0021</t>
        </is>
      </c>
      <c r="C1017" s="11" t="n">
        <v>46195</v>
      </c>
      <c r="D1017" t="inlineStr">
        <is>
          <t>Support Ticket</t>
        </is>
      </c>
      <c r="E1017" t="inlineStr">
        <is>
          <t>Professional</t>
        </is>
      </c>
      <c r="F1017" t="inlineStr">
        <is>
          <t>Mid-Market</t>
        </is>
      </c>
      <c r="G1017" t="inlineStr">
        <is>
          <t>Workflow Automation</t>
        </is>
      </c>
      <c r="H1017" t="inlineStr">
        <is>
          <t>Bug</t>
        </is>
      </c>
      <c r="I1017" t="inlineStr">
        <is>
          <t>Since the last release we've had workflow failures and tasks are being created twice. So far 110 people on our side have reported it.</t>
        </is>
      </c>
      <c r="J1017" t="inlineStr">
        <is>
          <t>Neutral</t>
        </is>
      </c>
      <c r="K1017" t="inlineStr">
        <is>
          <t>Critical</t>
        </is>
      </c>
      <c r="L1017" t="inlineStr">
        <is>
          <t>Revenue/Operations Risk</t>
        </is>
      </c>
      <c r="M1017" t="inlineStr">
        <is>
          <t>wf_fail</t>
        </is>
      </c>
      <c r="N1017" t="inlineStr">
        <is>
          <t>Workflows failing silently</t>
        </is>
      </c>
      <c r="O1017" t="inlineStr">
        <is>
          <t>2026-06</t>
        </is>
      </c>
    </row>
    <row r="1018">
      <c r="A1018" t="inlineStr">
        <is>
          <t>FB-01017</t>
        </is>
      </c>
      <c r="B1018" t="inlineStr">
        <is>
          <t>CUST-0269</t>
        </is>
      </c>
      <c r="C1018" s="11" t="n">
        <v>46196</v>
      </c>
      <c r="D1018" t="inlineStr">
        <is>
          <t>Support Ticket</t>
        </is>
      </c>
      <c r="E1018" t="inlineStr">
        <is>
          <t>Professional</t>
        </is>
      </c>
      <c r="F1018" t="inlineStr">
        <is>
          <t>SMB</t>
        </is>
      </c>
      <c r="G1018" t="inlineStr">
        <is>
          <t>User Interface</t>
        </is>
      </c>
      <c r="H1018" t="inlineStr">
        <is>
          <t>Performance Issue</t>
        </is>
      </c>
      <c r="I1018" t="inlineStr">
        <is>
          <t>Frustrated with this one. The page lag gets worse in the afternoon.</t>
        </is>
      </c>
      <c r="J1018" t="inlineStr">
        <is>
          <t>Negative</t>
        </is>
      </c>
      <c r="K1018" t="inlineStr">
        <is>
          <t>Medium</t>
        </is>
      </c>
      <c r="L1018" t="inlineStr">
        <is>
          <t>Revenue/Operations Risk</t>
        </is>
      </c>
      <c r="M1018" t="inlineStr">
        <is>
          <t>ui_perf</t>
        </is>
      </c>
      <c r="N1018" t="inlineStr">
        <is>
          <t>Laggy pages</t>
        </is>
      </c>
      <c r="O1018" t="inlineStr">
        <is>
          <t>2026-06</t>
        </is>
      </c>
    </row>
    <row r="1019">
      <c r="A1019" t="inlineStr">
        <is>
          <t>FB-01018</t>
        </is>
      </c>
      <c r="B1019" t="inlineStr">
        <is>
          <t>CUST-0197</t>
        </is>
      </c>
      <c r="C1019" s="11" t="n">
        <v>46196</v>
      </c>
      <c r="D1019" t="inlineStr">
        <is>
          <t>Support Ticket</t>
        </is>
      </c>
      <c r="E1019" t="inlineStr">
        <is>
          <t>Professional</t>
        </is>
      </c>
      <c r="F1019" t="inlineStr">
        <is>
          <t>Mid-Market</t>
        </is>
      </c>
      <c r="G1019" t="inlineStr">
        <is>
          <t>Workflow Automation</t>
        </is>
      </c>
      <c r="H1019" t="inlineStr">
        <is>
          <t>Bug</t>
        </is>
      </c>
      <c r="I1019" t="inlineStr">
        <is>
          <t>This has been a recurring problem for us. Since the last release we've had automation misfires and tasks are being created twice. Our marketing ops owner flagged it while onboarding 65 new users.</t>
        </is>
      </c>
      <c r="J1019" t="inlineStr">
        <is>
          <t>Negative</t>
        </is>
      </c>
      <c r="K1019" t="inlineStr">
        <is>
          <t>Medium</t>
        </is>
      </c>
      <c r="L1019" t="inlineStr">
        <is>
          <t>Minor Inconvenience</t>
        </is>
      </c>
      <c r="M1019" t="inlineStr">
        <is>
          <t>wf_fail</t>
        </is>
      </c>
      <c r="N1019" t="inlineStr">
        <is>
          <t>Workflows failing silently</t>
        </is>
      </c>
      <c r="O1019" t="inlineStr">
        <is>
          <t>2026-06</t>
        </is>
      </c>
    </row>
    <row r="1020">
      <c r="A1020" t="inlineStr">
        <is>
          <t>FB-01019</t>
        </is>
      </c>
      <c r="B1020" t="inlineStr">
        <is>
          <t>CUST-0349</t>
        </is>
      </c>
      <c r="C1020" s="11" t="n">
        <v>46196</v>
      </c>
      <c r="D1020" t="inlineStr">
        <is>
          <t>Support Ticket</t>
        </is>
      </c>
      <c r="E1020" t="inlineStr">
        <is>
          <t>Professional</t>
        </is>
      </c>
      <c r="F1020" t="inlineStr">
        <is>
          <t>Mid-Market</t>
        </is>
      </c>
      <c r="G1020" t="inlineStr">
        <is>
          <t>Integrations</t>
        </is>
      </c>
      <c r="H1020" t="inlineStr">
        <is>
          <t>Integration Issue</t>
        </is>
      </c>
      <c r="I1020" t="inlineStr">
        <is>
          <t>After the token expires, email sync stops with no warning. It happens about 28 times a week for our team of 29. Is there a workaround?</t>
        </is>
      </c>
      <c r="J1020" t="inlineStr">
        <is>
          <t>Negative</t>
        </is>
      </c>
      <c r="K1020" t="inlineStr">
        <is>
          <t>Medium</t>
        </is>
      </c>
      <c r="L1020" t="inlineStr">
        <is>
          <t>Minor Inconvenience</t>
        </is>
      </c>
      <c r="M1020" t="inlineStr">
        <is>
          <t>int_email</t>
        </is>
      </c>
      <c r="N1020" t="inlineStr">
        <is>
          <t>Email and calendar sync drops</t>
        </is>
      </c>
      <c r="O1020" t="inlineStr">
        <is>
          <t>2026-06</t>
        </is>
      </c>
    </row>
    <row r="1021">
      <c r="A1021" t="inlineStr">
        <is>
          <t>FB-01020</t>
        </is>
      </c>
      <c r="B1021" t="inlineStr">
        <is>
          <t>CUST-0092</t>
        </is>
      </c>
      <c r="C1021" s="11" t="n">
        <v>46196</v>
      </c>
      <c r="D1021" t="inlineStr">
        <is>
          <t>Feature Request</t>
        </is>
      </c>
      <c r="E1021" t="inlineStr">
        <is>
          <t>Professional</t>
        </is>
      </c>
      <c r="F1021" t="inlineStr">
        <is>
          <t>Mid-Market</t>
        </is>
      </c>
      <c r="G1021" t="inlineStr">
        <is>
          <t>Workflow Automation</t>
        </is>
      </c>
      <c r="H1021" t="inlineStr">
        <is>
          <t>Feature Request</t>
        </is>
      </c>
      <c r="I1021" t="inlineStr">
        <is>
          <t>Happy with most of the product. Competitors ship prebuilt automations; we are rebuilding the same flows from scratch. It affects our renewal process every cycle.</t>
        </is>
      </c>
      <c r="J1021" t="inlineStr">
        <is>
          <t>Positive</t>
        </is>
      </c>
      <c r="K1021" t="inlineStr">
        <is>
          <t>Low</t>
        </is>
      </c>
      <c r="L1021" t="inlineStr">
        <is>
          <t>Minor Inconvenience</t>
        </is>
      </c>
      <c r="M1021" t="inlineStr">
        <is>
          <t>wf_templates</t>
        </is>
      </c>
      <c r="N1021" t="inlineStr">
        <is>
          <t>Workflow templates</t>
        </is>
      </c>
      <c r="O1021" t="inlineStr">
        <is>
          <t>2026-06</t>
        </is>
      </c>
    </row>
    <row r="1022">
      <c r="A1022" t="inlineStr">
        <is>
          <t>FB-01021</t>
        </is>
      </c>
      <c r="B1022" t="inlineStr">
        <is>
          <t>CUST-0308</t>
        </is>
      </c>
      <c r="C1022" s="11" t="n">
        <v>46196</v>
      </c>
      <c r="D1022" t="inlineStr">
        <is>
          <t>Support Ticket</t>
        </is>
      </c>
      <c r="E1022" t="inlineStr">
        <is>
          <t>Professional</t>
        </is>
      </c>
      <c r="F1022" t="inlineStr">
        <is>
          <t>SMB</t>
        </is>
      </c>
      <c r="G1022" t="inlineStr">
        <is>
          <t>Integrations</t>
        </is>
      </c>
      <c r="H1022" t="inlineStr">
        <is>
          <t>Feature Request</t>
        </is>
      </c>
      <c r="I1022" t="inlineStr">
        <is>
          <t>Feedback from our monthly review. Please build a native Slack integration; our team copies data across systems daily. Let us know if you need examples.</t>
        </is>
      </c>
      <c r="J1022" t="inlineStr">
        <is>
          <t>Neutral</t>
        </is>
      </c>
      <c r="K1022" t="inlineStr">
        <is>
          <t>Medium</t>
        </is>
      </c>
      <c r="L1022" t="inlineStr">
        <is>
          <t>Minor Inconvenience</t>
        </is>
      </c>
      <c r="M1022" t="inlineStr">
        <is>
          <t>int_native</t>
        </is>
      </c>
      <c r="N1022" t="inlineStr">
        <is>
          <t>Native integrations</t>
        </is>
      </c>
      <c r="O1022" t="inlineStr">
        <is>
          <t>2026-06</t>
        </is>
      </c>
    </row>
    <row r="1023">
      <c r="A1023" t="inlineStr">
        <is>
          <t>FB-01022</t>
        </is>
      </c>
      <c r="B1023" t="inlineStr">
        <is>
          <t>CUST-0314</t>
        </is>
      </c>
      <c r="C1023" s="11" t="n">
        <v>46197</v>
      </c>
      <c r="D1023" t="inlineStr">
        <is>
          <t>In-App Feedback</t>
        </is>
      </c>
      <c r="E1023" t="inlineStr">
        <is>
          <t>Enterprise</t>
        </is>
      </c>
      <c r="F1023" t="inlineStr">
        <is>
          <t>Mid-Market</t>
        </is>
      </c>
      <c r="G1023" t="inlineStr">
        <is>
          <t>Integrations</t>
        </is>
      </c>
      <c r="H1023" t="inlineStr">
        <is>
          <t>Feature Request</t>
        </is>
      </c>
      <c r="I1023" t="inlineStr">
        <is>
          <t>FYI for the product team. Please add SCIM provisioning; managing users by hand does not scale.</t>
        </is>
      </c>
      <c r="J1023" t="inlineStr">
        <is>
          <t>Neutral</t>
        </is>
      </c>
      <c r="K1023" t="inlineStr">
        <is>
          <t>Medium</t>
        </is>
      </c>
      <c r="L1023" t="inlineStr">
        <is>
          <t>Workflow Slowdown</t>
        </is>
      </c>
      <c r="M1023" t="inlineStr">
        <is>
          <t>int_sso</t>
        </is>
      </c>
      <c r="N1023" t="inlineStr">
        <is>
          <t>SSO and provisioning</t>
        </is>
      </c>
      <c r="O1023" t="inlineStr">
        <is>
          <t>2026-06</t>
        </is>
      </c>
    </row>
    <row r="1024">
      <c r="A1024" t="inlineStr">
        <is>
          <t>FB-01023</t>
        </is>
      </c>
      <c r="B1024" t="inlineStr">
        <is>
          <t>CUST-0182</t>
        </is>
      </c>
      <c r="C1024" s="11" t="n">
        <v>46197</v>
      </c>
      <c r="D1024" t="inlineStr">
        <is>
          <t>In-App Feedback</t>
        </is>
      </c>
      <c r="E1024" t="inlineStr">
        <is>
          <t>Professional</t>
        </is>
      </c>
      <c r="F1024" t="inlineStr">
        <is>
          <t>Mid-Market</t>
        </is>
      </c>
      <c r="G1024" t="inlineStr">
        <is>
          <t>Workflow Automation</t>
        </is>
      </c>
      <c r="H1024" t="inlineStr">
        <is>
          <t>Feature Request</t>
        </is>
      </c>
      <c r="I1024" t="inlineStr">
        <is>
          <t>Feedback from our monthly review. We'd adopt automation faster with automation recipes we could customize. Let us know if you need examples.</t>
        </is>
      </c>
      <c r="J1024" t="inlineStr">
        <is>
          <t>Neutral</t>
        </is>
      </c>
      <c r="K1024" t="inlineStr">
        <is>
          <t>Low</t>
        </is>
      </c>
      <c r="L1024" t="inlineStr">
        <is>
          <t>Minor Inconvenience</t>
        </is>
      </c>
      <c r="M1024" t="inlineStr">
        <is>
          <t>wf_templates</t>
        </is>
      </c>
      <c r="N1024" t="inlineStr">
        <is>
          <t>Workflow templates</t>
        </is>
      </c>
      <c r="O1024" t="inlineStr">
        <is>
          <t>2026-06</t>
        </is>
      </c>
    </row>
    <row r="1025">
      <c r="A1025" t="inlineStr">
        <is>
          <t>FB-01024</t>
        </is>
      </c>
      <c r="B1025" t="inlineStr">
        <is>
          <t>CUST-0196</t>
        </is>
      </c>
      <c r="C1025" s="11" t="n">
        <v>46197</v>
      </c>
      <c r="D1025" t="inlineStr">
        <is>
          <t>In-App Feedback</t>
        </is>
      </c>
      <c r="E1025" t="inlineStr">
        <is>
          <t>Enterprise</t>
        </is>
      </c>
      <c r="F1025" t="inlineStr">
        <is>
          <t>Enterprise</t>
        </is>
      </c>
      <c r="G1025" t="inlineStr">
        <is>
          <t>Contact Management</t>
        </is>
      </c>
      <c r="H1025" t="inlineStr">
        <is>
          <t>Performance Issue</t>
        </is>
      </c>
      <c r="I1025" t="inlineStr">
        <is>
          <t>Frustrated with this one. We avoid contact search during calls because it takes too long. Please look into it soon.</t>
        </is>
      </c>
      <c r="J1025" t="inlineStr">
        <is>
          <t>Negative</t>
        </is>
      </c>
      <c r="K1025" t="inlineStr">
        <is>
          <t>Medium</t>
        </is>
      </c>
      <c r="L1025" t="inlineStr">
        <is>
          <t>Workflow Slowdown</t>
        </is>
      </c>
      <c r="M1025" t="inlineStr">
        <is>
          <t>contact_search</t>
        </is>
      </c>
      <c r="N1025" t="inlineStr">
        <is>
          <t>Slow contact search</t>
        </is>
      </c>
      <c r="O1025" t="inlineStr">
        <is>
          <t>2026-06</t>
        </is>
      </c>
    </row>
    <row r="1026">
      <c r="A1026" t="inlineStr">
        <is>
          <t>FB-01025</t>
        </is>
      </c>
      <c r="B1026" t="inlineStr">
        <is>
          <t>CUST-0032</t>
        </is>
      </c>
      <c r="C1026" s="11" t="n">
        <v>46197</v>
      </c>
      <c r="D1026" t="inlineStr">
        <is>
          <t>Support Ticket</t>
        </is>
      </c>
      <c r="E1026" t="inlineStr">
        <is>
          <t>Starter</t>
        </is>
      </c>
      <c r="F1026" t="inlineStr">
        <is>
          <t>SMB</t>
        </is>
      </c>
      <c r="G1026" t="inlineStr">
        <is>
          <t>Contact Management</t>
        </is>
      </c>
      <c r="H1026" t="inlineStr">
        <is>
          <t>Bug</t>
        </is>
      </c>
      <c r="I1026" t="inlineStr">
        <is>
          <t>Frustrated with this one. The import field mapping rejects files with accented characters in names. It affects our month-end reporting process every cycle. Please look into it soon.</t>
        </is>
      </c>
      <c r="J1026" t="inlineStr">
        <is>
          <t>Negative</t>
        </is>
      </c>
      <c r="K1026" t="inlineStr">
        <is>
          <t>High</t>
        </is>
      </c>
      <c r="L1026" t="inlineStr">
        <is>
          <t>Workflow Slowdown</t>
        </is>
      </c>
      <c r="M1026" t="inlineStr">
        <is>
          <t>contact_import</t>
        </is>
      </c>
      <c r="N1026" t="inlineStr">
        <is>
          <t>Unreliable contact imports</t>
        </is>
      </c>
      <c r="O1026" t="inlineStr">
        <is>
          <t>2026-06</t>
        </is>
      </c>
    </row>
    <row r="1027">
      <c r="A1027" t="inlineStr">
        <is>
          <t>FB-01026</t>
        </is>
      </c>
      <c r="B1027" t="inlineStr">
        <is>
          <t>CUST-0368</t>
        </is>
      </c>
      <c r="C1027" s="11" t="n">
        <v>46197</v>
      </c>
      <c r="D1027" t="inlineStr">
        <is>
          <t>Support Ticket</t>
        </is>
      </c>
      <c r="E1027" t="inlineStr">
        <is>
          <t>Starter</t>
        </is>
      </c>
      <c r="F1027" t="inlineStr">
        <is>
          <t>SMB</t>
        </is>
      </c>
      <c r="G1027" t="inlineStr">
        <is>
          <t>Contact Management</t>
        </is>
      </c>
      <c r="H1027" t="inlineStr">
        <is>
          <t>Bug</t>
        </is>
      </c>
      <c r="I1027" t="inlineStr">
        <is>
          <t>Frustrated with this one. The import field mapping fails halfway through with a generic error and no row-level detail. So far 53 people on our side have reported it. Support suggested logging it here.</t>
        </is>
      </c>
      <c r="J1027" t="inlineStr">
        <is>
          <t>Negative</t>
        </is>
      </c>
      <c r="K1027" t="inlineStr">
        <is>
          <t>Medium</t>
        </is>
      </c>
      <c r="L1027" t="inlineStr">
        <is>
          <t>Blocks Key Task</t>
        </is>
      </c>
      <c r="M1027" t="inlineStr">
        <is>
          <t>contact_import</t>
        </is>
      </c>
      <c r="N1027" t="inlineStr">
        <is>
          <t>Unreliable contact imports</t>
        </is>
      </c>
      <c r="O1027" t="inlineStr">
        <is>
          <t>2026-06</t>
        </is>
      </c>
    </row>
    <row r="1028">
      <c r="A1028" t="inlineStr">
        <is>
          <t>FB-01027</t>
        </is>
      </c>
      <c r="B1028" t="inlineStr">
        <is>
          <t>CUST-0010</t>
        </is>
      </c>
      <c r="C1028" s="11" t="n">
        <v>46198</v>
      </c>
      <c r="D1028" t="inlineStr">
        <is>
          <t>Feature Request</t>
        </is>
      </c>
      <c r="E1028" t="inlineStr">
        <is>
          <t>Professional</t>
        </is>
      </c>
      <c r="F1028" t="inlineStr">
        <is>
          <t>SMB</t>
        </is>
      </c>
      <c r="G1028" t="inlineStr">
        <is>
          <t>Reporting</t>
        </is>
      </c>
      <c r="H1028" t="inlineStr">
        <is>
          <t>Feature Request</t>
        </is>
      </c>
      <c r="I1028" t="inlineStr">
        <is>
          <t>Not what we expected for the price. Please add sales forecasting; managers keep a separate spreadsheet.</t>
        </is>
      </c>
      <c r="J1028" t="inlineStr">
        <is>
          <t>Negative</t>
        </is>
      </c>
      <c r="K1028" t="inlineStr">
        <is>
          <t>Low</t>
        </is>
      </c>
      <c r="L1028" t="inlineStr">
        <is>
          <t>Minor Inconvenience</t>
        </is>
      </c>
      <c r="M1028" t="inlineStr">
        <is>
          <t>rep_forecast</t>
        </is>
      </c>
      <c r="N1028" t="inlineStr">
        <is>
          <t>Sales forecasting</t>
        </is>
      </c>
      <c r="O1028" t="inlineStr">
        <is>
          <t>2026-06</t>
        </is>
      </c>
    </row>
    <row r="1029">
      <c r="A1029" t="inlineStr">
        <is>
          <t>FB-01028</t>
        </is>
      </c>
      <c r="B1029" t="inlineStr">
        <is>
          <t>CUST-0334</t>
        </is>
      </c>
      <c r="C1029" s="11" t="n">
        <v>46198</v>
      </c>
      <c r="D1029" t="inlineStr">
        <is>
          <t>Feature Request</t>
        </is>
      </c>
      <c r="E1029" t="inlineStr">
        <is>
          <t>Enterprise</t>
        </is>
      </c>
      <c r="F1029" t="inlineStr">
        <is>
          <t>SMB</t>
        </is>
      </c>
      <c r="G1029" t="inlineStr">
        <is>
          <t>Integrations</t>
        </is>
      </c>
      <c r="H1029" t="inlineStr">
        <is>
          <t>Feature Request</t>
        </is>
      </c>
      <c r="I1029" t="inlineStr">
        <is>
          <t>Feedback from our monthly review. Our security team requires SAML login before we can expand seats. So far 105 people on our side have reported it. Let us know if you need examples.</t>
        </is>
      </c>
      <c r="J1029" t="inlineStr">
        <is>
          <t>Neutral</t>
        </is>
      </c>
      <c r="K1029" t="inlineStr">
        <is>
          <t>Medium</t>
        </is>
      </c>
      <c r="L1029" t="inlineStr">
        <is>
          <t>Workflow Slowdown</t>
        </is>
      </c>
      <c r="M1029" t="inlineStr">
        <is>
          <t>int_sso</t>
        </is>
      </c>
      <c r="N1029" t="inlineStr">
        <is>
          <t>SSO and provisioning</t>
        </is>
      </c>
      <c r="O1029" t="inlineStr">
        <is>
          <t>2026-06</t>
        </is>
      </c>
    </row>
    <row r="1030">
      <c r="A1030" t="inlineStr">
        <is>
          <t>FB-01029</t>
        </is>
      </c>
      <c r="B1030" t="inlineStr">
        <is>
          <t>CUST-0030</t>
        </is>
      </c>
      <c r="C1030" s="11" t="n">
        <v>46198</v>
      </c>
      <c r="D1030" t="inlineStr">
        <is>
          <t>Support Ticket</t>
        </is>
      </c>
      <c r="E1030" t="inlineStr">
        <is>
          <t>Professional</t>
        </is>
      </c>
      <c r="F1030" t="inlineStr">
        <is>
          <t>Mid-Market</t>
        </is>
      </c>
      <c r="G1030" t="inlineStr">
        <is>
          <t>Contact Management</t>
        </is>
      </c>
      <c r="H1030" t="inlineStr">
        <is>
          <t>Feature Request</t>
        </is>
      </c>
      <c r="I1030" t="inlineStr">
        <is>
          <t>Quick note from our admin. Please build contact de-duplication tooling with a preview of what will be combined. Our sales manager flagged it while onboarding 98 new users.</t>
        </is>
      </c>
      <c r="J1030" t="inlineStr">
        <is>
          <t>Neutral</t>
        </is>
      </c>
      <c r="K1030" t="inlineStr">
        <is>
          <t>Low</t>
        </is>
      </c>
      <c r="L1030" t="inlineStr">
        <is>
          <t>Minor Inconvenience</t>
        </is>
      </c>
      <c r="M1030" t="inlineStr">
        <is>
          <t>contact_dedupe</t>
        </is>
      </c>
      <c r="N1030" t="inlineStr">
        <is>
          <t>Bulk contact merge</t>
        </is>
      </c>
      <c r="O1030" t="inlineStr">
        <is>
          <t>2026-06</t>
        </is>
      </c>
    </row>
    <row r="1031">
      <c r="A1031" t="inlineStr">
        <is>
          <t>FB-01030</t>
        </is>
      </c>
      <c r="B1031" t="inlineStr">
        <is>
          <t>CUST-0325</t>
        </is>
      </c>
      <c r="C1031" s="11" t="n">
        <v>46198</v>
      </c>
      <c r="D1031" t="inlineStr">
        <is>
          <t>Support Ticket</t>
        </is>
      </c>
      <c r="E1031" t="inlineStr">
        <is>
          <t>Starter</t>
        </is>
      </c>
      <c r="F1031" t="inlineStr">
        <is>
          <t>SMB</t>
        </is>
      </c>
      <c r="G1031" t="inlineStr">
        <is>
          <t>Lead Management</t>
        </is>
      </c>
      <c r="H1031" t="inlineStr">
        <is>
          <t>Performance Issue</t>
        </is>
      </c>
      <c r="I1031" t="inlineStr">
        <is>
          <t>Feedback from our monthly review. Complaint about lead list loading: the board freezes while cards render. Let us know if you need examples.</t>
        </is>
      </c>
      <c r="J1031" t="inlineStr">
        <is>
          <t>Neutral</t>
        </is>
      </c>
      <c r="K1031" t="inlineStr">
        <is>
          <t>Critical</t>
        </is>
      </c>
      <c r="L1031" t="inlineStr">
        <is>
          <t>Blocks Key Task</t>
        </is>
      </c>
      <c r="M1031" t="inlineStr">
        <is>
          <t>lead_slow</t>
        </is>
      </c>
      <c r="N1031" t="inlineStr">
        <is>
          <t>Slow lead lists and pipeline board</t>
        </is>
      </c>
      <c r="O1031" t="inlineStr">
        <is>
          <t>2026-06</t>
        </is>
      </c>
    </row>
    <row r="1032">
      <c r="A1032" t="inlineStr">
        <is>
          <t>FB-01031</t>
        </is>
      </c>
      <c r="B1032" t="inlineStr">
        <is>
          <t>CUST-0185</t>
        </is>
      </c>
      <c r="C1032" s="11" t="n">
        <v>46198</v>
      </c>
      <c r="D1032" t="inlineStr">
        <is>
          <t>Feature Request</t>
        </is>
      </c>
      <c r="E1032" t="inlineStr">
        <is>
          <t>Professional</t>
        </is>
      </c>
      <c r="F1032" t="inlineStr">
        <is>
          <t>Mid-Market</t>
        </is>
      </c>
      <c r="G1032" t="inlineStr">
        <is>
          <t>User Interface</t>
        </is>
      </c>
      <c r="H1032" t="inlineStr">
        <is>
          <t>Feature Request</t>
        </is>
      </c>
      <c r="I1032" t="inlineStr">
        <is>
          <t>Requesting multi-select actions across every list view. Support suggested logging it here.</t>
        </is>
      </c>
      <c r="J1032" t="inlineStr">
        <is>
          <t>Negative</t>
        </is>
      </c>
      <c r="K1032" t="inlineStr">
        <is>
          <t>Low</t>
        </is>
      </c>
      <c r="L1032" t="inlineStr">
        <is>
          <t>Workflow Slowdown</t>
        </is>
      </c>
      <c r="M1032" t="inlineStr">
        <is>
          <t>ui_bulk</t>
        </is>
      </c>
      <c r="N1032" t="inlineStr">
        <is>
          <t>Bulk actions</t>
        </is>
      </c>
      <c r="O1032" t="inlineStr">
        <is>
          <t>2026-06</t>
        </is>
      </c>
    </row>
    <row r="1033">
      <c r="A1033" t="inlineStr">
        <is>
          <t>FB-01032</t>
        </is>
      </c>
      <c r="B1033" t="inlineStr">
        <is>
          <t>CUST-0326</t>
        </is>
      </c>
      <c r="C1033" s="11" t="n">
        <v>46198</v>
      </c>
      <c r="D1033" t="inlineStr">
        <is>
          <t>Support Ticket</t>
        </is>
      </c>
      <c r="E1033" t="inlineStr">
        <is>
          <t>Starter</t>
        </is>
      </c>
      <c r="F1033" t="inlineStr">
        <is>
          <t>SMB</t>
        </is>
      </c>
      <c r="G1033" t="inlineStr">
        <is>
          <t>Contact Management</t>
        </is>
      </c>
      <c r="H1033" t="inlineStr">
        <is>
          <t>Bug</t>
        </is>
      </c>
      <c r="I1033" t="inlineStr">
        <is>
          <t>Raising this again after our last business review. Our import field mapping scrambles phone and email columns even after we map them correctly. Our RevOps lead flagged it while onboarding 74 new users. Support suggested logging it here.</t>
        </is>
      </c>
      <c r="J1033" t="inlineStr">
        <is>
          <t>Negative</t>
        </is>
      </c>
      <c r="K1033" t="inlineStr">
        <is>
          <t>Medium</t>
        </is>
      </c>
      <c r="L1033" t="inlineStr">
        <is>
          <t>Blocks Key Task</t>
        </is>
      </c>
      <c r="M1033" t="inlineStr">
        <is>
          <t>contact_import</t>
        </is>
      </c>
      <c r="N1033" t="inlineStr">
        <is>
          <t>Unreliable contact imports</t>
        </is>
      </c>
      <c r="O1033" t="inlineStr">
        <is>
          <t>2026-06</t>
        </is>
      </c>
    </row>
    <row r="1034">
      <c r="A1034" t="inlineStr">
        <is>
          <t>FB-01033</t>
        </is>
      </c>
      <c r="B1034" t="inlineStr">
        <is>
          <t>CUST-0116</t>
        </is>
      </c>
      <c r="C1034" s="11" t="n">
        <v>46198</v>
      </c>
      <c r="D1034" t="inlineStr">
        <is>
          <t>In-App Feedback</t>
        </is>
      </c>
      <c r="E1034" t="inlineStr">
        <is>
          <t>Professional</t>
        </is>
      </c>
      <c r="F1034" t="inlineStr">
        <is>
          <t>SMB</t>
        </is>
      </c>
      <c r="G1034" t="inlineStr">
        <is>
          <t>Integrations</t>
        </is>
      </c>
      <c r="H1034" t="inlineStr">
        <is>
          <t>Integration Issue</t>
        </is>
      </c>
      <c r="I1034" t="inlineStr">
        <is>
          <t>API timeouts is unreliable and there is no retry or log we can inspect. It happens about 19 times a week for our team of 20.</t>
        </is>
      </c>
      <c r="J1034" t="inlineStr">
        <is>
          <t>Negative</t>
        </is>
      </c>
      <c r="K1034" t="inlineStr">
        <is>
          <t>Critical</t>
        </is>
      </c>
      <c r="L1034" t="inlineStr">
        <is>
          <t>Blocks Key Task</t>
        </is>
      </c>
      <c r="M1034" t="inlineStr">
        <is>
          <t>int_api</t>
        </is>
      </c>
      <c r="N1034" t="inlineStr">
        <is>
          <t>API limits and webhook failures</t>
        </is>
      </c>
      <c r="O1034" t="inlineStr">
        <is>
          <t>2026-06</t>
        </is>
      </c>
    </row>
    <row r="1035">
      <c r="A1035" t="inlineStr">
        <is>
          <t>FB-01034</t>
        </is>
      </c>
      <c r="B1035" t="inlineStr">
        <is>
          <t>CUST-0046</t>
        </is>
      </c>
      <c r="C1035" s="11" t="n">
        <v>46199</v>
      </c>
      <c r="D1035" t="inlineStr">
        <is>
          <t>Support Ticket</t>
        </is>
      </c>
      <c r="E1035" t="inlineStr">
        <is>
          <t>Professional</t>
        </is>
      </c>
      <c r="F1035" t="inlineStr">
        <is>
          <t>Mid-Market</t>
        </is>
      </c>
      <c r="G1035" t="inlineStr">
        <is>
          <t>Contact Management</t>
        </is>
      </c>
      <c r="H1035" t="inlineStr">
        <is>
          <t>Bug</t>
        </is>
      </c>
      <c r="I1035" t="inlineStr">
        <is>
          <t>Frustrated with this one. The contact CSV import silently skipped rows and we only noticed days later. So far 61 people on our side have reported it. Please look into it soon.</t>
        </is>
      </c>
      <c r="J1035" t="inlineStr">
        <is>
          <t>Negative</t>
        </is>
      </c>
      <c r="K1035" t="inlineStr">
        <is>
          <t>Critical</t>
        </is>
      </c>
      <c r="L1035" t="inlineStr">
        <is>
          <t>Blocks Key Task</t>
        </is>
      </c>
      <c r="M1035" t="inlineStr">
        <is>
          <t>contact_import</t>
        </is>
      </c>
      <c r="N1035" t="inlineStr">
        <is>
          <t>Unreliable contact imports</t>
        </is>
      </c>
      <c r="O1035" t="inlineStr">
        <is>
          <t>2026-06</t>
        </is>
      </c>
    </row>
    <row r="1036">
      <c r="A1036" t="inlineStr">
        <is>
          <t>FB-01035</t>
        </is>
      </c>
      <c r="B1036" t="inlineStr">
        <is>
          <t>CUST-0408</t>
        </is>
      </c>
      <c r="C1036" s="11" t="n">
        <v>46199</v>
      </c>
      <c r="D1036" t="inlineStr">
        <is>
          <t>Feature Request</t>
        </is>
      </c>
      <c r="E1036" t="inlineStr">
        <is>
          <t>Starter</t>
        </is>
      </c>
      <c r="F1036" t="inlineStr">
        <is>
          <t>SMB</t>
        </is>
      </c>
      <c r="G1036" t="inlineStr">
        <is>
          <t>Contact Management</t>
        </is>
      </c>
      <c r="H1036" t="inlineStr">
        <is>
          <t>Feature Request</t>
        </is>
      </c>
      <c r="I1036" t="inlineStr">
        <is>
          <t>Please extend a contact relationship hierarchy; the current limit is too small for our use case. We estimate we lose roughly 22 hours a month on this. Happy to join a feedback call.</t>
        </is>
      </c>
      <c r="J1036" t="inlineStr">
        <is>
          <t>Neutral</t>
        </is>
      </c>
      <c r="K1036" t="inlineStr">
        <is>
          <t>Medium</t>
        </is>
      </c>
      <c r="L1036" t="inlineStr">
        <is>
          <t>Workflow Slowdown</t>
        </is>
      </c>
      <c r="M1036" t="inlineStr">
        <is>
          <t>contact_custom</t>
        </is>
      </c>
      <c r="N1036" t="inlineStr">
        <is>
          <t>Custom fields and hierarchy</t>
        </is>
      </c>
      <c r="O1036" t="inlineStr">
        <is>
          <t>2026-06</t>
        </is>
      </c>
    </row>
    <row r="1037">
      <c r="A1037" t="inlineStr">
        <is>
          <t>FB-01036</t>
        </is>
      </c>
      <c r="B1037" t="inlineStr">
        <is>
          <t>CUST-0042</t>
        </is>
      </c>
      <c r="C1037" s="11" t="n">
        <v>46199</v>
      </c>
      <c r="D1037" t="inlineStr">
        <is>
          <t>Support Ticket</t>
        </is>
      </c>
      <c r="E1037" t="inlineStr">
        <is>
          <t>Professional</t>
        </is>
      </c>
      <c r="F1037" t="inlineStr">
        <is>
          <t>Mid-Market</t>
        </is>
      </c>
      <c r="G1037" t="inlineStr">
        <is>
          <t>Integrations</t>
        </is>
      </c>
      <c r="H1037" t="inlineStr">
        <is>
          <t>Integration Issue</t>
        </is>
      </c>
      <c r="I1037" t="inlineStr">
        <is>
          <t>The Gmail sync duplicates meetings and misses replies. We estimate we lose roughly 27 hours a month on this.</t>
        </is>
      </c>
      <c r="J1037" t="inlineStr">
        <is>
          <t>Negative</t>
        </is>
      </c>
      <c r="K1037" t="inlineStr">
        <is>
          <t>Critical</t>
        </is>
      </c>
      <c r="L1037" t="inlineStr">
        <is>
          <t>Blocks Key Task</t>
        </is>
      </c>
      <c r="M1037" t="inlineStr">
        <is>
          <t>int_email</t>
        </is>
      </c>
      <c r="N1037" t="inlineStr">
        <is>
          <t>Email and calendar sync drops</t>
        </is>
      </c>
      <c r="O1037" t="inlineStr">
        <is>
          <t>2026-06</t>
        </is>
      </c>
    </row>
    <row r="1038">
      <c r="A1038" t="inlineStr">
        <is>
          <t>FB-01037</t>
        </is>
      </c>
      <c r="B1038" t="inlineStr">
        <is>
          <t>CUST-0168</t>
        </is>
      </c>
      <c r="C1038" s="11" t="n">
        <v>46199</v>
      </c>
      <c r="D1038" t="inlineStr">
        <is>
          <t>Customer Survey</t>
        </is>
      </c>
      <c r="E1038" t="inlineStr">
        <is>
          <t>Professional</t>
        </is>
      </c>
      <c r="F1038" t="inlineStr">
        <is>
          <t>Mid-Market</t>
        </is>
      </c>
      <c r="G1038" t="inlineStr">
        <is>
          <t>Workflow Automation</t>
        </is>
      </c>
      <c r="H1038" t="inlineStr">
        <is>
          <t>Feature Request</t>
        </is>
      </c>
      <c r="I1038" t="inlineStr">
        <is>
          <t>We'd adopt automation faster with automation recipes we could customize. Let us know if you need examples.</t>
        </is>
      </c>
      <c r="J1038" t="inlineStr">
        <is>
          <t>Neutral</t>
        </is>
      </c>
      <c r="K1038" t="inlineStr">
        <is>
          <t>Low</t>
        </is>
      </c>
      <c r="L1038" t="inlineStr">
        <is>
          <t>Workflow Slowdown</t>
        </is>
      </c>
      <c r="M1038" t="inlineStr">
        <is>
          <t>wf_templates</t>
        </is>
      </c>
      <c r="N1038" t="inlineStr">
        <is>
          <t>Workflow templates</t>
        </is>
      </c>
      <c r="O1038" t="inlineStr">
        <is>
          <t>2026-06</t>
        </is>
      </c>
    </row>
    <row r="1039">
      <c r="A1039" t="inlineStr">
        <is>
          <t>FB-01038</t>
        </is>
      </c>
      <c r="B1039" t="inlineStr">
        <is>
          <t>CUST-0117</t>
        </is>
      </c>
      <c r="C1039" s="11" t="n">
        <v>46199</v>
      </c>
      <c r="D1039" t="inlineStr">
        <is>
          <t>Feature Request</t>
        </is>
      </c>
      <c r="E1039" t="inlineStr">
        <is>
          <t>Professional</t>
        </is>
      </c>
      <c r="F1039" t="inlineStr">
        <is>
          <t>Mid-Market</t>
        </is>
      </c>
      <c r="G1039" t="inlineStr">
        <is>
          <t>User Interface</t>
        </is>
      </c>
      <c r="H1039" t="inlineStr">
        <is>
          <t>Feature Request</t>
        </is>
      </c>
      <c r="I1039" t="inlineStr">
        <is>
          <t>Our team keeps running into this. We lose notes whenever reps are away from a desk without mobile call logging. We need a fix before renewal.</t>
        </is>
      </c>
      <c r="J1039" t="inlineStr">
        <is>
          <t>Negative</t>
        </is>
      </c>
      <c r="K1039" t="inlineStr">
        <is>
          <t>Low</t>
        </is>
      </c>
      <c r="L1039" t="inlineStr">
        <is>
          <t>Minor Inconvenience</t>
        </is>
      </c>
      <c r="M1039" t="inlineStr">
        <is>
          <t>ui_mobile</t>
        </is>
      </c>
      <c r="N1039" t="inlineStr">
        <is>
          <t>Mobile app</t>
        </is>
      </c>
      <c r="O1039" t="inlineStr">
        <is>
          <t>2026-06</t>
        </is>
      </c>
    </row>
    <row r="1040">
      <c r="A1040" t="inlineStr">
        <is>
          <t>FB-01039</t>
        </is>
      </c>
      <c r="B1040" t="inlineStr">
        <is>
          <t>CUST-0042</t>
        </is>
      </c>
      <c r="C1040" s="11" t="n">
        <v>46199</v>
      </c>
      <c r="D1040" t="inlineStr">
        <is>
          <t>Support Ticket</t>
        </is>
      </c>
      <c r="E1040" t="inlineStr">
        <is>
          <t>Professional</t>
        </is>
      </c>
      <c r="F1040" t="inlineStr">
        <is>
          <t>Mid-Market</t>
        </is>
      </c>
      <c r="G1040" t="inlineStr">
        <is>
          <t>Workflow Automation</t>
        </is>
      </c>
      <c r="H1040" t="inlineStr">
        <is>
          <t>Bug</t>
        </is>
      </c>
      <c r="I1040" t="inlineStr">
        <is>
          <t>We are hitting workflow failures: emails don't send and nobody gets notified.</t>
        </is>
      </c>
      <c r="J1040" t="inlineStr">
        <is>
          <t>Negative</t>
        </is>
      </c>
      <c r="K1040" t="inlineStr">
        <is>
          <t>Medium</t>
        </is>
      </c>
      <c r="L1040" t="inlineStr">
        <is>
          <t>Minor Inconvenience</t>
        </is>
      </c>
      <c r="M1040" t="inlineStr">
        <is>
          <t>wf_fail</t>
        </is>
      </c>
      <c r="N1040" t="inlineStr">
        <is>
          <t>Workflows failing silently</t>
        </is>
      </c>
      <c r="O1040" t="inlineStr">
        <is>
          <t>2026-06</t>
        </is>
      </c>
    </row>
    <row r="1041">
      <c r="A1041" t="inlineStr">
        <is>
          <t>FB-01040</t>
        </is>
      </c>
      <c r="B1041" t="inlineStr">
        <is>
          <t>CUST-0146</t>
        </is>
      </c>
      <c r="C1041" s="11" t="n">
        <v>46200</v>
      </c>
      <c r="D1041" t="inlineStr">
        <is>
          <t>Feature Request</t>
        </is>
      </c>
      <c r="E1041" t="inlineStr">
        <is>
          <t>Starter</t>
        </is>
      </c>
      <c r="F1041" t="inlineStr">
        <is>
          <t>SMB</t>
        </is>
      </c>
      <c r="G1041" t="inlineStr">
        <is>
          <t>Workflow Automation</t>
        </is>
      </c>
      <c r="H1041" t="inlineStr">
        <is>
          <t>Feature Request</t>
        </is>
      </c>
      <c r="I1041" t="inlineStr">
        <is>
          <t>Noting this during onboarding. We need approval steps in workflows so managers can sign off on discounts. It affects our weekly pipeline review process every cycle. Happy to join a feedback call.</t>
        </is>
      </c>
      <c r="J1041" t="inlineStr">
        <is>
          <t>Neutral</t>
        </is>
      </c>
      <c r="K1041" t="inlineStr">
        <is>
          <t>Critical</t>
        </is>
      </c>
      <c r="L1041" t="inlineStr">
        <is>
          <t>Revenue/Operations Risk</t>
        </is>
      </c>
      <c r="M1041" t="inlineStr">
        <is>
          <t>wf_approval</t>
        </is>
      </c>
      <c r="N1041" t="inlineStr">
        <is>
          <t>Approval steps in workflows</t>
        </is>
      </c>
      <c r="O1041" t="inlineStr">
        <is>
          <t>2026-06</t>
        </is>
      </c>
    </row>
    <row r="1042">
      <c r="A1042" t="inlineStr">
        <is>
          <t>FB-01041</t>
        </is>
      </c>
      <c r="B1042" t="inlineStr">
        <is>
          <t>CUST-0284</t>
        </is>
      </c>
      <c r="C1042" s="11" t="n">
        <v>46200</v>
      </c>
      <c r="D1042" t="inlineStr">
        <is>
          <t>Customer Survey</t>
        </is>
      </c>
      <c r="E1042" t="inlineStr">
        <is>
          <t>Enterprise</t>
        </is>
      </c>
      <c r="F1042" t="inlineStr">
        <is>
          <t>Enterprise</t>
        </is>
      </c>
      <c r="G1042" t="inlineStr">
        <is>
          <t>Integrations</t>
        </is>
      </c>
      <c r="H1042" t="inlineStr">
        <is>
          <t>Integration Issue</t>
        </is>
      </c>
      <c r="I1042" t="inlineStr">
        <is>
          <t>This has been a recurring problem for us. The Outlook calendar sync duplicates meetings and misses replies. So far 47 people on our side have reported it. Is there a workaround?</t>
        </is>
      </c>
      <c r="J1042" t="inlineStr">
        <is>
          <t>Negative</t>
        </is>
      </c>
      <c r="K1042" t="inlineStr">
        <is>
          <t>Critical</t>
        </is>
      </c>
      <c r="L1042" t="inlineStr">
        <is>
          <t>Blocks Key Task</t>
        </is>
      </c>
      <c r="M1042" t="inlineStr">
        <is>
          <t>int_email</t>
        </is>
      </c>
      <c r="N1042" t="inlineStr">
        <is>
          <t>Email and calendar sync drops</t>
        </is>
      </c>
      <c r="O1042" t="inlineStr">
        <is>
          <t>2026-06</t>
        </is>
      </c>
    </row>
    <row r="1043">
      <c r="A1043" t="inlineStr">
        <is>
          <t>FB-01042</t>
        </is>
      </c>
      <c r="B1043" t="inlineStr">
        <is>
          <t>CUST-0153</t>
        </is>
      </c>
      <c r="C1043" s="11" t="n">
        <v>46200</v>
      </c>
      <c r="D1043" t="inlineStr">
        <is>
          <t>Support Ticket</t>
        </is>
      </c>
      <c r="E1043" t="inlineStr">
        <is>
          <t>Enterprise</t>
        </is>
      </c>
      <c r="F1043" t="inlineStr">
        <is>
          <t>Enterprise</t>
        </is>
      </c>
      <c r="G1043" t="inlineStr">
        <is>
          <t>User Interface</t>
        </is>
      </c>
      <c r="H1043" t="inlineStr">
        <is>
          <t>Performance Issue</t>
        </is>
      </c>
      <c r="I1043" t="inlineStr">
        <is>
          <t>This has been a recurring problem for us. The UI freezing gets worse in the afternoon. So far 11 people on our side have reported it. We need a fix before renewal.</t>
        </is>
      </c>
      <c r="J1043" t="inlineStr">
        <is>
          <t>Negative</t>
        </is>
      </c>
      <c r="K1043" t="inlineStr">
        <is>
          <t>Medium</t>
        </is>
      </c>
      <c r="L1043" t="inlineStr">
        <is>
          <t>Workflow Slowdown</t>
        </is>
      </c>
      <c r="M1043" t="inlineStr">
        <is>
          <t>ui_perf</t>
        </is>
      </c>
      <c r="N1043" t="inlineStr">
        <is>
          <t>Laggy pages</t>
        </is>
      </c>
      <c r="O1043" t="inlineStr">
        <is>
          <t>2026-06</t>
        </is>
      </c>
    </row>
    <row r="1044">
      <c r="A1044" t="inlineStr">
        <is>
          <t>FB-01043</t>
        </is>
      </c>
      <c r="B1044" t="inlineStr">
        <is>
          <t>CUST-0091</t>
        </is>
      </c>
      <c r="C1044" s="11" t="n">
        <v>46200</v>
      </c>
      <c r="D1044" t="inlineStr">
        <is>
          <t>Customer Survey</t>
        </is>
      </c>
      <c r="E1044" t="inlineStr">
        <is>
          <t>Professional</t>
        </is>
      </c>
      <c r="F1044" t="inlineStr">
        <is>
          <t>SMB</t>
        </is>
      </c>
      <c r="G1044" t="inlineStr">
        <is>
          <t>Contact Management</t>
        </is>
      </c>
      <c r="H1044" t="inlineStr">
        <is>
          <t>Feature Request</t>
        </is>
      </c>
      <c r="I1044" t="inlineStr">
        <is>
          <t>Our team keeps running into this. We need a tool to merge duplicate contacts because our database has years of overlapping records.</t>
        </is>
      </c>
      <c r="J1044" t="inlineStr">
        <is>
          <t>Negative</t>
        </is>
      </c>
      <c r="K1044" t="inlineStr">
        <is>
          <t>Low</t>
        </is>
      </c>
      <c r="L1044" t="inlineStr">
        <is>
          <t>Minor Inconvenience</t>
        </is>
      </c>
      <c r="M1044" t="inlineStr">
        <is>
          <t>contact_dedupe</t>
        </is>
      </c>
      <c r="N1044" t="inlineStr">
        <is>
          <t>Bulk contact merge</t>
        </is>
      </c>
      <c r="O1044" t="inlineStr">
        <is>
          <t>2026-06</t>
        </is>
      </c>
    </row>
    <row r="1045">
      <c r="A1045" t="inlineStr">
        <is>
          <t>FB-01044</t>
        </is>
      </c>
      <c r="B1045" t="inlineStr">
        <is>
          <t>CUST-0117</t>
        </is>
      </c>
      <c r="C1045" s="11" t="n">
        <v>46200</v>
      </c>
      <c r="D1045" t="inlineStr">
        <is>
          <t>Customer Survey</t>
        </is>
      </c>
      <c r="E1045" t="inlineStr">
        <is>
          <t>Professional</t>
        </is>
      </c>
      <c r="F1045" t="inlineStr">
        <is>
          <t>Mid-Market</t>
        </is>
      </c>
      <c r="G1045" t="inlineStr">
        <is>
          <t>Contact Management</t>
        </is>
      </c>
      <c r="H1045" t="inlineStr">
        <is>
          <t>Feature Request</t>
        </is>
      </c>
      <c r="I1045" t="inlineStr">
        <is>
          <t>Requesting a contact relationship hierarchy so account managers can see who reports to whom.</t>
        </is>
      </c>
      <c r="J1045" t="inlineStr">
        <is>
          <t>Neutral</t>
        </is>
      </c>
      <c r="K1045" t="inlineStr">
        <is>
          <t>Medium</t>
        </is>
      </c>
      <c r="L1045" t="inlineStr">
        <is>
          <t>Minor Inconvenience</t>
        </is>
      </c>
      <c r="M1045" t="inlineStr">
        <is>
          <t>contact_custom</t>
        </is>
      </c>
      <c r="N1045" t="inlineStr">
        <is>
          <t>Custom fields and hierarchy</t>
        </is>
      </c>
      <c r="O1045" t="inlineStr">
        <is>
          <t>2026-06</t>
        </is>
      </c>
    </row>
    <row r="1046">
      <c r="A1046" t="inlineStr">
        <is>
          <t>FB-01045</t>
        </is>
      </c>
      <c r="B1046" t="inlineStr">
        <is>
          <t>CUST-0216</t>
        </is>
      </c>
      <c r="C1046" s="11" t="n">
        <v>46201</v>
      </c>
      <c r="D1046" t="inlineStr">
        <is>
          <t>In-App Feedback</t>
        </is>
      </c>
      <c r="E1046" t="inlineStr">
        <is>
          <t>Starter</t>
        </is>
      </c>
      <c r="F1046" t="inlineStr">
        <is>
          <t>Mid-Market</t>
        </is>
      </c>
      <c r="G1046" t="inlineStr">
        <is>
          <t>User Interface</t>
        </is>
      </c>
      <c r="H1046" t="inlineStr">
        <is>
          <t>Performance Issue</t>
        </is>
      </c>
      <c r="I1046" t="inlineStr">
        <is>
          <t>Frustrated with this one. Slow page transitions makes data entry frustrating during live calls. It affects our quarterly planning process every cycle. We need a fix before renewal.</t>
        </is>
      </c>
      <c r="J1046" t="inlineStr">
        <is>
          <t>Negative</t>
        </is>
      </c>
      <c r="K1046" t="inlineStr">
        <is>
          <t>Medium</t>
        </is>
      </c>
      <c r="L1046" t="inlineStr">
        <is>
          <t>Minor Inconvenience</t>
        </is>
      </c>
      <c r="M1046" t="inlineStr">
        <is>
          <t>ui_perf</t>
        </is>
      </c>
      <c r="N1046" t="inlineStr">
        <is>
          <t>Laggy pages</t>
        </is>
      </c>
      <c r="O1046" t="inlineStr">
        <is>
          <t>2026-06</t>
        </is>
      </c>
    </row>
    <row r="1047">
      <c r="A1047" t="inlineStr">
        <is>
          <t>FB-01046</t>
        </is>
      </c>
      <c r="B1047" t="inlineStr">
        <is>
          <t>CUST-0250</t>
        </is>
      </c>
      <c r="C1047" s="11" t="n">
        <v>46201</v>
      </c>
      <c r="D1047" t="inlineStr">
        <is>
          <t>In-App Feedback</t>
        </is>
      </c>
      <c r="E1047" t="inlineStr">
        <is>
          <t>Professional</t>
        </is>
      </c>
      <c r="F1047" t="inlineStr">
        <is>
          <t>Mid-Market</t>
        </is>
      </c>
      <c r="G1047" t="inlineStr">
        <is>
          <t>Integrations</t>
        </is>
      </c>
      <c r="H1047" t="inlineStr">
        <is>
          <t>Integration Issue</t>
        </is>
      </c>
      <c r="I1047" t="inlineStr">
        <is>
          <t>Our integration partner flagged API rate limits as a risk for the project. Our customer success lead flagged it while onboarding 91 new users. Happy to join a feedback call.</t>
        </is>
      </c>
      <c r="J1047" t="inlineStr">
        <is>
          <t>Neutral</t>
        </is>
      </c>
      <c r="K1047" t="inlineStr">
        <is>
          <t>Low</t>
        </is>
      </c>
      <c r="L1047" t="inlineStr">
        <is>
          <t>Workflow Slowdown</t>
        </is>
      </c>
      <c r="M1047" t="inlineStr">
        <is>
          <t>int_api</t>
        </is>
      </c>
      <c r="N1047" t="inlineStr">
        <is>
          <t>API limits and webhook failures</t>
        </is>
      </c>
      <c r="O1047" t="inlineStr">
        <is>
          <t>2026-06</t>
        </is>
      </c>
    </row>
    <row r="1048">
      <c r="A1048" t="inlineStr">
        <is>
          <t>FB-01047</t>
        </is>
      </c>
      <c r="B1048" t="inlineStr">
        <is>
          <t>CUST-0142</t>
        </is>
      </c>
      <c r="C1048" s="11" t="n">
        <v>46201</v>
      </c>
      <c r="D1048" t="inlineStr">
        <is>
          <t>Support Ticket</t>
        </is>
      </c>
      <c r="E1048" t="inlineStr">
        <is>
          <t>Professional</t>
        </is>
      </c>
      <c r="F1048" t="inlineStr">
        <is>
          <t>Enterprise</t>
        </is>
      </c>
      <c r="G1048" t="inlineStr">
        <is>
          <t>Workflow Automation</t>
        </is>
      </c>
      <c r="H1048" t="inlineStr">
        <is>
          <t>Feature Request</t>
        </is>
      </c>
      <c r="I1048" t="inlineStr">
        <is>
          <t>Feedback from our monthly review. A library of automation recipes would cut our setup time. Let us know if you need examples.</t>
        </is>
      </c>
      <c r="J1048" t="inlineStr">
        <is>
          <t>Neutral</t>
        </is>
      </c>
      <c r="K1048" t="inlineStr">
        <is>
          <t>Low</t>
        </is>
      </c>
      <c r="L1048" t="inlineStr">
        <is>
          <t>Minor Inconvenience</t>
        </is>
      </c>
      <c r="M1048" t="inlineStr">
        <is>
          <t>wf_templates</t>
        </is>
      </c>
      <c r="N1048" t="inlineStr">
        <is>
          <t>Workflow templates</t>
        </is>
      </c>
      <c r="O1048" t="inlineStr">
        <is>
          <t>2026-06</t>
        </is>
      </c>
    </row>
    <row r="1049">
      <c r="A1049" t="inlineStr">
        <is>
          <t>FB-01048</t>
        </is>
      </c>
      <c r="B1049" t="inlineStr">
        <is>
          <t>CUST-0049</t>
        </is>
      </c>
      <c r="C1049" s="11" t="n">
        <v>46201</v>
      </c>
      <c r="D1049" t="inlineStr">
        <is>
          <t>Support Ticket</t>
        </is>
      </c>
      <c r="E1049" t="inlineStr">
        <is>
          <t>Starter</t>
        </is>
      </c>
      <c r="F1049" t="inlineStr">
        <is>
          <t>SMB</t>
        </is>
      </c>
      <c r="G1049" t="inlineStr">
        <is>
          <t>Lead Management</t>
        </is>
      </c>
      <c r="H1049" t="inlineStr">
        <is>
          <t>Performance Issue</t>
        </is>
      </c>
      <c r="I1049" t="inlineStr">
        <is>
          <t>Complaint about lead list loading: the board freezes while cards render. We estimate we lose roughly 14 hours a month on this.</t>
        </is>
      </c>
      <c r="J1049" t="inlineStr">
        <is>
          <t>Neutral</t>
        </is>
      </c>
      <c r="K1049" t="inlineStr">
        <is>
          <t>Low</t>
        </is>
      </c>
      <c r="L1049" t="inlineStr">
        <is>
          <t>Minor Inconvenience</t>
        </is>
      </c>
      <c r="M1049" t="inlineStr">
        <is>
          <t>lead_slow</t>
        </is>
      </c>
      <c r="N1049" t="inlineStr">
        <is>
          <t>Slow lead lists and pipeline board</t>
        </is>
      </c>
      <c r="O1049" t="inlineStr">
        <is>
          <t>2026-06</t>
        </is>
      </c>
    </row>
    <row r="1050">
      <c r="A1050" t="inlineStr">
        <is>
          <t>FB-01049</t>
        </is>
      </c>
      <c r="B1050" t="inlineStr">
        <is>
          <t>CUST-0243</t>
        </is>
      </c>
      <c r="C1050" s="11" t="n">
        <v>46201</v>
      </c>
      <c r="D1050" t="inlineStr">
        <is>
          <t>Feature Request</t>
        </is>
      </c>
      <c r="E1050" t="inlineStr">
        <is>
          <t>Professional</t>
        </is>
      </c>
      <c r="F1050" t="inlineStr">
        <is>
          <t>SMB</t>
        </is>
      </c>
      <c r="G1050" t="inlineStr">
        <is>
          <t>Contact Management</t>
        </is>
      </c>
      <c r="H1050" t="inlineStr">
        <is>
          <t>Feature Request</t>
        </is>
      </c>
      <c r="I1050" t="inlineStr">
        <is>
          <t>Noting this during onboarding. Requesting custom contact fields so account managers can see who reports to whom. Our marketing ops owner flagged it while onboarding 15 new users. Let us know if you need examples.</t>
        </is>
      </c>
      <c r="J1050" t="inlineStr">
        <is>
          <t>Neutral</t>
        </is>
      </c>
      <c r="K1050" t="inlineStr">
        <is>
          <t>Low</t>
        </is>
      </c>
      <c r="L1050" t="inlineStr">
        <is>
          <t>Minor Inconvenience</t>
        </is>
      </c>
      <c r="M1050" t="inlineStr">
        <is>
          <t>contact_custom</t>
        </is>
      </c>
      <c r="N1050" t="inlineStr">
        <is>
          <t>Custom fields and hierarchy</t>
        </is>
      </c>
      <c r="O1050" t="inlineStr">
        <is>
          <t>2026-06</t>
        </is>
      </c>
    </row>
    <row r="1051">
      <c r="A1051" t="inlineStr">
        <is>
          <t>FB-01050</t>
        </is>
      </c>
      <c r="B1051" t="inlineStr">
        <is>
          <t>CUST-0117</t>
        </is>
      </c>
      <c r="C1051" s="11" t="n">
        <v>46201</v>
      </c>
      <c r="D1051" t="inlineStr">
        <is>
          <t>In-App Feedback</t>
        </is>
      </c>
      <c r="E1051" t="inlineStr">
        <is>
          <t>Professional</t>
        </is>
      </c>
      <c r="F1051" t="inlineStr">
        <is>
          <t>Mid-Market</t>
        </is>
      </c>
      <c r="G1051" t="inlineStr">
        <is>
          <t>User Interface</t>
        </is>
      </c>
      <c r="H1051" t="inlineStr">
        <is>
          <t>Feature Request</t>
        </is>
      </c>
      <c r="I1051" t="inlineStr">
        <is>
          <t>We lose notes whenever reps are away from a desk without a mobile app. Thanks to the team.</t>
        </is>
      </c>
      <c r="J1051" t="inlineStr">
        <is>
          <t>Positive</t>
        </is>
      </c>
      <c r="K1051" t="inlineStr">
        <is>
          <t>Low</t>
        </is>
      </c>
      <c r="L1051" t="inlineStr">
        <is>
          <t>Workflow Slowdown</t>
        </is>
      </c>
      <c r="M1051" t="inlineStr">
        <is>
          <t>ui_mobile</t>
        </is>
      </c>
      <c r="N1051" t="inlineStr">
        <is>
          <t>Mobile app</t>
        </is>
      </c>
      <c r="O1051" t="inlineStr">
        <is>
          <t>2026-06</t>
        </is>
      </c>
    </row>
    <row r="1052">
      <c r="A1052" t="inlineStr">
        <is>
          <t>FB-01051</t>
        </is>
      </c>
      <c r="B1052" t="inlineStr">
        <is>
          <t>CUST-0165</t>
        </is>
      </c>
      <c r="C1052" s="11" t="n">
        <v>46201</v>
      </c>
      <c r="D1052" t="inlineStr">
        <is>
          <t>Customer Survey</t>
        </is>
      </c>
      <c r="E1052" t="inlineStr">
        <is>
          <t>Enterprise</t>
        </is>
      </c>
      <c r="F1052" t="inlineStr">
        <is>
          <t>Mid-Market</t>
        </is>
      </c>
      <c r="G1052" t="inlineStr">
        <is>
          <t>Workflow Automation</t>
        </is>
      </c>
      <c r="H1052" t="inlineStr">
        <is>
          <t>Feature Request</t>
        </is>
      </c>
      <c r="I1052" t="inlineStr">
        <is>
          <t>Great support experience recently. Competitors ship automation recipes; we are rebuilding the same flows from scratch. Thanks to the team.</t>
        </is>
      </c>
      <c r="J1052" t="inlineStr">
        <is>
          <t>Positive</t>
        </is>
      </c>
      <c r="K1052" t="inlineStr">
        <is>
          <t>Low</t>
        </is>
      </c>
      <c r="L1052" t="inlineStr">
        <is>
          <t>Minor Inconvenience</t>
        </is>
      </c>
      <c r="M1052" t="inlineStr">
        <is>
          <t>wf_templates</t>
        </is>
      </c>
      <c r="N1052" t="inlineStr">
        <is>
          <t>Workflow templates</t>
        </is>
      </c>
      <c r="O1052" t="inlineStr">
        <is>
          <t>2026-06</t>
        </is>
      </c>
    </row>
    <row r="1053">
      <c r="A1053" t="inlineStr">
        <is>
          <t>FB-01052</t>
        </is>
      </c>
      <c r="B1053" t="inlineStr">
        <is>
          <t>CUST-0248</t>
        </is>
      </c>
      <c r="C1053" s="11" t="n">
        <v>46202</v>
      </c>
      <c r="D1053" t="inlineStr">
        <is>
          <t>Feature Request</t>
        </is>
      </c>
      <c r="E1053" t="inlineStr">
        <is>
          <t>Starter</t>
        </is>
      </c>
      <c r="F1053" t="inlineStr">
        <is>
          <t>SMB</t>
        </is>
      </c>
      <c r="G1053" t="inlineStr">
        <is>
          <t>Workflow Automation</t>
        </is>
      </c>
      <c r="H1053" t="inlineStr">
        <is>
          <t>Feature Request</t>
        </is>
      </c>
      <c r="I1053" t="inlineStr">
        <is>
          <t>We'd adopt automation faster with automation recipes we could customize. We estimate we lose roughly 49 hours a month on this.</t>
        </is>
      </c>
      <c r="J1053" t="inlineStr">
        <is>
          <t>Neutral</t>
        </is>
      </c>
      <c r="K1053" t="inlineStr">
        <is>
          <t>Low</t>
        </is>
      </c>
      <c r="L1053" t="inlineStr">
        <is>
          <t>Minor Inconvenience</t>
        </is>
      </c>
      <c r="M1053" t="inlineStr">
        <is>
          <t>wf_templates</t>
        </is>
      </c>
      <c r="N1053" t="inlineStr">
        <is>
          <t>Workflow templates</t>
        </is>
      </c>
      <c r="O1053" t="inlineStr">
        <is>
          <t>2026-06</t>
        </is>
      </c>
    </row>
    <row r="1054">
      <c r="A1054" t="inlineStr">
        <is>
          <t>FB-01053</t>
        </is>
      </c>
      <c r="B1054" t="inlineStr">
        <is>
          <t>CUST-0105</t>
        </is>
      </c>
      <c r="C1054" s="11" t="n">
        <v>46202</v>
      </c>
      <c r="D1054" t="inlineStr">
        <is>
          <t>Support Ticket</t>
        </is>
      </c>
      <c r="E1054" t="inlineStr">
        <is>
          <t>Professional</t>
        </is>
      </c>
      <c r="F1054" t="inlineStr">
        <is>
          <t>Mid-Market</t>
        </is>
      </c>
      <c r="G1054" t="inlineStr">
        <is>
          <t>Integrations</t>
        </is>
      </c>
      <c r="H1054" t="inlineStr">
        <is>
          <t>Integration Issue</t>
        </is>
      </c>
      <c r="I1054" t="inlineStr">
        <is>
          <t>Escalating on behalf of our ops lead. The email sync duplicates meetings and misses replies. It affects our quarterly planning process every cycle. Is there a workaround?</t>
        </is>
      </c>
      <c r="J1054" t="inlineStr">
        <is>
          <t>Negative</t>
        </is>
      </c>
      <c r="K1054" t="inlineStr">
        <is>
          <t>Medium</t>
        </is>
      </c>
      <c r="L1054" t="inlineStr">
        <is>
          <t>Revenue/Operations Risk</t>
        </is>
      </c>
      <c r="M1054" t="inlineStr">
        <is>
          <t>int_email</t>
        </is>
      </c>
      <c r="N1054" t="inlineStr">
        <is>
          <t>Email and calendar sync drops</t>
        </is>
      </c>
      <c r="O1054" t="inlineStr">
        <is>
          <t>2026-06</t>
        </is>
      </c>
    </row>
    <row r="1055">
      <c r="A1055" t="inlineStr">
        <is>
          <t>FB-01054</t>
        </is>
      </c>
      <c r="B1055" t="inlineStr">
        <is>
          <t>CUST-0205</t>
        </is>
      </c>
      <c r="C1055" s="11" t="n">
        <v>46202</v>
      </c>
      <c r="D1055" t="inlineStr">
        <is>
          <t>Feature Request</t>
        </is>
      </c>
      <c r="E1055" t="inlineStr">
        <is>
          <t>Enterprise</t>
        </is>
      </c>
      <c r="F1055" t="inlineStr">
        <is>
          <t>Enterprise</t>
        </is>
      </c>
      <c r="G1055" t="inlineStr">
        <is>
          <t>Reporting</t>
        </is>
      </c>
      <c r="H1055" t="inlineStr">
        <is>
          <t>Feature Request</t>
        </is>
      </c>
      <c r="I1055" t="inlineStr">
        <is>
          <t>Recent updates have been a nice improvement. Requesting a custom report builder so leadership gets numbers without logging in. We estimate we lose roughly 14 hours a month on this.</t>
        </is>
      </c>
      <c r="J1055" t="inlineStr">
        <is>
          <t>Positive</t>
        </is>
      </c>
      <c r="K1055" t="inlineStr">
        <is>
          <t>Medium</t>
        </is>
      </c>
      <c r="L1055" t="inlineStr">
        <is>
          <t>Workflow Slowdown</t>
        </is>
      </c>
      <c r="M1055" t="inlineStr">
        <is>
          <t>rep_custom</t>
        </is>
      </c>
      <c r="N1055" t="inlineStr">
        <is>
          <t>Custom and scheduled reports</t>
        </is>
      </c>
      <c r="O1055" t="inlineStr">
        <is>
          <t>2026-06</t>
        </is>
      </c>
    </row>
    <row r="1056">
      <c r="A1056" t="inlineStr">
        <is>
          <t>FB-01055</t>
        </is>
      </c>
      <c r="B1056" t="inlineStr">
        <is>
          <t>CUST-0221</t>
        </is>
      </c>
      <c r="C1056" s="11" t="n">
        <v>46202</v>
      </c>
      <c r="D1056" t="inlineStr">
        <is>
          <t>Feature Request</t>
        </is>
      </c>
      <c r="E1056" t="inlineStr">
        <is>
          <t>Professional</t>
        </is>
      </c>
      <c r="F1056" t="inlineStr">
        <is>
          <t>SMB</t>
        </is>
      </c>
      <c r="G1056" t="inlineStr">
        <is>
          <t>User Interface</t>
        </is>
      </c>
      <c r="H1056" t="inlineStr">
        <is>
          <t>Feature Request</t>
        </is>
      </c>
      <c r="I1056" t="inlineStr">
        <is>
          <t>Requesting mobile call logging so reps can log activity right after a meeting. It affects our month-end reporting process every cycle. Happy to join a feedback call.</t>
        </is>
      </c>
      <c r="J1056" t="inlineStr">
        <is>
          <t>Neutral</t>
        </is>
      </c>
      <c r="K1056" t="inlineStr">
        <is>
          <t>Low</t>
        </is>
      </c>
      <c r="L1056" t="inlineStr">
        <is>
          <t>Unknown</t>
        </is>
      </c>
      <c r="M1056" t="inlineStr">
        <is>
          <t>ui_mobile</t>
        </is>
      </c>
      <c r="N1056" t="inlineStr">
        <is>
          <t>Mobile app</t>
        </is>
      </c>
      <c r="O1056" t="inlineStr">
        <is>
          <t>2026-06</t>
        </is>
      </c>
    </row>
    <row r="1057">
      <c r="A1057" t="inlineStr">
        <is>
          <t>FB-01056</t>
        </is>
      </c>
      <c r="B1057" t="inlineStr">
        <is>
          <t>CUST-0237</t>
        </is>
      </c>
      <c r="C1057" s="11" t="n">
        <v>46202</v>
      </c>
      <c r="D1057" t="inlineStr">
        <is>
          <t>In-App Feedback</t>
        </is>
      </c>
      <c r="E1057" t="inlineStr">
        <is>
          <t>Enterprise</t>
        </is>
      </c>
      <c r="F1057" t="inlineStr">
        <is>
          <t>Mid-Market</t>
        </is>
      </c>
      <c r="G1057" t="inlineStr">
        <is>
          <t>User Interface</t>
        </is>
      </c>
      <c r="H1057" t="inlineStr">
        <is>
          <t>Performance Issue</t>
        </is>
      </c>
      <c r="I1057" t="inlineStr">
        <is>
          <t>Our team keeps running into this. We notice slow page transitions whenever more than a few tabs are open. It affects our quarterly planning process every cycle. Support suggested logging it here.</t>
        </is>
      </c>
      <c r="J1057" t="inlineStr">
        <is>
          <t>Negative</t>
        </is>
      </c>
      <c r="K1057" t="inlineStr">
        <is>
          <t>Medium</t>
        </is>
      </c>
      <c r="L1057" t="inlineStr">
        <is>
          <t>Workflow Slowdown</t>
        </is>
      </c>
      <c r="M1057" t="inlineStr">
        <is>
          <t>ui_perf</t>
        </is>
      </c>
      <c r="N1057" t="inlineStr">
        <is>
          <t>Laggy pages</t>
        </is>
      </c>
      <c r="O1057" t="inlineStr">
        <is>
          <t>2026-06</t>
        </is>
      </c>
    </row>
    <row r="1058">
      <c r="A1058" t="inlineStr">
        <is>
          <t>FB-01057</t>
        </is>
      </c>
      <c r="B1058" t="inlineStr">
        <is>
          <t>CUST-0226</t>
        </is>
      </c>
      <c r="C1058" s="11" t="n">
        <v>46202</v>
      </c>
      <c r="D1058" t="inlineStr">
        <is>
          <t>In-App Feedback</t>
        </is>
      </c>
      <c r="E1058" t="inlineStr">
        <is>
          <t>Professional</t>
        </is>
      </c>
      <c r="F1058" t="inlineStr">
        <is>
          <t>Enterprise</t>
        </is>
      </c>
      <c r="G1058" t="inlineStr">
        <is>
          <t>Integrations</t>
        </is>
      </c>
      <c r="H1058" t="inlineStr">
        <is>
          <t>Integration Issue</t>
        </is>
      </c>
      <c r="I1058" t="inlineStr">
        <is>
          <t>The Gmail sync duplicates meetings and misses replies. We estimate we lose roughly 31 hours a month on this. Support suggested logging it here.</t>
        </is>
      </c>
      <c r="J1058" t="inlineStr">
        <is>
          <t>Negative</t>
        </is>
      </c>
      <c r="K1058" t="inlineStr">
        <is>
          <t>Medium</t>
        </is>
      </c>
      <c r="L1058" t="inlineStr">
        <is>
          <t>Minor Inconvenience</t>
        </is>
      </c>
      <c r="M1058" t="inlineStr">
        <is>
          <t>int_email</t>
        </is>
      </c>
      <c r="N1058" t="inlineStr">
        <is>
          <t>Email and calendar sync drops</t>
        </is>
      </c>
      <c r="O1058" t="inlineStr">
        <is>
          <t>2026-06</t>
        </is>
      </c>
    </row>
    <row r="1059">
      <c r="A1059" t="inlineStr">
        <is>
          <t>FB-01058</t>
        </is>
      </c>
      <c r="B1059" t="inlineStr">
        <is>
          <t>CUST-0334</t>
        </is>
      </c>
      <c r="C1059" s="11" t="n">
        <v>46203</v>
      </c>
      <c r="D1059" t="inlineStr">
        <is>
          <t>In-App Feedback</t>
        </is>
      </c>
      <c r="E1059" t="inlineStr">
        <is>
          <t>Enterprise</t>
        </is>
      </c>
      <c r="F1059" t="inlineStr">
        <is>
          <t>SMB</t>
        </is>
      </c>
      <c r="G1059" t="inlineStr">
        <is>
          <t>Lead Management</t>
        </is>
      </c>
      <c r="H1059" t="inlineStr">
        <is>
          <t>Performance Issue</t>
        </is>
      </c>
      <c r="I1059" t="inlineStr">
        <is>
          <t>Complaint about lead list loading: the board freezes while cards render. So far 75 people on our side have reported it. Support suggested logging it here.</t>
        </is>
      </c>
      <c r="J1059" t="inlineStr">
        <is>
          <t>Negative</t>
        </is>
      </c>
      <c r="K1059" t="inlineStr">
        <is>
          <t>Low</t>
        </is>
      </c>
      <c r="L1059" t="inlineStr">
        <is>
          <t>Workflow Slowdown</t>
        </is>
      </c>
      <c r="M1059" t="inlineStr">
        <is>
          <t>lead_slow</t>
        </is>
      </c>
      <c r="N1059" t="inlineStr">
        <is>
          <t>Slow lead lists and pipeline board</t>
        </is>
      </c>
      <c r="O1059" t="inlineStr">
        <is>
          <t>2026-06</t>
        </is>
      </c>
    </row>
    <row r="1060">
      <c r="A1060" t="inlineStr">
        <is>
          <t>FB-01059</t>
        </is>
      </c>
      <c r="B1060" t="inlineStr">
        <is>
          <t>CUST-0378</t>
        </is>
      </c>
      <c r="C1060" s="11" t="n">
        <v>46203</v>
      </c>
      <c r="D1060" t="inlineStr">
        <is>
          <t>Feature Request</t>
        </is>
      </c>
      <c r="E1060" t="inlineStr">
        <is>
          <t>Starter</t>
        </is>
      </c>
      <c r="F1060" t="inlineStr">
        <is>
          <t>SMB</t>
        </is>
      </c>
      <c r="G1060" t="inlineStr">
        <is>
          <t>User Interface</t>
        </is>
      </c>
      <c r="H1060" t="inlineStr">
        <is>
          <t>Feature Request</t>
        </is>
      </c>
      <c r="I1060" t="inlineStr">
        <is>
          <t>Great support experience recently. Please prioritize mobile call logging; the mobile web view is hard to use. It happens about 19 times a week for our team of 17. Happy to beta test.</t>
        </is>
      </c>
      <c r="J1060" t="inlineStr">
        <is>
          <t>Positive</t>
        </is>
      </c>
      <c r="K1060" t="inlineStr">
        <is>
          <t>Low</t>
        </is>
      </c>
      <c r="L1060" t="inlineStr">
        <is>
          <t>Minor Inconvenience</t>
        </is>
      </c>
      <c r="M1060" t="inlineStr">
        <is>
          <t>ui_mobile</t>
        </is>
      </c>
      <c r="N1060" t="inlineStr">
        <is>
          <t>Mobile app</t>
        </is>
      </c>
      <c r="O1060" t="inlineStr">
        <is>
          <t>2026-06</t>
        </is>
      </c>
    </row>
    <row r="1061">
      <c r="A1061" t="inlineStr">
        <is>
          <t>FB-01060</t>
        </is>
      </c>
      <c r="B1061" t="inlineStr">
        <is>
          <t>CUST-0043</t>
        </is>
      </c>
      <c r="C1061" s="11" t="n">
        <v>46203</v>
      </c>
      <c r="D1061" t="inlineStr">
        <is>
          <t>In-App Feedback</t>
        </is>
      </c>
      <c r="E1061" t="inlineStr">
        <is>
          <t>Starter</t>
        </is>
      </c>
      <c r="F1061" t="inlineStr">
        <is>
          <t>SMB</t>
        </is>
      </c>
      <c r="G1061" t="inlineStr">
        <is>
          <t>Reporting</t>
        </is>
      </c>
      <c r="H1061" t="inlineStr">
        <is>
          <t>Bug</t>
        </is>
      </c>
      <c r="I1061" t="inlineStr">
        <is>
          <t>This has been a recurring problem for us. The Excel export times out for date ranges longer than a quarter. We need a fix before renewal.</t>
        </is>
      </c>
      <c r="J1061" t="inlineStr">
        <is>
          <t>Negative</t>
        </is>
      </c>
      <c r="K1061" t="inlineStr">
        <is>
          <t>Medium</t>
        </is>
      </c>
      <c r="L1061" t="inlineStr">
        <is>
          <t>Workflow Slowdown</t>
        </is>
      </c>
      <c r="M1061" t="inlineStr">
        <is>
          <t>rep_export</t>
        </is>
      </c>
      <c r="N1061" t="inlineStr">
        <is>
          <t>Broken report exports</t>
        </is>
      </c>
      <c r="O1061" t="inlineStr">
        <is>
          <t>2026-06</t>
        </is>
      </c>
    </row>
    <row r="1062">
      <c r="A1062" t="inlineStr">
        <is>
          <t>FB-01061</t>
        </is>
      </c>
      <c r="B1062" t="inlineStr">
        <is>
          <t>CUST-0147</t>
        </is>
      </c>
      <c r="C1062" s="11" t="n">
        <v>46203</v>
      </c>
      <c r="D1062" t="inlineStr">
        <is>
          <t>In-App Feedback</t>
        </is>
      </c>
      <c r="E1062" t="inlineStr">
        <is>
          <t>Enterprise</t>
        </is>
      </c>
      <c r="F1062" t="inlineStr">
        <is>
          <t>Enterprise</t>
        </is>
      </c>
      <c r="G1062" t="inlineStr">
        <is>
          <t>Workflow Automation</t>
        </is>
      </c>
      <c r="H1062" t="inlineStr">
        <is>
          <t>Usability Issue</t>
        </is>
      </c>
      <c r="I1062" t="inlineStr">
        <is>
          <t>The workflow editor is hard to follow once a flow has more than a handful of steps. It happens about 30 times a week for our team of 106. Support suggested logging it here.</t>
        </is>
      </c>
      <c r="J1062" t="inlineStr">
        <is>
          <t>Negative</t>
        </is>
      </c>
      <c r="K1062" t="inlineStr">
        <is>
          <t>Medium</t>
        </is>
      </c>
      <c r="L1062" t="inlineStr">
        <is>
          <t>Workflow Slowdown</t>
        </is>
      </c>
      <c r="M1062" t="inlineStr">
        <is>
          <t>wf_builder</t>
        </is>
      </c>
      <c r="N1062" t="inlineStr">
        <is>
          <t>Confusing workflow builder</t>
        </is>
      </c>
      <c r="O1062" t="inlineStr">
        <is>
          <t>2026-06</t>
        </is>
      </c>
    </row>
    <row r="1063">
      <c r="A1063" t="inlineStr">
        <is>
          <t>FB-01062</t>
        </is>
      </c>
      <c r="B1063" t="inlineStr">
        <is>
          <t>CUST-0083</t>
        </is>
      </c>
      <c r="C1063" s="11" t="n">
        <v>46204</v>
      </c>
      <c r="D1063" t="inlineStr">
        <is>
          <t>Customer Survey</t>
        </is>
      </c>
      <c r="E1063" t="inlineStr">
        <is>
          <t>Starter</t>
        </is>
      </c>
      <c r="F1063" t="inlineStr">
        <is>
          <t>SMB</t>
        </is>
      </c>
      <c r="G1063" t="inlineStr">
        <is>
          <t>Lead Management</t>
        </is>
      </c>
      <c r="H1063" t="inlineStr">
        <is>
          <t>Usability Issue</t>
        </is>
      </c>
      <c r="I1063" t="inlineStr">
        <is>
          <t>The lead assignment settings are confusing and new leads sometimes sit unassigned over weekends. So far 51 people on our side have reported it. Happy to join a feedback call.</t>
        </is>
      </c>
      <c r="J1063" t="inlineStr">
        <is>
          <t>Neutral</t>
        </is>
      </c>
      <c r="K1063" t="inlineStr">
        <is>
          <t>Medium</t>
        </is>
      </c>
      <c r="L1063" t="inlineStr">
        <is>
          <t>Blocks Key Task</t>
        </is>
      </c>
      <c r="M1063" t="inlineStr">
        <is>
          <t>lead_assign</t>
        </is>
      </c>
      <c r="N1063" t="inlineStr">
        <is>
          <t>Lead routing is inflexible</t>
        </is>
      </c>
      <c r="O1063" t="inlineStr">
        <is>
          <t>2026-07</t>
        </is>
      </c>
    </row>
    <row r="1064">
      <c r="A1064" t="inlineStr">
        <is>
          <t>FB-01063</t>
        </is>
      </c>
      <c r="B1064" t="inlineStr">
        <is>
          <t>CUST-0022</t>
        </is>
      </c>
      <c r="C1064" s="11" t="n">
        <v>46204</v>
      </c>
      <c r="D1064" t="inlineStr">
        <is>
          <t>Support Ticket</t>
        </is>
      </c>
      <c r="E1064" t="inlineStr">
        <is>
          <t>Starter</t>
        </is>
      </c>
      <c r="F1064" t="inlineStr">
        <is>
          <t>SMB</t>
        </is>
      </c>
      <c r="G1064" t="inlineStr">
        <is>
          <t>Workflow Automation</t>
        </is>
      </c>
      <c r="H1064" t="inlineStr">
        <is>
          <t>Usability Issue</t>
        </is>
      </c>
      <c r="I1064" t="inlineStr">
        <is>
          <t>Noting this during onboarding. I can't tell what a branch does in the workflow builder without opening every node. We estimate we lose roughly 47 hours a month on this. Let us know if you need examples.</t>
        </is>
      </c>
      <c r="J1064" t="inlineStr">
        <is>
          <t>Neutral</t>
        </is>
      </c>
      <c r="K1064" t="inlineStr">
        <is>
          <t>Low</t>
        </is>
      </c>
      <c r="L1064" t="inlineStr">
        <is>
          <t>Workflow Slowdown</t>
        </is>
      </c>
      <c r="M1064" t="inlineStr">
        <is>
          <t>wf_builder</t>
        </is>
      </c>
      <c r="N1064" t="inlineStr">
        <is>
          <t>Confusing workflow builder</t>
        </is>
      </c>
      <c r="O1064" t="inlineStr">
        <is>
          <t>2026-07</t>
        </is>
      </c>
    </row>
    <row r="1065">
      <c r="A1065" t="inlineStr">
        <is>
          <t>FB-01064</t>
        </is>
      </c>
      <c r="B1065" t="inlineStr">
        <is>
          <t>CUST-0284</t>
        </is>
      </c>
      <c r="C1065" s="11" t="n">
        <v>46205</v>
      </c>
      <c r="D1065" t="inlineStr">
        <is>
          <t>In-App Feedback</t>
        </is>
      </c>
      <c r="E1065" t="inlineStr">
        <is>
          <t>Enterprise</t>
        </is>
      </c>
      <c r="F1065" t="inlineStr">
        <is>
          <t>Enterprise</t>
        </is>
      </c>
      <c r="G1065" t="inlineStr">
        <is>
          <t>Contact Management</t>
        </is>
      </c>
      <c r="H1065" t="inlineStr">
        <is>
          <t>Performance Issue</t>
        </is>
      </c>
      <c r="I1065" t="inlineStr">
        <is>
          <t>We avoid contact list filtering during calls because it takes too long. So far 49 people on our side have reported it. Please look into it soon.</t>
        </is>
      </c>
      <c r="J1065" t="inlineStr">
        <is>
          <t>Negative</t>
        </is>
      </c>
      <c r="K1065" t="inlineStr">
        <is>
          <t>Critical</t>
        </is>
      </c>
      <c r="L1065" t="inlineStr">
        <is>
          <t>Blocks Key Task</t>
        </is>
      </c>
      <c r="M1065" t="inlineStr">
        <is>
          <t>contact_search</t>
        </is>
      </c>
      <c r="N1065" t="inlineStr">
        <is>
          <t>Slow contact search</t>
        </is>
      </c>
      <c r="O1065" t="inlineStr">
        <is>
          <t>2026-07</t>
        </is>
      </c>
    </row>
    <row r="1066">
      <c r="A1066" t="inlineStr">
        <is>
          <t>FB-01065</t>
        </is>
      </c>
      <c r="B1066" t="inlineStr">
        <is>
          <t>CUST-0369</t>
        </is>
      </c>
      <c r="C1066" s="11" t="n">
        <v>46205</v>
      </c>
      <c r="D1066" t="inlineStr">
        <is>
          <t>Feature Request</t>
        </is>
      </c>
      <c r="E1066" t="inlineStr">
        <is>
          <t>Professional</t>
        </is>
      </c>
      <c r="F1066" t="inlineStr">
        <is>
          <t>Mid-Market</t>
        </is>
      </c>
      <c r="G1066" t="inlineStr">
        <is>
          <t>Reporting</t>
        </is>
      </c>
      <c r="H1066" t="inlineStr">
        <is>
          <t>Feature Request</t>
        </is>
      </c>
      <c r="I1066" t="inlineStr">
        <is>
          <t>Overall we like the product. Please add sales forecasting; managers keep a separate spreadsheet. So far 40 people on our side have reported it. Happy to beta test.</t>
        </is>
      </c>
      <c r="J1066" t="inlineStr">
        <is>
          <t>Positive</t>
        </is>
      </c>
      <c r="K1066" t="inlineStr">
        <is>
          <t>Low</t>
        </is>
      </c>
      <c r="L1066" t="inlineStr">
        <is>
          <t>Minor Inconvenience</t>
        </is>
      </c>
      <c r="M1066" t="inlineStr">
        <is>
          <t>rep_forecast</t>
        </is>
      </c>
      <c r="N1066" t="inlineStr">
        <is>
          <t>Sales forecasting</t>
        </is>
      </c>
      <c r="O1066" t="inlineStr">
        <is>
          <t>2026-07</t>
        </is>
      </c>
    </row>
    <row r="1067">
      <c r="A1067" t="inlineStr">
        <is>
          <t>FB-01066</t>
        </is>
      </c>
      <c r="B1067" t="inlineStr">
        <is>
          <t>CUST-0222</t>
        </is>
      </c>
      <c r="C1067" s="11" t="n">
        <v>46205</v>
      </c>
      <c r="D1067" t="inlineStr">
        <is>
          <t>Feature Request</t>
        </is>
      </c>
      <c r="E1067" t="inlineStr">
        <is>
          <t>Professional</t>
        </is>
      </c>
      <c r="F1067" t="inlineStr">
        <is>
          <t>Mid-Market</t>
        </is>
      </c>
      <c r="G1067" t="inlineStr">
        <is>
          <t>Reporting</t>
        </is>
      </c>
      <c r="H1067" t="inlineStr">
        <is>
          <t>Feature Request</t>
        </is>
      </c>
      <c r="I1067" t="inlineStr">
        <is>
          <t>Not what we expected for the price. Requesting report scheduling so leadership gets numbers without logging in. So far 89 people on our side have reported it.</t>
        </is>
      </c>
      <c r="J1067" t="inlineStr">
        <is>
          <t>Negative</t>
        </is>
      </c>
      <c r="K1067" t="inlineStr">
        <is>
          <t>High</t>
        </is>
      </c>
      <c r="L1067" t="inlineStr">
        <is>
          <t>Blocks Key Task</t>
        </is>
      </c>
      <c r="M1067" t="inlineStr">
        <is>
          <t>rep_custom</t>
        </is>
      </c>
      <c r="N1067" t="inlineStr">
        <is>
          <t>Custom and scheduled reports</t>
        </is>
      </c>
      <c r="O1067" t="inlineStr">
        <is>
          <t>2026-07</t>
        </is>
      </c>
    </row>
    <row r="1068">
      <c r="A1068" t="inlineStr">
        <is>
          <t>FB-01067</t>
        </is>
      </c>
      <c r="B1068" t="inlineStr">
        <is>
          <t>CUST-0249</t>
        </is>
      </c>
      <c r="C1068" s="11" t="n">
        <v>46205</v>
      </c>
      <c r="D1068" t="inlineStr">
        <is>
          <t>Feature Request</t>
        </is>
      </c>
      <c r="E1068" t="inlineStr">
        <is>
          <t>Starter</t>
        </is>
      </c>
      <c r="F1068" t="inlineStr">
        <is>
          <t>SMB</t>
        </is>
      </c>
      <c r="G1068" t="inlineStr">
        <is>
          <t>Contact Management</t>
        </is>
      </c>
      <c r="H1068" t="inlineStr">
        <is>
          <t>Performance Issue</t>
        </is>
      </c>
      <c r="I1068" t="inlineStr">
        <is>
          <t>Happy with most of the product. The contact search times out on our largest accounts. Our finance analyst flagged it while onboarding 100 new users. Keep up the good work.</t>
        </is>
      </c>
      <c r="J1068" t="inlineStr">
        <is>
          <t>Positive</t>
        </is>
      </c>
      <c r="K1068" t="inlineStr">
        <is>
          <t>Low</t>
        </is>
      </c>
      <c r="L1068" t="inlineStr">
        <is>
          <t>Minor Inconvenience</t>
        </is>
      </c>
      <c r="M1068" t="inlineStr">
        <is>
          <t>contact_search</t>
        </is>
      </c>
      <c r="N1068" t="inlineStr">
        <is>
          <t>Slow contact search</t>
        </is>
      </c>
      <c r="O1068" t="inlineStr">
        <is>
          <t>2026-07</t>
        </is>
      </c>
    </row>
    <row r="1069">
      <c r="A1069" t="inlineStr">
        <is>
          <t>FB-01068</t>
        </is>
      </c>
      <c r="B1069" t="inlineStr">
        <is>
          <t>CUST-0338</t>
        </is>
      </c>
      <c r="C1069" s="11" t="n">
        <v>46205</v>
      </c>
      <c r="D1069" t="inlineStr">
        <is>
          <t>In-App Feedback</t>
        </is>
      </c>
      <c r="E1069" t="inlineStr">
        <is>
          <t>Professional</t>
        </is>
      </c>
      <c r="F1069" t="inlineStr">
        <is>
          <t>Mid-Market</t>
        </is>
      </c>
      <c r="G1069" t="inlineStr">
        <is>
          <t>Contact Management</t>
        </is>
      </c>
      <c r="H1069" t="inlineStr">
        <is>
          <t>Bug</t>
        </is>
      </c>
      <c r="I1069" t="inlineStr">
        <is>
          <t>Frustrated with this one. The import field mapping fails halfway through with a generic error and no row-level detail. It happens about 33 times a week for our team of 99. We need a fix before renewal.</t>
        </is>
      </c>
      <c r="J1069" t="inlineStr">
        <is>
          <t>Negative</t>
        </is>
      </c>
      <c r="K1069" t="inlineStr">
        <is>
          <t>Medium</t>
        </is>
      </c>
      <c r="L1069" t="inlineStr">
        <is>
          <t>Workflow Slowdown</t>
        </is>
      </c>
      <c r="M1069" t="inlineStr">
        <is>
          <t>contact_import</t>
        </is>
      </c>
      <c r="N1069" t="inlineStr">
        <is>
          <t>Unreliable contact imports</t>
        </is>
      </c>
      <c r="O1069" t="inlineStr">
        <is>
          <t>2026-07</t>
        </is>
      </c>
    </row>
    <row r="1070">
      <c r="A1070" t="inlineStr">
        <is>
          <t>FB-01069</t>
        </is>
      </c>
      <c r="B1070" t="inlineStr">
        <is>
          <t>CUST-0320</t>
        </is>
      </c>
      <c r="C1070" s="11" t="n">
        <v>46205</v>
      </c>
      <c r="D1070" t="inlineStr">
        <is>
          <t>Support Ticket</t>
        </is>
      </c>
      <c r="E1070" t="inlineStr">
        <is>
          <t>Professional</t>
        </is>
      </c>
      <c r="F1070" t="inlineStr">
        <is>
          <t>Mid-Market</t>
        </is>
      </c>
      <c r="G1070" t="inlineStr">
        <is>
          <t>Integrations</t>
        </is>
      </c>
      <c r="H1070" t="inlineStr">
        <is>
          <t>Integration Issue</t>
        </is>
      </c>
      <c r="I1070" t="inlineStr">
        <is>
          <t>Our email sync keeps disconnecting and activities are missing from the contact timeline. So far 41 people on our side have reported it.</t>
        </is>
      </c>
      <c r="J1070" t="inlineStr">
        <is>
          <t>Negative</t>
        </is>
      </c>
      <c r="K1070" t="inlineStr">
        <is>
          <t>Critical</t>
        </is>
      </c>
      <c r="L1070" t="inlineStr">
        <is>
          <t>Blocks Key Task</t>
        </is>
      </c>
      <c r="M1070" t="inlineStr">
        <is>
          <t>int_email</t>
        </is>
      </c>
      <c r="N1070" t="inlineStr">
        <is>
          <t>Email and calendar sync drops</t>
        </is>
      </c>
      <c r="O1070" t="inlineStr">
        <is>
          <t>2026-07</t>
        </is>
      </c>
    </row>
    <row r="1071">
      <c r="A1071" t="inlineStr">
        <is>
          <t>FB-01070</t>
        </is>
      </c>
      <c r="B1071" t="inlineStr">
        <is>
          <t>CUST-0262</t>
        </is>
      </c>
      <c r="C1071" s="11" t="n">
        <v>46205</v>
      </c>
      <c r="D1071" t="inlineStr">
        <is>
          <t>Support Ticket</t>
        </is>
      </c>
      <c r="E1071" t="inlineStr">
        <is>
          <t>Professional</t>
        </is>
      </c>
      <c r="F1071" t="inlineStr">
        <is>
          <t>Mid-Market</t>
        </is>
      </c>
      <c r="G1071" t="inlineStr">
        <is>
          <t>Lead Management</t>
        </is>
      </c>
      <c r="H1071" t="inlineStr">
        <is>
          <t>Performance Issue</t>
        </is>
      </c>
      <c r="I1071" t="inlineStr">
        <is>
          <t>The lead list loading gets very slow once we pass a few thousand open leads. Our admin flagged it while onboarding 24 new users. Happy to join a feedback call.</t>
        </is>
      </c>
      <c r="J1071" t="inlineStr">
        <is>
          <t>Neutral</t>
        </is>
      </c>
      <c r="K1071" t="inlineStr">
        <is>
          <t>Medium</t>
        </is>
      </c>
      <c r="L1071" t="inlineStr">
        <is>
          <t>Workflow Slowdown</t>
        </is>
      </c>
      <c r="M1071" t="inlineStr">
        <is>
          <t>lead_slow</t>
        </is>
      </c>
      <c r="N1071" t="inlineStr">
        <is>
          <t>Slow lead lists and pipeline board</t>
        </is>
      </c>
      <c r="O1071" t="inlineStr">
        <is>
          <t>2026-07</t>
        </is>
      </c>
    </row>
    <row r="1072">
      <c r="A1072" t="inlineStr">
        <is>
          <t>FB-01071</t>
        </is>
      </c>
      <c r="B1072" t="inlineStr">
        <is>
          <t>CUST-0217</t>
        </is>
      </c>
      <c r="C1072" s="11" t="n">
        <v>46205</v>
      </c>
      <c r="D1072" t="inlineStr">
        <is>
          <t>Customer Survey</t>
        </is>
      </c>
      <c r="E1072" t="inlineStr">
        <is>
          <t>Starter</t>
        </is>
      </c>
      <c r="F1072" t="inlineStr">
        <is>
          <t>Mid-Market</t>
        </is>
      </c>
      <c r="G1072" t="inlineStr">
        <is>
          <t>Workflow Automation</t>
        </is>
      </c>
      <c r="H1072" t="inlineStr">
        <is>
          <t>Feature Request</t>
        </is>
      </c>
      <c r="I1072" t="inlineStr">
        <is>
          <t>A library of prebuilt automations would cut our setup time. Our admin flagged it while onboarding 103 new users. Let us know if you need examples.</t>
        </is>
      </c>
      <c r="J1072" t="inlineStr">
        <is>
          <t>Neutral</t>
        </is>
      </c>
      <c r="K1072" t="inlineStr">
        <is>
          <t>Low</t>
        </is>
      </c>
      <c r="L1072" t="inlineStr">
        <is>
          <t>Workflow Slowdown</t>
        </is>
      </c>
      <c r="M1072" t="inlineStr">
        <is>
          <t>wf_templates</t>
        </is>
      </c>
      <c r="N1072" t="inlineStr">
        <is>
          <t>Workflow templates</t>
        </is>
      </c>
      <c r="O1072" t="inlineStr">
        <is>
          <t>2026-07</t>
        </is>
      </c>
    </row>
    <row r="1073">
      <c r="A1073" t="inlineStr">
        <is>
          <t>FB-01072</t>
        </is>
      </c>
      <c r="B1073" t="inlineStr">
        <is>
          <t>CUST-0229</t>
        </is>
      </c>
      <c r="C1073" s="11" t="n">
        <v>46206</v>
      </c>
      <c r="D1073" t="inlineStr">
        <is>
          <t>In-App Feedback</t>
        </is>
      </c>
      <c r="E1073" t="inlineStr">
        <is>
          <t>Starter</t>
        </is>
      </c>
      <c r="F1073" t="inlineStr">
        <is>
          <t>Mid-Market</t>
        </is>
      </c>
      <c r="G1073" t="inlineStr">
        <is>
          <t>Contact Management</t>
        </is>
      </c>
      <c r="H1073" t="inlineStr">
        <is>
          <t>Feature Request</t>
        </is>
      </c>
      <c r="I1073" t="inlineStr">
        <is>
          <t>Great support experience recently. We need an account hierarchy view to reflect parent companies and subsidiaries. It happens about 21 times a week for our team of 72.</t>
        </is>
      </c>
      <c r="J1073" t="inlineStr">
        <is>
          <t>Positive</t>
        </is>
      </c>
      <c r="K1073" t="inlineStr">
        <is>
          <t>Low</t>
        </is>
      </c>
      <c r="L1073" t="inlineStr">
        <is>
          <t>Minor Inconvenience</t>
        </is>
      </c>
      <c r="M1073" t="inlineStr">
        <is>
          <t>contact_custom</t>
        </is>
      </c>
      <c r="N1073" t="inlineStr">
        <is>
          <t>Custom fields and hierarchy</t>
        </is>
      </c>
      <c r="O1073" t="inlineStr">
        <is>
          <t>2026-07</t>
        </is>
      </c>
    </row>
    <row r="1074">
      <c r="A1074" t="inlineStr">
        <is>
          <t>FB-01073</t>
        </is>
      </c>
      <c r="B1074" t="inlineStr">
        <is>
          <t>CUST-0314</t>
        </is>
      </c>
      <c r="C1074" s="11" t="n">
        <v>46206</v>
      </c>
      <c r="D1074" t="inlineStr">
        <is>
          <t>In-App Feedback</t>
        </is>
      </c>
      <c r="E1074" t="inlineStr">
        <is>
          <t>Enterprise</t>
        </is>
      </c>
      <c r="F1074" t="inlineStr">
        <is>
          <t>Mid-Market</t>
        </is>
      </c>
      <c r="G1074" t="inlineStr">
        <is>
          <t>Integrations</t>
        </is>
      </c>
      <c r="H1074" t="inlineStr">
        <is>
          <t>Integration Issue</t>
        </is>
      </c>
      <c r="I1074" t="inlineStr">
        <is>
          <t>Escalating on behalf of our ops lead. API rate limits is unreliable and there is no retry or log we can inspect. Our RevOps lead flagged it while onboarding 7 new users. Is there a workaround?</t>
        </is>
      </c>
      <c r="J1074" t="inlineStr">
        <is>
          <t>Negative</t>
        </is>
      </c>
      <c r="K1074" t="inlineStr">
        <is>
          <t>High</t>
        </is>
      </c>
      <c r="L1074" t="inlineStr">
        <is>
          <t>Blocks Key Task</t>
        </is>
      </c>
      <c r="M1074" t="inlineStr">
        <is>
          <t>int_api</t>
        </is>
      </c>
      <c r="N1074" t="inlineStr">
        <is>
          <t>API limits and webhook failures</t>
        </is>
      </c>
      <c r="O1074" t="inlineStr">
        <is>
          <t>2026-07</t>
        </is>
      </c>
    </row>
    <row r="1075">
      <c r="A1075" t="inlineStr">
        <is>
          <t>FB-01074</t>
        </is>
      </c>
      <c r="B1075" t="inlineStr">
        <is>
          <t>CUST-0153</t>
        </is>
      </c>
      <c r="C1075" s="11" t="n">
        <v>46206</v>
      </c>
      <c r="D1075" t="inlineStr">
        <is>
          <t>In-App Feedback</t>
        </is>
      </c>
      <c r="E1075" t="inlineStr">
        <is>
          <t>Enterprise</t>
        </is>
      </c>
      <c r="F1075" t="inlineStr">
        <is>
          <t>Enterprise</t>
        </is>
      </c>
      <c r="G1075" t="inlineStr">
        <is>
          <t>User Interface</t>
        </is>
      </c>
      <c r="H1075" t="inlineStr">
        <is>
          <t>Performance Issue</t>
        </is>
      </c>
      <c r="I1075" t="inlineStr">
        <is>
          <t>The UI freezing gets worse in the afternoon. It happens about 16 times a week for our team of 118.</t>
        </is>
      </c>
      <c r="J1075" t="inlineStr">
        <is>
          <t>Negative</t>
        </is>
      </c>
      <c r="K1075" t="inlineStr">
        <is>
          <t>Medium</t>
        </is>
      </c>
      <c r="L1075" t="inlineStr">
        <is>
          <t>Minor Inconvenience</t>
        </is>
      </c>
      <c r="M1075" t="inlineStr">
        <is>
          <t>ui_perf</t>
        </is>
      </c>
      <c r="N1075" t="inlineStr">
        <is>
          <t>Laggy pages</t>
        </is>
      </c>
      <c r="O1075" t="inlineStr">
        <is>
          <t>2026-07</t>
        </is>
      </c>
    </row>
    <row r="1076">
      <c r="A1076" t="inlineStr">
        <is>
          <t>FB-01075</t>
        </is>
      </c>
      <c r="B1076" t="inlineStr">
        <is>
          <t>CUST-0157</t>
        </is>
      </c>
      <c r="C1076" s="11" t="n">
        <v>46207</v>
      </c>
      <c r="D1076" t="inlineStr">
        <is>
          <t>Customer Survey</t>
        </is>
      </c>
      <c r="E1076" t="inlineStr">
        <is>
          <t>Starter</t>
        </is>
      </c>
      <c r="F1076" t="inlineStr">
        <is>
          <t>SMB</t>
        </is>
      </c>
      <c r="G1076" t="inlineStr">
        <is>
          <t>User Interface</t>
        </is>
      </c>
      <c r="H1076" t="inlineStr">
        <is>
          <t>Feature Request</t>
        </is>
      </c>
      <c r="I1076" t="inlineStr">
        <is>
          <t>Sharing this from our team. We lose notes whenever reps are away from a desk without mobile call logging. Our sales manager flagged it while onboarding 75 new users.</t>
        </is>
      </c>
      <c r="J1076" t="inlineStr">
        <is>
          <t>Neutral</t>
        </is>
      </c>
      <c r="K1076" t="inlineStr">
        <is>
          <t>Medium</t>
        </is>
      </c>
      <c r="L1076" t="inlineStr">
        <is>
          <t>Workflow Slowdown</t>
        </is>
      </c>
      <c r="M1076" t="inlineStr">
        <is>
          <t>ui_mobile</t>
        </is>
      </c>
      <c r="N1076" t="inlineStr">
        <is>
          <t>Mobile app</t>
        </is>
      </c>
      <c r="O1076" t="inlineStr">
        <is>
          <t>2026-07</t>
        </is>
      </c>
    </row>
    <row r="1077">
      <c r="A1077" t="inlineStr">
        <is>
          <t>FB-01076</t>
        </is>
      </c>
      <c r="B1077" t="inlineStr">
        <is>
          <t>CUST-0290</t>
        </is>
      </c>
      <c r="C1077" s="11" t="n">
        <v>46207</v>
      </c>
      <c r="D1077" t="inlineStr">
        <is>
          <t>In-App Feedback</t>
        </is>
      </c>
      <c r="E1077" t="inlineStr">
        <is>
          <t>Starter</t>
        </is>
      </c>
      <c r="F1077" t="inlineStr">
        <is>
          <t>SMB</t>
        </is>
      </c>
      <c r="G1077" t="inlineStr">
        <is>
          <t>User Interface</t>
        </is>
      </c>
      <c r="H1077" t="inlineStr">
        <is>
          <t>Usability Issue</t>
        </is>
      </c>
      <c r="I1077" t="inlineStr">
        <is>
          <t>Overall we like the product. New hires get lost in the navigation menu; it takes weeks to learn. Our sales manager flagged it while onboarding 104 new users. Happy to beta test.</t>
        </is>
      </c>
      <c r="J1077" t="inlineStr">
        <is>
          <t>Positive</t>
        </is>
      </c>
      <c r="K1077" t="inlineStr">
        <is>
          <t>High</t>
        </is>
      </c>
      <c r="L1077" t="inlineStr">
        <is>
          <t>Blocks Key Task</t>
        </is>
      </c>
      <c r="M1077" t="inlineStr">
        <is>
          <t>ui_nav</t>
        </is>
      </c>
      <c r="N1077" t="inlineStr">
        <is>
          <t>Cluttered navigation</t>
        </is>
      </c>
      <c r="O1077" t="inlineStr">
        <is>
          <t>2026-07</t>
        </is>
      </c>
    </row>
    <row r="1078">
      <c r="A1078" t="inlineStr">
        <is>
          <t>FB-01077</t>
        </is>
      </c>
      <c r="B1078" t="inlineStr">
        <is>
          <t>CUST-0091</t>
        </is>
      </c>
      <c r="C1078" s="11" t="n">
        <v>46207</v>
      </c>
      <c r="D1078" t="inlineStr">
        <is>
          <t>Support Ticket</t>
        </is>
      </c>
      <c r="E1078" t="inlineStr">
        <is>
          <t>Professional</t>
        </is>
      </c>
      <c r="F1078" t="inlineStr">
        <is>
          <t>SMB</t>
        </is>
      </c>
      <c r="G1078" t="inlineStr">
        <is>
          <t>Integrations</t>
        </is>
      </c>
      <c r="H1078" t="inlineStr">
        <is>
          <t>Integration Issue</t>
        </is>
      </c>
      <c r="I1078" t="inlineStr">
        <is>
          <t>Escalating on behalf of our ops lead. The Gmail sync duplicates meetings and misses replies.</t>
        </is>
      </c>
      <c r="J1078" t="inlineStr">
        <is>
          <t>Negative</t>
        </is>
      </c>
      <c r="K1078" t="inlineStr">
        <is>
          <t>Critical</t>
        </is>
      </c>
      <c r="L1078" t="inlineStr">
        <is>
          <t>Revenue/Operations Risk</t>
        </is>
      </c>
      <c r="M1078" t="inlineStr">
        <is>
          <t>int_email</t>
        </is>
      </c>
      <c r="N1078" t="inlineStr">
        <is>
          <t>Email and calendar sync drops</t>
        </is>
      </c>
      <c r="O1078" t="inlineStr">
        <is>
          <t>2026-07</t>
        </is>
      </c>
    </row>
    <row r="1079">
      <c r="A1079" t="inlineStr">
        <is>
          <t>FB-01078</t>
        </is>
      </c>
      <c r="B1079" t="inlineStr">
        <is>
          <t>CUST-0381</t>
        </is>
      </c>
      <c r="C1079" s="11" t="n">
        <v>46207</v>
      </c>
      <c r="D1079" t="inlineStr">
        <is>
          <t>Customer Survey</t>
        </is>
      </c>
      <c r="E1079" t="inlineStr">
        <is>
          <t>Professional</t>
        </is>
      </c>
      <c r="F1079" t="inlineStr">
        <is>
          <t>Mid-Market</t>
        </is>
      </c>
      <c r="G1079" t="inlineStr">
        <is>
          <t>Lead Management</t>
        </is>
      </c>
      <c r="H1079" t="inlineStr">
        <is>
          <t>Feature Request</t>
        </is>
      </c>
      <c r="I1079" t="inlineStr">
        <is>
          <t>Would love to see automated lead scoring that marketing and sales can both tune.</t>
        </is>
      </c>
      <c r="J1079" t="inlineStr">
        <is>
          <t>Neutral</t>
        </is>
      </c>
      <c r="K1079" t="inlineStr">
        <is>
          <t>Medium</t>
        </is>
      </c>
      <c r="L1079" t="inlineStr">
        <is>
          <t>Workflow Slowdown</t>
        </is>
      </c>
      <c r="M1079" t="inlineStr">
        <is>
          <t>lead_score</t>
        </is>
      </c>
      <c r="N1079" t="inlineStr">
        <is>
          <t>Automated lead scoring</t>
        </is>
      </c>
      <c r="O1079" t="inlineStr">
        <is>
          <t>2026-07</t>
        </is>
      </c>
    </row>
    <row r="1080">
      <c r="A1080" t="inlineStr">
        <is>
          <t>FB-01079</t>
        </is>
      </c>
      <c r="B1080" t="inlineStr">
        <is>
          <t>CUST-0008</t>
        </is>
      </c>
      <c r="C1080" s="11" t="n">
        <v>46208</v>
      </c>
      <c r="D1080" t="inlineStr">
        <is>
          <t>Customer Survey</t>
        </is>
      </c>
      <c r="E1080" t="inlineStr">
        <is>
          <t>Professional</t>
        </is>
      </c>
      <c r="F1080" t="inlineStr">
        <is>
          <t>Mid-Market</t>
        </is>
      </c>
      <c r="G1080" t="inlineStr">
        <is>
          <t>Workflow Automation</t>
        </is>
      </c>
      <c r="H1080" t="inlineStr">
        <is>
          <t>Bug</t>
        </is>
      </c>
      <c r="I1080" t="inlineStr">
        <is>
          <t>We are hitting workflow failures: emails don't send and nobody gets notified. So far 11 people on our side have reported it. Support suggested logging it here.</t>
        </is>
      </c>
      <c r="J1080" t="inlineStr">
        <is>
          <t>Negative</t>
        </is>
      </c>
      <c r="K1080" t="inlineStr">
        <is>
          <t>High</t>
        </is>
      </c>
      <c r="L1080" t="inlineStr">
        <is>
          <t>Blocks Key Task</t>
        </is>
      </c>
      <c r="M1080" t="inlineStr">
        <is>
          <t>wf_fail</t>
        </is>
      </c>
      <c r="N1080" t="inlineStr">
        <is>
          <t>Workflows failing silently</t>
        </is>
      </c>
      <c r="O1080" t="inlineStr">
        <is>
          <t>2026-07</t>
        </is>
      </c>
    </row>
    <row r="1081">
      <c r="A1081" t="inlineStr">
        <is>
          <t>FB-01080</t>
        </is>
      </c>
      <c r="B1081" t="inlineStr">
        <is>
          <t>CUST-0147</t>
        </is>
      </c>
      <c r="C1081" s="11" t="n">
        <v>46208</v>
      </c>
      <c r="D1081" t="inlineStr">
        <is>
          <t>Support Ticket</t>
        </is>
      </c>
      <c r="E1081" t="inlineStr">
        <is>
          <t>Enterprise</t>
        </is>
      </c>
      <c r="F1081" t="inlineStr">
        <is>
          <t>Enterprise</t>
        </is>
      </c>
      <c r="G1081" t="inlineStr">
        <is>
          <t>Lead Management</t>
        </is>
      </c>
      <c r="H1081" t="inlineStr">
        <is>
          <t>Bug</t>
        </is>
      </c>
      <c r="I1081" t="inlineStr">
        <is>
          <t>After every list import we find lead de-duplication failures that have to be cleaned up by hand.</t>
        </is>
      </c>
      <c r="J1081" t="inlineStr">
        <is>
          <t>Negative</t>
        </is>
      </c>
      <c r="K1081" t="inlineStr">
        <is>
          <t>Medium</t>
        </is>
      </c>
      <c r="L1081" t="inlineStr">
        <is>
          <t>Workflow Slowdown</t>
        </is>
      </c>
      <c r="M1081" t="inlineStr">
        <is>
          <t>lead_dup</t>
        </is>
      </c>
      <c r="N1081" t="inlineStr">
        <is>
          <t>Duplicate leads created</t>
        </is>
      </c>
      <c r="O1081" t="inlineStr">
        <is>
          <t>2026-07</t>
        </is>
      </c>
    </row>
    <row r="1082">
      <c r="A1082" t="inlineStr">
        <is>
          <t>FB-01081</t>
        </is>
      </c>
      <c r="B1082" t="inlineStr">
        <is>
          <t>CUST-0284</t>
        </is>
      </c>
      <c r="C1082" s="11" t="n">
        <v>46208</v>
      </c>
      <c r="D1082" t="inlineStr">
        <is>
          <t>Customer Survey</t>
        </is>
      </c>
      <c r="E1082" t="inlineStr">
        <is>
          <t>Enterprise</t>
        </is>
      </c>
      <c r="F1082" t="inlineStr">
        <is>
          <t>Enterprise</t>
        </is>
      </c>
      <c r="G1082" t="inlineStr">
        <is>
          <t>Workflow Automation</t>
        </is>
      </c>
      <c r="H1082" t="inlineStr">
        <is>
          <t>Usability Issue</t>
        </is>
      </c>
      <c r="I1082" t="inlineStr">
        <is>
          <t>Our team keeps running into this. I can't tell what a branch does in the automation canvas without opening every node. It affects our renewal process every cycle. Please look into it soon.</t>
        </is>
      </c>
      <c r="J1082" t="inlineStr">
        <is>
          <t>Negative</t>
        </is>
      </c>
      <c r="K1082" t="inlineStr">
        <is>
          <t>Medium</t>
        </is>
      </c>
      <c r="L1082" t="inlineStr">
        <is>
          <t>Minor Inconvenience</t>
        </is>
      </c>
      <c r="M1082" t="inlineStr">
        <is>
          <t>wf_builder</t>
        </is>
      </c>
      <c r="N1082" t="inlineStr">
        <is>
          <t>Confusing workflow builder</t>
        </is>
      </c>
      <c r="O1082" t="inlineStr">
        <is>
          <t>2026-07</t>
        </is>
      </c>
    </row>
    <row r="1083">
      <c r="A1083" t="inlineStr">
        <is>
          <t>FB-01082</t>
        </is>
      </c>
      <c r="B1083" t="inlineStr">
        <is>
          <t>CUST-0053</t>
        </is>
      </c>
      <c r="C1083" s="11" t="n">
        <v>46209</v>
      </c>
      <c r="D1083" t="inlineStr">
        <is>
          <t>Feature Request</t>
        </is>
      </c>
      <c r="E1083" t="inlineStr">
        <is>
          <t>Professional</t>
        </is>
      </c>
      <c r="F1083" t="inlineStr">
        <is>
          <t>Mid-Market</t>
        </is>
      </c>
      <c r="G1083" t="inlineStr">
        <is>
          <t>Integrations</t>
        </is>
      </c>
      <c r="H1083" t="inlineStr">
        <is>
          <t>Feature Request</t>
        </is>
      </c>
      <c r="I1083" t="inlineStr">
        <is>
          <t>Happy with most of the product. Requesting a native accounting integration to remove manual re-entry. It affects our weekly pipeline review process every cycle. Keep up the good work.</t>
        </is>
      </c>
      <c r="J1083" t="inlineStr">
        <is>
          <t>Positive</t>
        </is>
      </c>
      <c r="K1083" t="inlineStr">
        <is>
          <t>Medium</t>
        </is>
      </c>
      <c r="L1083" t="inlineStr">
        <is>
          <t>Blocks Key Task</t>
        </is>
      </c>
      <c r="M1083" t="inlineStr">
        <is>
          <t>int_native</t>
        </is>
      </c>
      <c r="N1083" t="inlineStr">
        <is>
          <t>Native integrations</t>
        </is>
      </c>
      <c r="O1083" t="inlineStr">
        <is>
          <t>2026-07</t>
        </is>
      </c>
    </row>
    <row r="1084">
      <c r="A1084" t="inlineStr">
        <is>
          <t>FB-01083</t>
        </is>
      </c>
      <c r="B1084" t="inlineStr">
        <is>
          <t>CUST-0181</t>
        </is>
      </c>
      <c r="C1084" s="11" t="n">
        <v>46209</v>
      </c>
      <c r="D1084" t="inlineStr">
        <is>
          <t>Feature Request</t>
        </is>
      </c>
      <c r="E1084" t="inlineStr">
        <is>
          <t>Starter</t>
        </is>
      </c>
      <c r="F1084" t="inlineStr">
        <is>
          <t>SMB</t>
        </is>
      </c>
      <c r="G1084" t="inlineStr">
        <is>
          <t>User Interface</t>
        </is>
      </c>
      <c r="H1084" t="inlineStr">
        <is>
          <t>Feature Request</t>
        </is>
      </c>
      <c r="I1084" t="inlineStr">
        <is>
          <t>Our team keeps running into this. We lose notes whenever reps are away from a desk without mobile call logging. It happens about 10 times a week for our team of 58. Support suggested logging it here.</t>
        </is>
      </c>
      <c r="J1084" t="inlineStr">
        <is>
          <t>Negative</t>
        </is>
      </c>
      <c r="K1084" t="inlineStr">
        <is>
          <t>Low</t>
        </is>
      </c>
      <c r="L1084" t="inlineStr">
        <is>
          <t>Minor Inconvenience</t>
        </is>
      </c>
      <c r="M1084" t="inlineStr">
        <is>
          <t>ui_mobile</t>
        </is>
      </c>
      <c r="N1084" t="inlineStr">
        <is>
          <t>Mobile app</t>
        </is>
      </c>
      <c r="O1084" t="inlineStr">
        <is>
          <t>2026-07</t>
        </is>
      </c>
    </row>
    <row r="1085">
      <c r="A1085" t="inlineStr">
        <is>
          <t>FB-01084</t>
        </is>
      </c>
      <c r="B1085" t="inlineStr">
        <is>
          <t>CUST-0030</t>
        </is>
      </c>
      <c r="C1085" s="11" t="n">
        <v>46209</v>
      </c>
      <c r="D1085" t="inlineStr">
        <is>
          <t>Support Ticket</t>
        </is>
      </c>
      <c r="E1085" t="inlineStr">
        <is>
          <t>Professional</t>
        </is>
      </c>
      <c r="F1085" t="inlineStr">
        <is>
          <t>Mid-Market</t>
        </is>
      </c>
      <c r="G1085" t="inlineStr">
        <is>
          <t>Integrations</t>
        </is>
      </c>
      <c r="H1085" t="inlineStr">
        <is>
          <t>Integration Issue</t>
        </is>
      </c>
      <c r="I1085" t="inlineStr">
        <is>
          <t>Escalating on behalf of our ops lead. Reps no longer trust email sync, so they log activity by hand. We need a fix before renewal.</t>
        </is>
      </c>
      <c r="J1085" t="inlineStr">
        <is>
          <t>Negative</t>
        </is>
      </c>
      <c r="K1085" t="inlineStr">
        <is>
          <t>Low</t>
        </is>
      </c>
      <c r="L1085" t="inlineStr">
        <is>
          <t>Minor Inconvenience</t>
        </is>
      </c>
      <c r="M1085" t="inlineStr">
        <is>
          <t>int_email</t>
        </is>
      </c>
      <c r="N1085" t="inlineStr">
        <is>
          <t>Email and calendar sync drops</t>
        </is>
      </c>
      <c r="O1085" t="inlineStr">
        <is>
          <t>2026-07</t>
        </is>
      </c>
    </row>
    <row r="1086">
      <c r="A1086" t="inlineStr">
        <is>
          <t>FB-01085</t>
        </is>
      </c>
      <c r="B1086" t="inlineStr">
        <is>
          <t>CUST-0222</t>
        </is>
      </c>
      <c r="C1086" s="11" t="n">
        <v>46209</v>
      </c>
      <c r="D1086" t="inlineStr">
        <is>
          <t>Support Ticket</t>
        </is>
      </c>
      <c r="E1086" t="inlineStr">
        <is>
          <t>Professional</t>
        </is>
      </c>
      <c r="F1086" t="inlineStr">
        <is>
          <t>Mid-Market</t>
        </is>
      </c>
      <c r="G1086" t="inlineStr">
        <is>
          <t>Integrations</t>
        </is>
      </c>
      <c r="H1086" t="inlineStr">
        <is>
          <t>Integration Issue</t>
        </is>
      </c>
      <c r="I1086" t="inlineStr">
        <is>
          <t>Quick note from our admin. Our email sync keeps disconnecting and activities are missing from the contact timeline. So far 15 people on our side have reported it. Happy to join a feedback call.</t>
        </is>
      </c>
      <c r="J1086" t="inlineStr">
        <is>
          <t>Neutral</t>
        </is>
      </c>
      <c r="K1086" t="inlineStr">
        <is>
          <t>Low</t>
        </is>
      </c>
      <c r="L1086" t="inlineStr">
        <is>
          <t>Minor Inconvenience</t>
        </is>
      </c>
      <c r="M1086" t="inlineStr">
        <is>
          <t>int_email</t>
        </is>
      </c>
      <c r="N1086" t="inlineStr">
        <is>
          <t>Email and calendar sync drops</t>
        </is>
      </c>
      <c r="O1086" t="inlineStr">
        <is>
          <t>2026-07</t>
        </is>
      </c>
    </row>
    <row r="1087">
      <c r="A1087" t="inlineStr">
        <is>
          <t>FB-01086</t>
        </is>
      </c>
      <c r="B1087" t="inlineStr">
        <is>
          <t>CUST-0384</t>
        </is>
      </c>
      <c r="C1087" s="11" t="n">
        <v>46210</v>
      </c>
      <c r="D1087" t="inlineStr">
        <is>
          <t>Customer Survey</t>
        </is>
      </c>
      <c r="E1087" t="inlineStr">
        <is>
          <t>Enterprise</t>
        </is>
      </c>
      <c r="F1087" t="inlineStr">
        <is>
          <t>Mid-Market</t>
        </is>
      </c>
      <c r="G1087" t="inlineStr">
        <is>
          <t>Integrations</t>
        </is>
      </c>
      <c r="H1087" t="inlineStr">
        <is>
          <t>Feature Request</t>
        </is>
      </c>
      <c r="I1087" t="inlineStr">
        <is>
          <t>Requesting a native accounting integration to remove manual re-entry. Our RevOps lead flagged it while onboarding 81 new users. Let us know if you need examples.</t>
        </is>
      </c>
      <c r="J1087" t="inlineStr">
        <is>
          <t>Neutral</t>
        </is>
      </c>
      <c r="K1087" t="inlineStr">
        <is>
          <t>Low</t>
        </is>
      </c>
      <c r="L1087" t="inlineStr">
        <is>
          <t>Minor Inconvenience</t>
        </is>
      </c>
      <c r="M1087" t="inlineStr">
        <is>
          <t>int_native</t>
        </is>
      </c>
      <c r="N1087" t="inlineStr">
        <is>
          <t>Native integrations</t>
        </is>
      </c>
      <c r="O1087" t="inlineStr">
        <is>
          <t>2026-07</t>
        </is>
      </c>
    </row>
    <row r="1088">
      <c r="A1088" t="inlineStr">
        <is>
          <t>FB-01087</t>
        </is>
      </c>
      <c r="B1088" t="inlineStr">
        <is>
          <t>CUST-0322</t>
        </is>
      </c>
      <c r="C1088" s="11" t="n">
        <v>46210</v>
      </c>
      <c r="D1088" t="inlineStr">
        <is>
          <t>Support Ticket</t>
        </is>
      </c>
      <c r="E1088" t="inlineStr">
        <is>
          <t>Starter</t>
        </is>
      </c>
      <c r="F1088" t="inlineStr">
        <is>
          <t>SMB</t>
        </is>
      </c>
      <c r="G1088" t="inlineStr">
        <is>
          <t>Reporting</t>
        </is>
      </c>
      <c r="H1088" t="inlineStr">
        <is>
          <t>Bug</t>
        </is>
      </c>
      <c r="I1088" t="inlineStr">
        <is>
          <t>The CSV export of reports times out for date ranges longer than a quarter. We estimate we lose roughly 22 hours a month on this.</t>
        </is>
      </c>
      <c r="J1088" t="inlineStr">
        <is>
          <t>Negative</t>
        </is>
      </c>
      <c r="K1088" t="inlineStr">
        <is>
          <t>Low</t>
        </is>
      </c>
      <c r="L1088" t="inlineStr">
        <is>
          <t>Minor Inconvenience</t>
        </is>
      </c>
      <c r="M1088" t="inlineStr">
        <is>
          <t>rep_export</t>
        </is>
      </c>
      <c r="N1088" t="inlineStr">
        <is>
          <t>Broken report exports</t>
        </is>
      </c>
      <c r="O1088" t="inlineStr">
        <is>
          <t>2026-07</t>
        </is>
      </c>
    </row>
    <row r="1089">
      <c r="A1089" t="inlineStr">
        <is>
          <t>FB-01088</t>
        </is>
      </c>
      <c r="B1089" t="inlineStr">
        <is>
          <t>CUST-0284</t>
        </is>
      </c>
      <c r="C1089" s="11" t="n">
        <v>46210</v>
      </c>
      <c r="D1089" t="inlineStr">
        <is>
          <t>In-App Feedback</t>
        </is>
      </c>
      <c r="E1089" t="inlineStr">
        <is>
          <t>Enterprise</t>
        </is>
      </c>
      <c r="F1089" t="inlineStr">
        <is>
          <t>Enterprise</t>
        </is>
      </c>
      <c r="G1089" t="inlineStr">
        <is>
          <t>Integrations</t>
        </is>
      </c>
      <c r="H1089" t="inlineStr">
        <is>
          <t>Integration Issue</t>
        </is>
      </c>
      <c r="I1089" t="inlineStr">
        <is>
          <t>Frustrated with this one. We keep hitting webhook delivery during nightly syncs with our data warehouse. It affects our renewal process every cycle.</t>
        </is>
      </c>
      <c r="J1089" t="inlineStr">
        <is>
          <t>Negative</t>
        </is>
      </c>
      <c r="K1089" t="inlineStr">
        <is>
          <t>High</t>
        </is>
      </c>
      <c r="L1089" t="inlineStr">
        <is>
          <t>Blocks Key Task</t>
        </is>
      </c>
      <c r="M1089" t="inlineStr">
        <is>
          <t>int_api</t>
        </is>
      </c>
      <c r="N1089" t="inlineStr">
        <is>
          <t>API limits and webhook failures</t>
        </is>
      </c>
      <c r="O1089" t="inlineStr">
        <is>
          <t>2026-07</t>
        </is>
      </c>
    </row>
    <row r="1090">
      <c r="A1090" t="inlineStr">
        <is>
          <t>FB-01089</t>
        </is>
      </c>
      <c r="B1090" t="inlineStr">
        <is>
          <t>CUST-0021</t>
        </is>
      </c>
      <c r="C1090" s="11" t="n">
        <v>46210</v>
      </c>
      <c r="D1090" t="inlineStr">
        <is>
          <t>In-App Feedback</t>
        </is>
      </c>
      <c r="E1090" t="inlineStr">
        <is>
          <t>Professional</t>
        </is>
      </c>
      <c r="F1090" t="inlineStr">
        <is>
          <t>Mid-Market</t>
        </is>
      </c>
      <c r="G1090" t="inlineStr">
        <is>
          <t>Reporting</t>
        </is>
      </c>
      <c r="H1090" t="inlineStr">
        <is>
          <t>Feature Request</t>
        </is>
      </c>
      <c r="I1090" t="inlineStr">
        <is>
          <t>Sharing this from our team. Without scheduled report emails we export raw data and rebuild everything elsewhere. We estimate we lose roughly 16 hours a month on this. Let us know if you need examples.</t>
        </is>
      </c>
      <c r="J1090" t="inlineStr">
        <is>
          <t>Neutral</t>
        </is>
      </c>
      <c r="K1090" t="inlineStr">
        <is>
          <t>Low</t>
        </is>
      </c>
      <c r="L1090" t="inlineStr">
        <is>
          <t>Workflow Slowdown</t>
        </is>
      </c>
      <c r="M1090" t="inlineStr">
        <is>
          <t>rep_custom</t>
        </is>
      </c>
      <c r="N1090" t="inlineStr">
        <is>
          <t>Custom and scheduled reports</t>
        </is>
      </c>
      <c r="O1090" t="inlineStr">
        <is>
          <t>2026-07</t>
        </is>
      </c>
    </row>
    <row r="1091">
      <c r="A1091" t="inlineStr">
        <is>
          <t>FB-01090</t>
        </is>
      </c>
      <c r="B1091" t="inlineStr">
        <is>
          <t>CUST-0347</t>
        </is>
      </c>
      <c r="C1091" s="11" t="n">
        <v>46210</v>
      </c>
      <c r="D1091" t="inlineStr">
        <is>
          <t>Support Ticket</t>
        </is>
      </c>
      <c r="E1091" t="inlineStr">
        <is>
          <t>Starter</t>
        </is>
      </c>
      <c r="F1091" t="inlineStr">
        <is>
          <t>SMB</t>
        </is>
      </c>
      <c r="G1091" t="inlineStr">
        <is>
          <t>Workflow Automation</t>
        </is>
      </c>
      <c r="H1091" t="inlineStr">
        <is>
          <t>Usability Issue</t>
        </is>
      </c>
      <c r="I1091" t="inlineStr">
        <is>
          <t>Raising this again after our last business review. Our new admins struggle with the workflow builder; there is no guidance or validation. Our admin flagged it while onboarding 101 new users. Please look into it soon.</t>
        </is>
      </c>
      <c r="J1091" t="inlineStr">
        <is>
          <t>Negative</t>
        </is>
      </c>
      <c r="K1091" t="inlineStr">
        <is>
          <t>Low</t>
        </is>
      </c>
      <c r="L1091" t="inlineStr">
        <is>
          <t>Workflow Slowdown</t>
        </is>
      </c>
      <c r="M1091" t="inlineStr">
        <is>
          <t>wf_builder</t>
        </is>
      </c>
      <c r="N1091" t="inlineStr">
        <is>
          <t>Confusing workflow builder</t>
        </is>
      </c>
      <c r="O1091" t="inlineStr">
        <is>
          <t>2026-07</t>
        </is>
      </c>
    </row>
    <row r="1092">
      <c r="A1092" t="inlineStr">
        <is>
          <t>FB-01091</t>
        </is>
      </c>
      <c r="B1092" t="inlineStr">
        <is>
          <t>CUST-0256</t>
        </is>
      </c>
      <c r="C1092" s="11" t="n">
        <v>46210</v>
      </c>
      <c r="D1092" t="inlineStr">
        <is>
          <t>Support Ticket</t>
        </is>
      </c>
      <c r="E1092" t="inlineStr">
        <is>
          <t>Starter</t>
        </is>
      </c>
      <c r="F1092" t="inlineStr">
        <is>
          <t>SMB</t>
        </is>
      </c>
      <c r="G1092" t="inlineStr">
        <is>
          <t>User Interface</t>
        </is>
      </c>
      <c r="H1092" t="inlineStr">
        <is>
          <t>Usability Issue</t>
        </is>
      </c>
      <c r="I1092" t="inlineStr">
        <is>
          <t>Raising this again after our last business review. The settings navigation is cluttered and I can never find the setting I need. Our sales manager flagged it while onboarding 98 new users. Support suggested logging it here.</t>
        </is>
      </c>
      <c r="J1092" t="inlineStr">
        <is>
          <t>Negative</t>
        </is>
      </c>
      <c r="K1092" t="inlineStr">
        <is>
          <t>Medium</t>
        </is>
      </c>
      <c r="L1092" t="inlineStr">
        <is>
          <t>Workflow Slowdown</t>
        </is>
      </c>
      <c r="M1092" t="inlineStr">
        <is>
          <t>ui_nav</t>
        </is>
      </c>
      <c r="N1092" t="inlineStr">
        <is>
          <t>Cluttered navigation</t>
        </is>
      </c>
      <c r="O1092" t="inlineStr">
        <is>
          <t>2026-07</t>
        </is>
      </c>
    </row>
    <row r="1093">
      <c r="A1093" t="inlineStr">
        <is>
          <t>FB-01092</t>
        </is>
      </c>
      <c r="B1093" t="inlineStr">
        <is>
          <t>CUST-0252</t>
        </is>
      </c>
      <c r="C1093" s="11" t="n">
        <v>46210</v>
      </c>
      <c r="D1093" t="inlineStr">
        <is>
          <t>Feature Request</t>
        </is>
      </c>
      <c r="E1093" t="inlineStr">
        <is>
          <t>Starter</t>
        </is>
      </c>
      <c r="F1093" t="inlineStr">
        <is>
          <t>SMB</t>
        </is>
      </c>
      <c r="G1093" t="inlineStr">
        <is>
          <t>Workflow Automation</t>
        </is>
      </c>
      <c r="H1093" t="inlineStr">
        <is>
          <t>Feature Request</t>
        </is>
      </c>
      <c r="I1093" t="inlineStr">
        <is>
          <t>Adding a discount approval flow is a blocker for our finance team. We estimate we lose roughly 56 hours a month on this.</t>
        </is>
      </c>
      <c r="J1093" t="inlineStr">
        <is>
          <t>Neutral</t>
        </is>
      </c>
      <c r="K1093" t="inlineStr">
        <is>
          <t>Low</t>
        </is>
      </c>
      <c r="L1093" t="inlineStr">
        <is>
          <t>Minor Inconvenience</t>
        </is>
      </c>
      <c r="M1093" t="inlineStr">
        <is>
          <t>wf_approval</t>
        </is>
      </c>
      <c r="N1093" t="inlineStr">
        <is>
          <t>Approval steps in workflows</t>
        </is>
      </c>
      <c r="O1093" t="inlineStr">
        <is>
          <t>2026-07</t>
        </is>
      </c>
    </row>
    <row r="1094">
      <c r="A1094" t="inlineStr">
        <is>
          <t>FB-01093</t>
        </is>
      </c>
      <c r="B1094" t="inlineStr">
        <is>
          <t>CUST-0369</t>
        </is>
      </c>
      <c r="C1094" s="11" t="n">
        <v>46210</v>
      </c>
      <c r="D1094" t="inlineStr">
        <is>
          <t>In-App Feedback</t>
        </is>
      </c>
      <c r="E1094" t="inlineStr">
        <is>
          <t>Professional</t>
        </is>
      </c>
      <c r="F1094" t="inlineStr">
        <is>
          <t>Mid-Market</t>
        </is>
      </c>
      <c r="G1094" t="inlineStr">
        <is>
          <t>User Interface</t>
        </is>
      </c>
      <c r="H1094" t="inlineStr">
        <is>
          <t>Performance Issue</t>
        </is>
      </c>
      <c r="I1094" t="inlineStr">
        <is>
          <t>Our team keeps running into this. Since the redesign there is more slow page transitions on older laptops. It affects our weekly pipeline review process every cycle.</t>
        </is>
      </c>
      <c r="J1094" t="inlineStr">
        <is>
          <t>Negative</t>
        </is>
      </c>
      <c r="K1094" t="inlineStr">
        <is>
          <t>Medium</t>
        </is>
      </c>
      <c r="L1094" t="inlineStr">
        <is>
          <t>Workflow Slowdown</t>
        </is>
      </c>
      <c r="M1094" t="inlineStr">
        <is>
          <t>ui_perf</t>
        </is>
      </c>
      <c r="N1094" t="inlineStr">
        <is>
          <t>Laggy pages</t>
        </is>
      </c>
      <c r="O1094" t="inlineStr">
        <is>
          <t>2026-07</t>
        </is>
      </c>
    </row>
    <row r="1095">
      <c r="A1095" t="inlineStr">
        <is>
          <t>FB-01094</t>
        </is>
      </c>
      <c r="B1095" t="inlineStr">
        <is>
          <t>CUST-0145</t>
        </is>
      </c>
      <c r="C1095" s="11" t="n">
        <v>46211</v>
      </c>
      <c r="D1095" t="inlineStr">
        <is>
          <t>In-App Feedback</t>
        </is>
      </c>
      <c r="E1095" t="inlineStr">
        <is>
          <t>Professional</t>
        </is>
      </c>
      <c r="F1095" t="inlineStr">
        <is>
          <t>SMB</t>
        </is>
      </c>
      <c r="G1095" t="inlineStr">
        <is>
          <t>Contact Management</t>
        </is>
      </c>
      <c r="H1095" t="inlineStr">
        <is>
          <t>Feature Request</t>
        </is>
      </c>
      <c r="I1095" t="inlineStr">
        <is>
          <t>Quick note from our admin. Requesting custom contact fields so account managers can see who reports to whom. So far 106 people on our side have reported it.</t>
        </is>
      </c>
      <c r="J1095" t="inlineStr">
        <is>
          <t>Neutral</t>
        </is>
      </c>
      <c r="K1095" t="inlineStr">
        <is>
          <t>Low</t>
        </is>
      </c>
      <c r="L1095" t="inlineStr">
        <is>
          <t>Minor Inconvenience</t>
        </is>
      </c>
      <c r="M1095" t="inlineStr">
        <is>
          <t>contact_custom</t>
        </is>
      </c>
      <c r="N1095" t="inlineStr">
        <is>
          <t>Custom fields and hierarchy</t>
        </is>
      </c>
      <c r="O1095" t="inlineStr">
        <is>
          <t>2026-07</t>
        </is>
      </c>
    </row>
    <row r="1096">
      <c r="A1096" t="inlineStr">
        <is>
          <t>FB-01095</t>
        </is>
      </c>
      <c r="B1096" t="inlineStr">
        <is>
          <t>CUST-0413</t>
        </is>
      </c>
      <c r="C1096" s="11" t="n">
        <v>46211</v>
      </c>
      <c r="D1096" t="inlineStr">
        <is>
          <t>Customer Survey</t>
        </is>
      </c>
      <c r="E1096" t="inlineStr">
        <is>
          <t>Professional</t>
        </is>
      </c>
      <c r="F1096" t="inlineStr">
        <is>
          <t>SMB</t>
        </is>
      </c>
      <c r="G1096" t="inlineStr">
        <is>
          <t>Contact Management</t>
        </is>
      </c>
      <c r="H1096" t="inlineStr">
        <is>
          <t>Bug</t>
        </is>
      </c>
      <c r="I1096" t="inlineStr">
        <is>
          <t>Quick note from our admin. The spreadsheet import rejects files with accented characters in names. Happy to join a feedback call.</t>
        </is>
      </c>
      <c r="J1096" t="inlineStr">
        <is>
          <t>Neutral</t>
        </is>
      </c>
      <c r="K1096" t="inlineStr">
        <is>
          <t>Medium</t>
        </is>
      </c>
      <c r="L1096" t="inlineStr">
        <is>
          <t>Minor Inconvenience</t>
        </is>
      </c>
      <c r="M1096" t="inlineStr">
        <is>
          <t>contact_import</t>
        </is>
      </c>
      <c r="N1096" t="inlineStr">
        <is>
          <t>Unreliable contact imports</t>
        </is>
      </c>
      <c r="O1096" t="inlineStr">
        <is>
          <t>2026-07</t>
        </is>
      </c>
    </row>
    <row r="1097">
      <c r="A1097" t="inlineStr">
        <is>
          <t>FB-01096</t>
        </is>
      </c>
      <c r="B1097" t="inlineStr">
        <is>
          <t>CUST-0284</t>
        </is>
      </c>
      <c r="C1097" s="11" t="n">
        <v>46211</v>
      </c>
      <c r="D1097" t="inlineStr">
        <is>
          <t>Feature Request</t>
        </is>
      </c>
      <c r="E1097" t="inlineStr">
        <is>
          <t>Enterprise</t>
        </is>
      </c>
      <c r="F1097" t="inlineStr">
        <is>
          <t>Enterprise</t>
        </is>
      </c>
      <c r="G1097" t="inlineStr">
        <is>
          <t>Contact Management</t>
        </is>
      </c>
      <c r="H1097" t="inlineStr">
        <is>
          <t>Feature Request</t>
        </is>
      </c>
      <c r="I1097" t="inlineStr">
        <is>
          <t>Sharing this from our team. Contact de-duplication tooling that keeps activity history would save our ops team hours. So far 85 people on our side have reported it. Let us know if you need examples.</t>
        </is>
      </c>
      <c r="J1097" t="inlineStr">
        <is>
          <t>Neutral</t>
        </is>
      </c>
      <c r="K1097" t="inlineStr">
        <is>
          <t>High</t>
        </is>
      </c>
      <c r="L1097" t="inlineStr">
        <is>
          <t>Blocks Key Task</t>
        </is>
      </c>
      <c r="M1097" t="inlineStr">
        <is>
          <t>contact_dedupe</t>
        </is>
      </c>
      <c r="N1097" t="inlineStr">
        <is>
          <t>Bulk contact merge</t>
        </is>
      </c>
      <c r="O1097" t="inlineStr">
        <is>
          <t>2026-07</t>
        </is>
      </c>
    </row>
    <row r="1098">
      <c r="A1098" t="inlineStr">
        <is>
          <t>FB-01097</t>
        </is>
      </c>
      <c r="B1098" t="inlineStr">
        <is>
          <t>CUST-0307</t>
        </is>
      </c>
      <c r="C1098" s="11" t="n">
        <v>46211</v>
      </c>
      <c r="D1098" t="inlineStr">
        <is>
          <t>In-App Feedback</t>
        </is>
      </c>
      <c r="E1098" t="inlineStr">
        <is>
          <t>Starter</t>
        </is>
      </c>
      <c r="F1098" t="inlineStr">
        <is>
          <t>SMB</t>
        </is>
      </c>
      <c r="G1098" t="inlineStr">
        <is>
          <t>Lead Management</t>
        </is>
      </c>
      <c r="H1098" t="inlineStr">
        <is>
          <t>Bug</t>
        </is>
      </c>
      <c r="I1098" t="inlineStr">
        <is>
          <t>Web form submissions keep creating lead de-duplication failures, and reps end up calling the same prospect twice. Is there a workaround?</t>
        </is>
      </c>
      <c r="J1098" t="inlineStr">
        <is>
          <t>Negative</t>
        </is>
      </c>
      <c r="K1098" t="inlineStr">
        <is>
          <t>Medium</t>
        </is>
      </c>
      <c r="L1098" t="inlineStr">
        <is>
          <t>Workflow Slowdown</t>
        </is>
      </c>
      <c r="M1098" t="inlineStr">
        <is>
          <t>lead_dup</t>
        </is>
      </c>
      <c r="N1098" t="inlineStr">
        <is>
          <t>Duplicate leads created</t>
        </is>
      </c>
      <c r="O1098" t="inlineStr">
        <is>
          <t>2026-07</t>
        </is>
      </c>
    </row>
    <row r="1099">
      <c r="A1099" t="inlineStr">
        <is>
          <t>FB-01098</t>
        </is>
      </c>
      <c r="B1099" t="inlineStr">
        <is>
          <t>CUST-0054</t>
        </is>
      </c>
      <c r="C1099" s="11" t="n">
        <v>46212</v>
      </c>
      <c r="D1099" t="inlineStr">
        <is>
          <t>Support Ticket</t>
        </is>
      </c>
      <c r="E1099" t="inlineStr">
        <is>
          <t>Enterprise</t>
        </is>
      </c>
      <c r="F1099" t="inlineStr">
        <is>
          <t>Enterprise</t>
        </is>
      </c>
      <c r="G1099" t="inlineStr">
        <is>
          <t>Contact Management</t>
        </is>
      </c>
      <c r="H1099" t="inlineStr">
        <is>
          <t>Bug</t>
        </is>
      </c>
      <c r="I1099" t="inlineStr">
        <is>
          <t>Frustrated with this one. The import field mapping rejects files with accented characters in names. Our finance analyst flagged it while onboarding 104 new users. Support suggested logging it here.</t>
        </is>
      </c>
      <c r="J1099" t="inlineStr">
        <is>
          <t>Negative</t>
        </is>
      </c>
      <c r="K1099" t="inlineStr">
        <is>
          <t>Critical</t>
        </is>
      </c>
      <c r="L1099" t="inlineStr">
        <is>
          <t>Blocks Key Task</t>
        </is>
      </c>
      <c r="M1099" t="inlineStr">
        <is>
          <t>contact_import</t>
        </is>
      </c>
      <c r="N1099" t="inlineStr">
        <is>
          <t>Unreliable contact imports</t>
        </is>
      </c>
      <c r="O1099" t="inlineStr">
        <is>
          <t>2026-07</t>
        </is>
      </c>
    </row>
    <row r="1100">
      <c r="A1100" t="inlineStr">
        <is>
          <t>FB-01099</t>
        </is>
      </c>
      <c r="B1100" t="inlineStr">
        <is>
          <t>CUST-0226</t>
        </is>
      </c>
      <c r="C1100" s="11" t="n">
        <v>46212</v>
      </c>
      <c r="D1100" t="inlineStr">
        <is>
          <t>Support Ticket</t>
        </is>
      </c>
      <c r="E1100" t="inlineStr">
        <is>
          <t>Professional</t>
        </is>
      </c>
      <c r="F1100" t="inlineStr">
        <is>
          <t>Enterprise</t>
        </is>
      </c>
      <c r="G1100" t="inlineStr">
        <is>
          <t>Integrations</t>
        </is>
      </c>
      <c r="H1100" t="inlineStr">
        <is>
          <t>Integration Issue</t>
        </is>
      </c>
      <c r="I1100" t="inlineStr">
        <is>
          <t>We keep hitting API rate limits during nightly syncs with our data warehouse. We need a fix before renewal.</t>
        </is>
      </c>
      <c r="J1100" t="inlineStr">
        <is>
          <t>Negative</t>
        </is>
      </c>
      <c r="K1100" t="inlineStr">
        <is>
          <t>Low</t>
        </is>
      </c>
      <c r="L1100" t="inlineStr">
        <is>
          <t>Minor Inconvenience</t>
        </is>
      </c>
      <c r="M1100" t="inlineStr">
        <is>
          <t>int_api</t>
        </is>
      </c>
      <c r="N1100" t="inlineStr">
        <is>
          <t>API limits and webhook failures</t>
        </is>
      </c>
      <c r="O1100" t="inlineStr">
        <is>
          <t>2026-07</t>
        </is>
      </c>
    </row>
    <row r="1101">
      <c r="A1101" t="inlineStr">
        <is>
          <t>FB-01100</t>
        </is>
      </c>
      <c r="B1101" t="inlineStr">
        <is>
          <t>CUST-0409</t>
        </is>
      </c>
      <c r="C1101" s="11" t="n">
        <v>46213</v>
      </c>
      <c r="D1101" t="inlineStr">
        <is>
          <t>Support Ticket</t>
        </is>
      </c>
      <c r="E1101" t="inlineStr">
        <is>
          <t>Starter</t>
        </is>
      </c>
      <c r="F1101" t="inlineStr">
        <is>
          <t>SMB</t>
        </is>
      </c>
      <c r="G1101" t="inlineStr">
        <is>
          <t>Reporting</t>
        </is>
      </c>
      <c r="H1101" t="inlineStr">
        <is>
          <t>Bug</t>
        </is>
      </c>
      <c r="I1101" t="inlineStr">
        <is>
          <t>Finance can't rely on the CSV export of reports; totals don't match the screen. Let us know if you need examples.</t>
        </is>
      </c>
      <c r="J1101" t="inlineStr">
        <is>
          <t>Neutral</t>
        </is>
      </c>
      <c r="K1101" t="inlineStr">
        <is>
          <t>Low</t>
        </is>
      </c>
      <c r="L1101" t="inlineStr">
        <is>
          <t>Workflow Slowdown</t>
        </is>
      </c>
      <c r="M1101" t="inlineStr">
        <is>
          <t>rep_export</t>
        </is>
      </c>
      <c r="N1101" t="inlineStr">
        <is>
          <t>Broken report exports</t>
        </is>
      </c>
      <c r="O1101" t="inlineStr">
        <is>
          <t>2026-07</t>
        </is>
      </c>
    </row>
    <row r="1102">
      <c r="A1102" t="inlineStr">
        <is>
          <t>FB-01101</t>
        </is>
      </c>
      <c r="B1102" t="inlineStr">
        <is>
          <t>CUST-0104</t>
        </is>
      </c>
      <c r="C1102" s="11" t="n">
        <v>46213</v>
      </c>
      <c r="D1102" t="inlineStr">
        <is>
          <t>In-App Feedback</t>
        </is>
      </c>
      <c r="E1102" t="inlineStr">
        <is>
          <t>Professional</t>
        </is>
      </c>
      <c r="F1102" t="inlineStr">
        <is>
          <t>Mid-Market</t>
        </is>
      </c>
      <c r="G1102" t="inlineStr">
        <is>
          <t>Reporting</t>
        </is>
      </c>
      <c r="H1102" t="inlineStr">
        <is>
          <t>Performance Issue</t>
        </is>
      </c>
      <c r="I1102" t="inlineStr">
        <is>
          <t>The dashboard loading is painfully slow with a full year of data.</t>
        </is>
      </c>
      <c r="J1102" t="inlineStr">
        <is>
          <t>Negative</t>
        </is>
      </c>
      <c r="K1102" t="inlineStr">
        <is>
          <t>Medium</t>
        </is>
      </c>
      <c r="L1102" t="inlineStr">
        <is>
          <t>Workflow Slowdown</t>
        </is>
      </c>
      <c r="M1102" t="inlineStr">
        <is>
          <t>rep_slow</t>
        </is>
      </c>
      <c r="N1102" t="inlineStr">
        <is>
          <t>Slow dashboards</t>
        </is>
      </c>
      <c r="O1102" t="inlineStr">
        <is>
          <t>2026-07</t>
        </is>
      </c>
    </row>
    <row r="1103">
      <c r="A1103" t="inlineStr">
        <is>
          <t>FB-01102</t>
        </is>
      </c>
      <c r="B1103" t="inlineStr">
        <is>
          <t>CUST-0054</t>
        </is>
      </c>
      <c r="C1103" s="11" t="n">
        <v>46213</v>
      </c>
      <c r="D1103" t="inlineStr">
        <is>
          <t>Support Ticket</t>
        </is>
      </c>
      <c r="E1103" t="inlineStr">
        <is>
          <t>Enterprise</t>
        </is>
      </c>
      <c r="F1103" t="inlineStr">
        <is>
          <t>Enterprise</t>
        </is>
      </c>
      <c r="G1103" t="inlineStr">
        <is>
          <t>Integrations</t>
        </is>
      </c>
      <c r="H1103" t="inlineStr">
        <is>
          <t>Integration Issue</t>
        </is>
      </c>
      <c r="I1103" t="inlineStr">
        <is>
          <t>Escalating on behalf of our ops lead. The Outlook calendar sync duplicates meetings and misses replies. It affects our lead handoff process every cycle. We need a fix before renewal.</t>
        </is>
      </c>
      <c r="J1103" t="inlineStr">
        <is>
          <t>Negative</t>
        </is>
      </c>
      <c r="K1103" t="inlineStr">
        <is>
          <t>Medium</t>
        </is>
      </c>
      <c r="L1103" t="inlineStr">
        <is>
          <t>Workflow Slowdown</t>
        </is>
      </c>
      <c r="M1103" t="inlineStr">
        <is>
          <t>int_email</t>
        </is>
      </c>
      <c r="N1103" t="inlineStr">
        <is>
          <t>Email and calendar sync drops</t>
        </is>
      </c>
      <c r="O1103" t="inlineStr">
        <is>
          <t>2026-07</t>
        </is>
      </c>
    </row>
    <row r="1104">
      <c r="A1104" t="inlineStr">
        <is>
          <t>FB-01103</t>
        </is>
      </c>
      <c r="B1104" t="inlineStr">
        <is>
          <t>CUST-0220</t>
        </is>
      </c>
      <c r="C1104" s="11" t="n">
        <v>46213</v>
      </c>
      <c r="D1104" t="inlineStr">
        <is>
          <t>Feature Request</t>
        </is>
      </c>
      <c r="E1104" t="inlineStr">
        <is>
          <t>Professional</t>
        </is>
      </c>
      <c r="F1104" t="inlineStr">
        <is>
          <t>Mid-Market</t>
        </is>
      </c>
      <c r="G1104" t="inlineStr">
        <is>
          <t>User Interface</t>
        </is>
      </c>
      <c r="H1104" t="inlineStr">
        <is>
          <t>Feature Request</t>
        </is>
      </c>
      <c r="I1104" t="inlineStr">
        <is>
          <t>FYI for the product team. Please prioritize offline mobile access; the mobile web view is hard to use. Let us know if you need examples.</t>
        </is>
      </c>
      <c r="J1104" t="inlineStr">
        <is>
          <t>Neutral</t>
        </is>
      </c>
      <c r="K1104" t="inlineStr">
        <is>
          <t>Low</t>
        </is>
      </c>
      <c r="L1104" t="inlineStr">
        <is>
          <t>Minor Inconvenience</t>
        </is>
      </c>
      <c r="M1104" t="inlineStr">
        <is>
          <t>ui_mobile</t>
        </is>
      </c>
      <c r="N1104" t="inlineStr">
        <is>
          <t>Mobile app</t>
        </is>
      </c>
      <c r="O1104" t="inlineStr">
        <is>
          <t>2026-07</t>
        </is>
      </c>
    </row>
    <row r="1105">
      <c r="A1105" t="inlineStr">
        <is>
          <t>FB-01104</t>
        </is>
      </c>
      <c r="B1105" t="inlineStr">
        <is>
          <t>CUST-0322</t>
        </is>
      </c>
      <c r="C1105" s="11" t="n">
        <v>46214</v>
      </c>
      <c r="D1105" t="inlineStr">
        <is>
          <t>Support Ticket</t>
        </is>
      </c>
      <c r="E1105" t="inlineStr">
        <is>
          <t>Starter</t>
        </is>
      </c>
      <c r="F1105" t="inlineStr">
        <is>
          <t>SMB</t>
        </is>
      </c>
      <c r="G1105" t="inlineStr">
        <is>
          <t>Contact Management</t>
        </is>
      </c>
      <c r="H1105" t="inlineStr">
        <is>
          <t>Bug</t>
        </is>
      </c>
      <c r="I1105" t="inlineStr">
        <is>
          <t>Noting this during onboarding. Our contact CSV import scrambles phone and email columns even after we map them correctly. Our customer success lead flagged it while onboarding 91 new users.</t>
        </is>
      </c>
      <c r="J1105" t="inlineStr">
        <is>
          <t>Neutral</t>
        </is>
      </c>
      <c r="K1105" t="inlineStr">
        <is>
          <t>Low</t>
        </is>
      </c>
      <c r="L1105" t="inlineStr">
        <is>
          <t>Minor Inconvenience</t>
        </is>
      </c>
      <c r="M1105" t="inlineStr">
        <is>
          <t>contact_import</t>
        </is>
      </c>
      <c r="N1105" t="inlineStr">
        <is>
          <t>Unreliable contact imports</t>
        </is>
      </c>
      <c r="O1105" t="inlineStr">
        <is>
          <t>2026-07</t>
        </is>
      </c>
    </row>
    <row r="1106">
      <c r="A1106" t="inlineStr">
        <is>
          <t>FB-01105</t>
        </is>
      </c>
      <c r="B1106" t="inlineStr">
        <is>
          <t>CUST-0164</t>
        </is>
      </c>
      <c r="C1106" s="11" t="n">
        <v>46214</v>
      </c>
      <c r="D1106" t="inlineStr">
        <is>
          <t>Customer Survey</t>
        </is>
      </c>
      <c r="E1106" t="inlineStr">
        <is>
          <t>Starter</t>
        </is>
      </c>
      <c r="F1106" t="inlineStr">
        <is>
          <t>SMB</t>
        </is>
      </c>
      <c r="G1106" t="inlineStr">
        <is>
          <t>User Interface</t>
        </is>
      </c>
      <c r="H1106" t="inlineStr">
        <is>
          <t>Usability Issue</t>
        </is>
      </c>
      <c r="I1106" t="inlineStr">
        <is>
          <t>Sharing this from our team. Too many clicks to reach common screens because of the page layout. So far 7 people on our side have reported it. Let us know if you need examples.</t>
        </is>
      </c>
      <c r="J1106" t="inlineStr">
        <is>
          <t>Neutral</t>
        </is>
      </c>
      <c r="K1106" t="inlineStr">
        <is>
          <t>High</t>
        </is>
      </c>
      <c r="L1106" t="inlineStr">
        <is>
          <t>Blocks Key Task</t>
        </is>
      </c>
      <c r="M1106" t="inlineStr">
        <is>
          <t>ui_nav</t>
        </is>
      </c>
      <c r="N1106" t="inlineStr">
        <is>
          <t>Cluttered navigation</t>
        </is>
      </c>
      <c r="O1106" t="inlineStr">
        <is>
          <t>2026-07</t>
        </is>
      </c>
    </row>
    <row r="1107">
      <c r="A1107" t="inlineStr">
        <is>
          <t>FB-01106</t>
        </is>
      </c>
      <c r="B1107" t="inlineStr">
        <is>
          <t>CUST-0378</t>
        </is>
      </c>
      <c r="C1107" s="11" t="n">
        <v>46214</v>
      </c>
      <c r="D1107" t="inlineStr">
        <is>
          <t>Customer Survey</t>
        </is>
      </c>
      <c r="E1107" t="inlineStr">
        <is>
          <t>Starter</t>
        </is>
      </c>
      <c r="F1107" t="inlineStr">
        <is>
          <t>SMB</t>
        </is>
      </c>
      <c r="G1107" t="inlineStr">
        <is>
          <t>User Interface</t>
        </is>
      </c>
      <c r="H1107" t="inlineStr">
        <is>
          <t>Usability Issue</t>
        </is>
      </c>
      <c r="I1107" t="inlineStr">
        <is>
          <t>Frustrated with this one. New hires get lost in the settings navigation; it takes weeks to learn. Is there a workaround?</t>
        </is>
      </c>
      <c r="J1107" t="inlineStr">
        <is>
          <t>Negative</t>
        </is>
      </c>
      <c r="K1107" t="inlineStr">
        <is>
          <t>High</t>
        </is>
      </c>
      <c r="L1107" t="inlineStr">
        <is>
          <t>Blocks Key Task</t>
        </is>
      </c>
      <c r="M1107" t="inlineStr">
        <is>
          <t>ui_nav</t>
        </is>
      </c>
      <c r="N1107" t="inlineStr">
        <is>
          <t>Cluttered navigation</t>
        </is>
      </c>
      <c r="O1107" t="inlineStr">
        <is>
          <t>2026-07</t>
        </is>
      </c>
    </row>
    <row r="1108">
      <c r="A1108" t="inlineStr">
        <is>
          <t>FB-01107</t>
        </is>
      </c>
      <c r="B1108" t="inlineStr">
        <is>
          <t>CUST-0035</t>
        </is>
      </c>
      <c r="C1108" s="11" t="n">
        <v>46214</v>
      </c>
      <c r="D1108" t="inlineStr">
        <is>
          <t>Customer Survey</t>
        </is>
      </c>
      <c r="E1108" t="inlineStr">
        <is>
          <t>Professional</t>
        </is>
      </c>
      <c r="F1108" t="inlineStr">
        <is>
          <t>Enterprise</t>
        </is>
      </c>
      <c r="G1108" t="inlineStr">
        <is>
          <t>Lead Management</t>
        </is>
      </c>
      <c r="H1108" t="inlineStr">
        <is>
          <t>Feature Request</t>
        </is>
      </c>
      <c r="I1108" t="inlineStr">
        <is>
          <t>Happy with most of the product. We need lead scoring rules so reps can focus on the prospects most likely to close. We estimate we lose roughly 14 hours a month on this. Happy to beta test.</t>
        </is>
      </c>
      <c r="J1108" t="inlineStr">
        <is>
          <t>Positive</t>
        </is>
      </c>
      <c r="K1108" t="inlineStr">
        <is>
          <t>Low</t>
        </is>
      </c>
      <c r="L1108" t="inlineStr">
        <is>
          <t>Minor Inconvenience</t>
        </is>
      </c>
      <c r="M1108" t="inlineStr">
        <is>
          <t>lead_score</t>
        </is>
      </c>
      <c r="N1108" t="inlineStr">
        <is>
          <t>Automated lead scoring</t>
        </is>
      </c>
      <c r="O1108" t="inlineStr">
        <is>
          <t>2026-07</t>
        </is>
      </c>
    </row>
    <row r="1109">
      <c r="A1109" t="inlineStr">
        <is>
          <t>FB-01108</t>
        </is>
      </c>
      <c r="B1109" t="inlineStr">
        <is>
          <t>CUST-0186</t>
        </is>
      </c>
      <c r="C1109" s="11" t="n">
        <v>46215</v>
      </c>
      <c r="D1109" t="inlineStr">
        <is>
          <t>Support Ticket</t>
        </is>
      </c>
      <c r="E1109" t="inlineStr">
        <is>
          <t>Professional</t>
        </is>
      </c>
      <c r="F1109" t="inlineStr">
        <is>
          <t>SMB</t>
        </is>
      </c>
      <c r="G1109" t="inlineStr">
        <is>
          <t>Integrations</t>
        </is>
      </c>
      <c r="H1109" t="inlineStr">
        <is>
          <t>Integration Issue</t>
        </is>
      </c>
      <c r="I1109" t="inlineStr">
        <is>
          <t>Frustrated with this one. Reps no longer trust Outlook calendar sync, so they log activity by hand. Our finance analyst flagged it while onboarding 115 new users. Support suggested logging it here.</t>
        </is>
      </c>
      <c r="J1109" t="inlineStr">
        <is>
          <t>Negative</t>
        </is>
      </c>
      <c r="K1109" t="inlineStr">
        <is>
          <t>High</t>
        </is>
      </c>
      <c r="L1109" t="inlineStr">
        <is>
          <t>Workflow Slowdown</t>
        </is>
      </c>
      <c r="M1109" t="inlineStr">
        <is>
          <t>int_email</t>
        </is>
      </c>
      <c r="N1109" t="inlineStr">
        <is>
          <t>Email and calendar sync drops</t>
        </is>
      </c>
      <c r="O1109" t="inlineStr">
        <is>
          <t>2026-07</t>
        </is>
      </c>
    </row>
    <row r="1110">
      <c r="A1110" t="inlineStr">
        <is>
          <t>FB-01109</t>
        </is>
      </c>
      <c r="B1110" t="inlineStr">
        <is>
          <t>CUST-0066</t>
        </is>
      </c>
      <c r="C1110" s="11" t="n">
        <v>46215</v>
      </c>
      <c r="D1110" t="inlineStr">
        <is>
          <t>Feature Request</t>
        </is>
      </c>
      <c r="E1110" t="inlineStr">
        <is>
          <t>Starter</t>
        </is>
      </c>
      <c r="F1110" t="inlineStr">
        <is>
          <t>SMB</t>
        </is>
      </c>
      <c r="G1110" t="inlineStr">
        <is>
          <t>Contact Management</t>
        </is>
      </c>
      <c r="H1110" t="inlineStr">
        <is>
          <t>Feature Request</t>
        </is>
      </c>
      <c r="I1110" t="inlineStr">
        <is>
          <t>Sharing this from our team. Lacking a contact relationship hierarchy forces us to keep a parallel spreadsheet. So far 29 people on our side have reported it. Let us know if you need examples.</t>
        </is>
      </c>
      <c r="J1110" t="inlineStr">
        <is>
          <t>Neutral</t>
        </is>
      </c>
      <c r="K1110" t="inlineStr">
        <is>
          <t>Medium</t>
        </is>
      </c>
      <c r="L1110" t="inlineStr">
        <is>
          <t>Minor Inconvenience</t>
        </is>
      </c>
      <c r="M1110" t="inlineStr">
        <is>
          <t>contact_custom</t>
        </is>
      </c>
      <c r="N1110" t="inlineStr">
        <is>
          <t>Custom fields and hierarchy</t>
        </is>
      </c>
      <c r="O1110" t="inlineStr">
        <is>
          <t>2026-07</t>
        </is>
      </c>
    </row>
    <row r="1111">
      <c r="A1111" t="inlineStr">
        <is>
          <t>FB-01110</t>
        </is>
      </c>
      <c r="B1111" t="inlineStr">
        <is>
          <t>CUST-0325</t>
        </is>
      </c>
      <c r="C1111" s="11" t="n">
        <v>46215</v>
      </c>
      <c r="D1111" t="inlineStr">
        <is>
          <t>Support Ticket</t>
        </is>
      </c>
      <c r="E1111" t="inlineStr">
        <is>
          <t>Starter</t>
        </is>
      </c>
      <c r="F1111" t="inlineStr">
        <is>
          <t>SMB</t>
        </is>
      </c>
      <c r="G1111" t="inlineStr">
        <is>
          <t>Reporting</t>
        </is>
      </c>
      <c r="H1111" t="inlineStr">
        <is>
          <t>Bug</t>
        </is>
      </c>
      <c r="I1111" t="inlineStr">
        <is>
          <t>Escalating on behalf of our ops lead. Finance can't rely on the report export; totals don't match the screen. Our RevOps lead flagged it while onboarding 110 new users.</t>
        </is>
      </c>
      <c r="J1111" t="inlineStr">
        <is>
          <t>Negative</t>
        </is>
      </c>
      <c r="K1111" t="inlineStr">
        <is>
          <t>High</t>
        </is>
      </c>
      <c r="L1111" t="inlineStr">
        <is>
          <t>Blocks Key Task</t>
        </is>
      </c>
      <c r="M1111" t="inlineStr">
        <is>
          <t>rep_export</t>
        </is>
      </c>
      <c r="N1111" t="inlineStr">
        <is>
          <t>Broken report exports</t>
        </is>
      </c>
      <c r="O1111" t="inlineStr">
        <is>
          <t>2026-07</t>
        </is>
      </c>
    </row>
    <row r="1112">
      <c r="A1112" t="inlineStr">
        <is>
          <t>FB-01111</t>
        </is>
      </c>
      <c r="B1112" t="inlineStr">
        <is>
          <t>CUST-0117</t>
        </is>
      </c>
      <c r="C1112" s="11" t="n">
        <v>46215</v>
      </c>
      <c r="D1112" t="inlineStr">
        <is>
          <t>Support Ticket</t>
        </is>
      </c>
      <c r="E1112" t="inlineStr">
        <is>
          <t>Professional</t>
        </is>
      </c>
      <c r="F1112" t="inlineStr">
        <is>
          <t>Mid-Market</t>
        </is>
      </c>
      <c r="G1112" t="inlineStr">
        <is>
          <t>Lead Management</t>
        </is>
      </c>
      <c r="H1112" t="inlineStr">
        <is>
          <t>Usability Issue</t>
        </is>
      </c>
      <c r="I1112" t="inlineStr">
        <is>
          <t>Noting this during onboarding. We can't combine region and deal size in the round-robin lead assignment. Our finance analyst flagged it while onboarding 91 new users. Happy to join a feedback call.</t>
        </is>
      </c>
      <c r="J1112" t="inlineStr">
        <is>
          <t>Neutral</t>
        </is>
      </c>
      <c r="K1112" t="inlineStr">
        <is>
          <t>Low</t>
        </is>
      </c>
      <c r="L1112" t="inlineStr">
        <is>
          <t>Minor Inconvenience</t>
        </is>
      </c>
      <c r="M1112" t="inlineStr">
        <is>
          <t>lead_assign</t>
        </is>
      </c>
      <c r="N1112" t="inlineStr">
        <is>
          <t>Lead routing is inflexible</t>
        </is>
      </c>
      <c r="O1112" t="inlineStr">
        <is>
          <t>2026-07</t>
        </is>
      </c>
    </row>
    <row r="1113">
      <c r="A1113" t="inlineStr">
        <is>
          <t>FB-01112</t>
        </is>
      </c>
      <c r="B1113" t="inlineStr">
        <is>
          <t>CUST-0368</t>
        </is>
      </c>
      <c r="C1113" s="11" t="n">
        <v>46216</v>
      </c>
      <c r="D1113" t="inlineStr">
        <is>
          <t>Customer Survey</t>
        </is>
      </c>
      <c r="E1113" t="inlineStr">
        <is>
          <t>Starter</t>
        </is>
      </c>
      <c r="F1113" t="inlineStr">
        <is>
          <t>SMB</t>
        </is>
      </c>
      <c r="G1113" t="inlineStr">
        <is>
          <t>User Interface</t>
        </is>
      </c>
      <c r="H1113" t="inlineStr">
        <is>
          <t>Usability Issue</t>
        </is>
      </c>
      <c r="I1113" t="inlineStr">
        <is>
          <t>Escalating on behalf of our ops lead. The navigation menu changed and nobody told us where things moved. Our RevOps lead flagged it while onboarding 42 new users.</t>
        </is>
      </c>
      <c r="J1113" t="inlineStr">
        <is>
          <t>Negative</t>
        </is>
      </c>
      <c r="K1113" t="inlineStr">
        <is>
          <t>Low</t>
        </is>
      </c>
      <c r="L1113" t="inlineStr">
        <is>
          <t>Workflow Slowdown</t>
        </is>
      </c>
      <c r="M1113" t="inlineStr">
        <is>
          <t>ui_nav</t>
        </is>
      </c>
      <c r="N1113" t="inlineStr">
        <is>
          <t>Cluttered navigation</t>
        </is>
      </c>
      <c r="O1113" t="inlineStr">
        <is>
          <t>2026-07</t>
        </is>
      </c>
    </row>
    <row r="1114">
      <c r="A1114" t="inlineStr">
        <is>
          <t>FB-01113</t>
        </is>
      </c>
      <c r="B1114" t="inlineStr">
        <is>
          <t>CUST-0206</t>
        </is>
      </c>
      <c r="C1114" s="11" t="n">
        <v>46216</v>
      </c>
      <c r="D1114" t="inlineStr">
        <is>
          <t>In-App Feedback</t>
        </is>
      </c>
      <c r="E1114" t="inlineStr">
        <is>
          <t>Professional</t>
        </is>
      </c>
      <c r="F1114" t="inlineStr">
        <is>
          <t>Mid-Market</t>
        </is>
      </c>
      <c r="G1114" t="inlineStr">
        <is>
          <t>Reporting</t>
        </is>
      </c>
      <c r="H1114" t="inlineStr">
        <is>
          <t>Feature Request</t>
        </is>
      </c>
      <c r="I1114" t="inlineStr">
        <is>
          <t>Please add forecast rollups; managers keep a separate spreadsheet.</t>
        </is>
      </c>
      <c r="J1114" t="inlineStr">
        <is>
          <t>Neutral</t>
        </is>
      </c>
      <c r="K1114" t="inlineStr">
        <is>
          <t>High</t>
        </is>
      </c>
      <c r="L1114" t="inlineStr">
        <is>
          <t>Workflow Slowdown</t>
        </is>
      </c>
      <c r="M1114" t="inlineStr">
        <is>
          <t>rep_forecast</t>
        </is>
      </c>
      <c r="N1114" t="inlineStr">
        <is>
          <t>Sales forecasting</t>
        </is>
      </c>
      <c r="O1114" t="inlineStr">
        <is>
          <t>2026-07</t>
        </is>
      </c>
    </row>
    <row r="1115">
      <c r="A1115" t="inlineStr">
        <is>
          <t>FB-01114</t>
        </is>
      </c>
      <c r="B1115" t="inlineStr">
        <is>
          <t>CUST-0071</t>
        </is>
      </c>
      <c r="C1115" s="11" t="n">
        <v>46216</v>
      </c>
      <c r="D1115" t="inlineStr">
        <is>
          <t>Feature Request</t>
        </is>
      </c>
      <c r="E1115" t="inlineStr">
        <is>
          <t>Professional</t>
        </is>
      </c>
      <c r="F1115" t="inlineStr">
        <is>
          <t>Mid-Market</t>
        </is>
      </c>
      <c r="G1115" t="inlineStr">
        <is>
          <t>Contact Management</t>
        </is>
      </c>
      <c r="H1115" t="inlineStr">
        <is>
          <t>Feature Request</t>
        </is>
      </c>
      <c r="I1115" t="inlineStr">
        <is>
          <t>Overall we like the product. We need a bulk contact merge because our database has years of overlapping records.</t>
        </is>
      </c>
      <c r="J1115" t="inlineStr">
        <is>
          <t>Positive</t>
        </is>
      </c>
      <c r="K1115" t="inlineStr">
        <is>
          <t>Medium</t>
        </is>
      </c>
      <c r="L1115" t="inlineStr">
        <is>
          <t>Workflow Slowdown</t>
        </is>
      </c>
      <c r="M1115" t="inlineStr">
        <is>
          <t>contact_dedupe</t>
        </is>
      </c>
      <c r="N1115" t="inlineStr">
        <is>
          <t>Bulk contact merge</t>
        </is>
      </c>
      <c r="O1115" t="inlineStr">
        <is>
          <t>2026-07</t>
        </is>
      </c>
    </row>
    <row r="1116">
      <c r="A1116" t="inlineStr">
        <is>
          <t>FB-01115</t>
        </is>
      </c>
      <c r="B1116" t="inlineStr">
        <is>
          <t>CUST-0162</t>
        </is>
      </c>
      <c r="C1116" s="11" t="n">
        <v>46216</v>
      </c>
      <c r="D1116" t="inlineStr">
        <is>
          <t>Customer Survey</t>
        </is>
      </c>
      <c r="E1116" t="inlineStr">
        <is>
          <t>Professional</t>
        </is>
      </c>
      <c r="F1116" t="inlineStr">
        <is>
          <t>Mid-Market</t>
        </is>
      </c>
      <c r="G1116" t="inlineStr">
        <is>
          <t>Reporting</t>
        </is>
      </c>
      <c r="H1116" t="inlineStr">
        <is>
          <t>Performance Issue</t>
        </is>
      </c>
      <c r="I1116" t="inlineStr">
        <is>
          <t>Execs gave up on the dashboard loading and ask for screenshots instead. It affects our onboarding process every cycle. Happy to join a feedback call.</t>
        </is>
      </c>
      <c r="J1116" t="inlineStr">
        <is>
          <t>Neutral</t>
        </is>
      </c>
      <c r="K1116" t="inlineStr">
        <is>
          <t>High</t>
        </is>
      </c>
      <c r="L1116" t="inlineStr">
        <is>
          <t>Workflow Slowdown</t>
        </is>
      </c>
      <c r="M1116" t="inlineStr">
        <is>
          <t>rep_slow</t>
        </is>
      </c>
      <c r="N1116" t="inlineStr">
        <is>
          <t>Slow dashboards</t>
        </is>
      </c>
      <c r="O1116" t="inlineStr">
        <is>
          <t>2026-07</t>
        </is>
      </c>
    </row>
    <row r="1117">
      <c r="A1117" t="inlineStr">
        <is>
          <t>FB-01116</t>
        </is>
      </c>
      <c r="B1117" t="inlineStr">
        <is>
          <t>CUST-0320</t>
        </is>
      </c>
      <c r="C1117" s="11" t="n">
        <v>46216</v>
      </c>
      <c r="D1117" t="inlineStr">
        <is>
          <t>Support Ticket</t>
        </is>
      </c>
      <c r="E1117" t="inlineStr">
        <is>
          <t>Professional</t>
        </is>
      </c>
      <c r="F1117" t="inlineStr">
        <is>
          <t>Mid-Market</t>
        </is>
      </c>
      <c r="G1117" t="inlineStr">
        <is>
          <t>Reporting</t>
        </is>
      </c>
      <c r="H1117" t="inlineStr">
        <is>
          <t>Performance Issue</t>
        </is>
      </c>
      <c r="I1117" t="inlineStr">
        <is>
          <t>Not what we expected for the price. The dashboard loading is painfully slow with a full year of data. So far 18 people on our side have reported it. Support suggested logging it here.</t>
        </is>
      </c>
      <c r="J1117" t="inlineStr">
        <is>
          <t>Negative</t>
        </is>
      </c>
      <c r="K1117" t="inlineStr">
        <is>
          <t>High</t>
        </is>
      </c>
      <c r="L1117" t="inlineStr">
        <is>
          <t>Workflow Slowdown</t>
        </is>
      </c>
      <c r="M1117" t="inlineStr">
        <is>
          <t>rep_slow</t>
        </is>
      </c>
      <c r="N1117" t="inlineStr">
        <is>
          <t>Slow dashboards</t>
        </is>
      </c>
      <c r="O1117" t="inlineStr">
        <is>
          <t>2026-07</t>
        </is>
      </c>
    </row>
    <row r="1118">
      <c r="A1118" t="inlineStr">
        <is>
          <t>FB-01117</t>
        </is>
      </c>
      <c r="B1118" t="inlineStr">
        <is>
          <t>CUST-0381</t>
        </is>
      </c>
      <c r="C1118" s="11" t="n">
        <v>46216</v>
      </c>
      <c r="D1118" t="inlineStr">
        <is>
          <t>Support Ticket</t>
        </is>
      </c>
      <c r="E1118" t="inlineStr">
        <is>
          <t>Professional</t>
        </is>
      </c>
      <c r="F1118" t="inlineStr">
        <is>
          <t>Mid-Market</t>
        </is>
      </c>
      <c r="G1118" t="inlineStr">
        <is>
          <t>Contact Management</t>
        </is>
      </c>
      <c r="H1118" t="inlineStr">
        <is>
          <t>Bug</t>
        </is>
      </c>
      <c r="I1118" t="inlineStr">
        <is>
          <t>Raising this again after our last business review. The contact CSV import rejects files with accented characters in names. It happens about 14 times a week for our team of 19. We need a fix before renewal.</t>
        </is>
      </c>
      <c r="J1118" t="inlineStr">
        <is>
          <t>Negative</t>
        </is>
      </c>
      <c r="K1118" t="inlineStr">
        <is>
          <t>Medium</t>
        </is>
      </c>
      <c r="L1118" t="inlineStr">
        <is>
          <t>Blocks Key Task</t>
        </is>
      </c>
      <c r="M1118" t="inlineStr">
        <is>
          <t>contact_import</t>
        </is>
      </c>
      <c r="N1118" t="inlineStr">
        <is>
          <t>Unreliable contact imports</t>
        </is>
      </c>
      <c r="O1118" t="inlineStr">
        <is>
          <t>2026-07</t>
        </is>
      </c>
    </row>
    <row r="1119">
      <c r="A1119" t="inlineStr">
        <is>
          <t>FB-01118</t>
        </is>
      </c>
      <c r="B1119" t="inlineStr">
        <is>
          <t>CUST-0269</t>
        </is>
      </c>
      <c r="C1119" s="11" t="n">
        <v>46217</v>
      </c>
      <c r="D1119" t="inlineStr">
        <is>
          <t>In-App Feedback</t>
        </is>
      </c>
      <c r="E1119" t="inlineStr">
        <is>
          <t>Professional</t>
        </is>
      </c>
      <c r="F1119" t="inlineStr">
        <is>
          <t>SMB</t>
        </is>
      </c>
      <c r="G1119" t="inlineStr">
        <is>
          <t>Lead Management</t>
        </is>
      </c>
      <c r="H1119" t="inlineStr">
        <is>
          <t>Bug</t>
        </is>
      </c>
      <c r="I1119" t="inlineStr">
        <is>
          <t>There are duplicate lead records across our pipeline views and nobody knows which record is the source of truth. It affects our quarterly planning process every cycle. Keep up the good work.</t>
        </is>
      </c>
      <c r="J1119" t="inlineStr">
        <is>
          <t>Positive</t>
        </is>
      </c>
      <c r="K1119" t="inlineStr">
        <is>
          <t>High</t>
        </is>
      </c>
      <c r="L1119" t="inlineStr">
        <is>
          <t>Blocks Key Task</t>
        </is>
      </c>
      <c r="M1119" t="inlineStr">
        <is>
          <t>lead_dup</t>
        </is>
      </c>
      <c r="N1119" t="inlineStr">
        <is>
          <t>Duplicate leads created</t>
        </is>
      </c>
      <c r="O1119" t="inlineStr">
        <is>
          <t>2026-07</t>
        </is>
      </c>
    </row>
    <row r="1120">
      <c r="A1120" t="inlineStr">
        <is>
          <t>FB-01119</t>
        </is>
      </c>
      <c r="B1120" t="inlineStr">
        <is>
          <t>CUST-0171</t>
        </is>
      </c>
      <c r="C1120" s="11" t="n">
        <v>46217</v>
      </c>
      <c r="D1120" t="inlineStr">
        <is>
          <t>Customer Survey</t>
        </is>
      </c>
      <c r="E1120" t="inlineStr">
        <is>
          <t>Professional</t>
        </is>
      </c>
      <c r="F1120" t="inlineStr">
        <is>
          <t>Mid-Market</t>
        </is>
      </c>
      <c r="G1120" t="inlineStr">
        <is>
          <t>Reporting</t>
        </is>
      </c>
      <c r="H1120" t="inlineStr">
        <is>
          <t>Feature Request</t>
        </is>
      </c>
      <c r="I1120" t="inlineStr">
        <is>
          <t>Sharing this from our team. We need a custom report builder so non-technical managers can create their own views.</t>
        </is>
      </c>
      <c r="J1120" t="inlineStr">
        <is>
          <t>Neutral</t>
        </is>
      </c>
      <c r="K1120" t="inlineStr">
        <is>
          <t>Medium</t>
        </is>
      </c>
      <c r="L1120" t="inlineStr">
        <is>
          <t>Minor Inconvenience</t>
        </is>
      </c>
      <c r="M1120" t="inlineStr">
        <is>
          <t>rep_custom</t>
        </is>
      </c>
      <c r="N1120" t="inlineStr">
        <is>
          <t>Custom and scheduled reports</t>
        </is>
      </c>
      <c r="O1120" t="inlineStr">
        <is>
          <t>2026-07</t>
        </is>
      </c>
    </row>
    <row r="1121">
      <c r="A1121" t="inlineStr">
        <is>
          <t>FB-01120</t>
        </is>
      </c>
      <c r="B1121" t="inlineStr">
        <is>
          <t>CUST-0293</t>
        </is>
      </c>
      <c r="C1121" s="11" t="n">
        <v>46217</v>
      </c>
      <c r="D1121" t="inlineStr">
        <is>
          <t>Feature Request</t>
        </is>
      </c>
      <c r="E1121" t="inlineStr">
        <is>
          <t>Enterprise</t>
        </is>
      </c>
      <c r="F1121" t="inlineStr">
        <is>
          <t>Enterprise</t>
        </is>
      </c>
      <c r="G1121" t="inlineStr">
        <is>
          <t>Integrations</t>
        </is>
      </c>
      <c r="H1121" t="inlineStr">
        <is>
          <t>Integration Issue</t>
        </is>
      </c>
      <c r="I1121" t="inlineStr">
        <is>
          <t>Our Gmail sync keeps disconnecting and activities are missing from the contact timeline. So far 111 people on our side have reported it. Support suggested logging it here.</t>
        </is>
      </c>
      <c r="J1121" t="inlineStr">
        <is>
          <t>Negative</t>
        </is>
      </c>
      <c r="K1121" t="inlineStr">
        <is>
          <t>Critical</t>
        </is>
      </c>
      <c r="L1121" t="inlineStr">
        <is>
          <t>Revenue/Operations Risk</t>
        </is>
      </c>
      <c r="M1121" t="inlineStr">
        <is>
          <t>int_email</t>
        </is>
      </c>
      <c r="N1121" t="inlineStr">
        <is>
          <t>Email and calendar sync drops</t>
        </is>
      </c>
      <c r="O1121" t="inlineStr">
        <is>
          <t>2026-07</t>
        </is>
      </c>
    </row>
    <row r="1122">
      <c r="A1122" t="inlineStr">
        <is>
          <t>FB-01121</t>
        </is>
      </c>
      <c r="B1122" t="inlineStr">
        <is>
          <t>CUST-0187</t>
        </is>
      </c>
      <c r="C1122" s="11" t="n">
        <v>46217</v>
      </c>
      <c r="D1122" t="inlineStr">
        <is>
          <t>Customer Survey</t>
        </is>
      </c>
      <c r="E1122" t="inlineStr">
        <is>
          <t>Enterprise</t>
        </is>
      </c>
      <c r="F1122" t="inlineStr">
        <is>
          <t>Mid-Market</t>
        </is>
      </c>
      <c r="G1122" t="inlineStr">
        <is>
          <t>User Interface</t>
        </is>
      </c>
      <c r="H1122" t="inlineStr">
        <is>
          <t>Feature Request</t>
        </is>
      </c>
      <c r="I1122" t="inlineStr">
        <is>
          <t>FYI for the product team. Requesting mobile call logging so reps can log activity right after a meeting.</t>
        </is>
      </c>
      <c r="J1122" t="inlineStr">
        <is>
          <t>Neutral</t>
        </is>
      </c>
      <c r="K1122" t="inlineStr">
        <is>
          <t>Medium</t>
        </is>
      </c>
      <c r="L1122" t="inlineStr">
        <is>
          <t>Minor Inconvenience</t>
        </is>
      </c>
      <c r="M1122" t="inlineStr">
        <is>
          <t>ui_mobile</t>
        </is>
      </c>
      <c r="N1122" t="inlineStr">
        <is>
          <t>Mobile app</t>
        </is>
      </c>
      <c r="O1122" t="inlineStr">
        <is>
          <t>2026-07</t>
        </is>
      </c>
    </row>
    <row r="1123">
      <c r="A1123" t="inlineStr">
        <is>
          <t>FB-01122</t>
        </is>
      </c>
      <c r="B1123" t="inlineStr">
        <is>
          <t>CUST-0147</t>
        </is>
      </c>
      <c r="C1123" s="11" t="n">
        <v>46217</v>
      </c>
      <c r="D1123" t="inlineStr">
        <is>
          <t>Customer Survey</t>
        </is>
      </c>
      <c r="E1123" t="inlineStr">
        <is>
          <t>Enterprise</t>
        </is>
      </c>
      <c r="F1123" t="inlineStr">
        <is>
          <t>Enterprise</t>
        </is>
      </c>
      <c r="G1123" t="inlineStr">
        <is>
          <t>Workflow Automation</t>
        </is>
      </c>
      <c r="H1123" t="inlineStr">
        <is>
          <t>Feature Request</t>
        </is>
      </c>
      <c r="I1123" t="inlineStr">
        <is>
          <t>Sharing this from our team. Adding multi-level approvals is a blocker for our finance team. Let us know if you need examples.</t>
        </is>
      </c>
      <c r="J1123" t="inlineStr">
        <is>
          <t>Neutral</t>
        </is>
      </c>
      <c r="K1123" t="inlineStr">
        <is>
          <t>Low</t>
        </is>
      </c>
      <c r="L1123" t="inlineStr">
        <is>
          <t>Minor Inconvenience</t>
        </is>
      </c>
      <c r="M1123" t="inlineStr">
        <is>
          <t>wf_approval</t>
        </is>
      </c>
      <c r="N1123" t="inlineStr">
        <is>
          <t>Approval steps in workflows</t>
        </is>
      </c>
      <c r="O1123" t="inlineStr">
        <is>
          <t>2026-07</t>
        </is>
      </c>
    </row>
    <row r="1124">
      <c r="A1124" t="inlineStr">
        <is>
          <t>FB-01123</t>
        </is>
      </c>
      <c r="B1124" t="inlineStr">
        <is>
          <t>CUST-0103</t>
        </is>
      </c>
      <c r="C1124" s="11" t="n">
        <v>46217</v>
      </c>
      <c r="D1124" t="inlineStr">
        <is>
          <t>Support Ticket</t>
        </is>
      </c>
      <c r="E1124" t="inlineStr">
        <is>
          <t>Professional</t>
        </is>
      </c>
      <c r="F1124" t="inlineStr">
        <is>
          <t>Mid-Market</t>
        </is>
      </c>
      <c r="G1124" t="inlineStr">
        <is>
          <t>Workflow Automation</t>
        </is>
      </c>
      <c r="H1124" t="inlineStr">
        <is>
          <t>Feature Request</t>
        </is>
      </c>
      <c r="I1124" t="inlineStr">
        <is>
          <t>FYI for the product team. We need multi-level approvals in workflows so managers can sign off on discounts. It affects our quarterly planning process every cycle. Happy to join a feedback call.</t>
        </is>
      </c>
      <c r="J1124" t="inlineStr">
        <is>
          <t>Neutral</t>
        </is>
      </c>
      <c r="K1124" t="inlineStr">
        <is>
          <t>Low</t>
        </is>
      </c>
      <c r="L1124" t="inlineStr">
        <is>
          <t>Workflow Slowdown</t>
        </is>
      </c>
      <c r="M1124" t="inlineStr">
        <is>
          <t>wf_approval</t>
        </is>
      </c>
      <c r="N1124" t="inlineStr">
        <is>
          <t>Approval steps in workflows</t>
        </is>
      </c>
      <c r="O1124" t="inlineStr">
        <is>
          <t>2026-07</t>
        </is>
      </c>
    </row>
    <row r="1125">
      <c r="A1125" t="inlineStr">
        <is>
          <t>FB-01124</t>
        </is>
      </c>
      <c r="B1125" t="inlineStr">
        <is>
          <t>CUST-0034</t>
        </is>
      </c>
      <c r="C1125" s="11" t="n">
        <v>46217</v>
      </c>
      <c r="D1125" t="inlineStr">
        <is>
          <t>Customer Survey</t>
        </is>
      </c>
      <c r="E1125" t="inlineStr">
        <is>
          <t>Professional</t>
        </is>
      </c>
      <c r="F1125" t="inlineStr">
        <is>
          <t>Mid-Market</t>
        </is>
      </c>
      <c r="G1125" t="inlineStr">
        <is>
          <t>Workflow Automation</t>
        </is>
      </c>
      <c r="H1125" t="inlineStr">
        <is>
          <t>Usability Issue</t>
        </is>
      </c>
      <c r="I1125" t="inlineStr">
        <is>
          <t>Not what we expected for the price. Our new admins struggle with the workflow builder; there is no guidance or validation. So far 10 people on our side have reported it. Support suggested logging it here.</t>
        </is>
      </c>
      <c r="J1125" t="inlineStr">
        <is>
          <t>Negative</t>
        </is>
      </c>
      <c r="K1125" t="inlineStr">
        <is>
          <t>Medium</t>
        </is>
      </c>
      <c r="L1125" t="inlineStr">
        <is>
          <t>Workflow Slowdown</t>
        </is>
      </c>
      <c r="M1125" t="inlineStr">
        <is>
          <t>wf_builder</t>
        </is>
      </c>
      <c r="N1125" t="inlineStr">
        <is>
          <t>Confusing workflow builder</t>
        </is>
      </c>
      <c r="O1125" t="inlineStr">
        <is>
          <t>2026-07</t>
        </is>
      </c>
    </row>
    <row r="1126">
      <c r="A1126" t="inlineStr">
        <is>
          <t>FB-01125</t>
        </is>
      </c>
      <c r="B1126" t="inlineStr">
        <is>
          <t>CUST-0215</t>
        </is>
      </c>
      <c r="C1126" s="11" t="n">
        <v>46218</v>
      </c>
      <c r="D1126" t="inlineStr">
        <is>
          <t>Support Ticket</t>
        </is>
      </c>
      <c r="E1126" t="inlineStr">
        <is>
          <t>Starter</t>
        </is>
      </c>
      <c r="F1126" t="inlineStr">
        <is>
          <t>SMB</t>
        </is>
      </c>
      <c r="G1126" t="inlineStr">
        <is>
          <t>User Interface</t>
        </is>
      </c>
      <c r="H1126" t="inlineStr">
        <is>
          <t>Feature Request</t>
        </is>
      </c>
      <c r="I1126" t="inlineStr">
        <is>
          <t>Feedback from our monthly review. We need multi-select actions to update owners and stages for many records at once. So far 63 people on our side have reported it.</t>
        </is>
      </c>
      <c r="J1126" t="inlineStr">
        <is>
          <t>Neutral</t>
        </is>
      </c>
      <c r="K1126" t="inlineStr">
        <is>
          <t>Medium</t>
        </is>
      </c>
      <c r="L1126" t="inlineStr">
        <is>
          <t>Workflow Slowdown</t>
        </is>
      </c>
      <c r="M1126" t="inlineStr">
        <is>
          <t>ui_bulk</t>
        </is>
      </c>
      <c r="N1126" t="inlineStr">
        <is>
          <t>Bulk actions</t>
        </is>
      </c>
      <c r="O1126" t="inlineStr">
        <is>
          <t>2026-07</t>
        </is>
      </c>
    </row>
    <row r="1127">
      <c r="A1127" t="inlineStr">
        <is>
          <t>FB-01126</t>
        </is>
      </c>
      <c r="B1127" t="inlineStr">
        <is>
          <t>CUST-0299</t>
        </is>
      </c>
      <c r="C1127" s="11" t="n">
        <v>46218</v>
      </c>
      <c r="D1127" t="inlineStr">
        <is>
          <t>In-App Feedback</t>
        </is>
      </c>
      <c r="E1127" t="inlineStr">
        <is>
          <t>Professional</t>
        </is>
      </c>
      <c r="F1127" t="inlineStr">
        <is>
          <t>Mid-Market</t>
        </is>
      </c>
      <c r="G1127" t="inlineStr">
        <is>
          <t>Workflow Automation</t>
        </is>
      </c>
      <c r="H1127" t="inlineStr">
        <is>
          <t>Bug</t>
        </is>
      </c>
      <c r="I1127" t="inlineStr">
        <is>
          <t>We found workflow failures only because a customer complained. Our RevOps lead flagged it while onboarding 6 new users. Is there a workaround?</t>
        </is>
      </c>
      <c r="J1127" t="inlineStr">
        <is>
          <t>Negative</t>
        </is>
      </c>
      <c r="K1127" t="inlineStr">
        <is>
          <t>High</t>
        </is>
      </c>
      <c r="L1127" t="inlineStr">
        <is>
          <t>Blocks Key Task</t>
        </is>
      </c>
      <c r="M1127" t="inlineStr">
        <is>
          <t>wf_fail</t>
        </is>
      </c>
      <c r="N1127" t="inlineStr">
        <is>
          <t>Workflows failing silently</t>
        </is>
      </c>
      <c r="O1127" t="inlineStr">
        <is>
          <t>2026-07</t>
        </is>
      </c>
    </row>
    <row r="1128">
      <c r="A1128" t="inlineStr">
        <is>
          <t>FB-01127</t>
        </is>
      </c>
      <c r="B1128" t="inlineStr">
        <is>
          <t>CUST-0102</t>
        </is>
      </c>
      <c r="C1128" s="11" t="n">
        <v>46218</v>
      </c>
      <c r="D1128" t="inlineStr">
        <is>
          <t>Customer Survey</t>
        </is>
      </c>
      <c r="E1128" t="inlineStr">
        <is>
          <t>Professional</t>
        </is>
      </c>
      <c r="F1128" t="inlineStr">
        <is>
          <t>Mid-Market</t>
        </is>
      </c>
      <c r="G1128" t="inlineStr">
        <is>
          <t>Workflow Automation</t>
        </is>
      </c>
      <c r="H1128" t="inlineStr">
        <is>
          <t>Usability Issue</t>
        </is>
      </c>
      <c r="I1128" t="inlineStr">
        <is>
          <t>Our team keeps running into this. I can't tell what a branch does in the workflow builder without opening every node. Our sales manager flagged it while onboarding 73 new users.</t>
        </is>
      </c>
      <c r="J1128" t="inlineStr">
        <is>
          <t>Negative</t>
        </is>
      </c>
      <c r="K1128" t="inlineStr">
        <is>
          <t>High</t>
        </is>
      </c>
      <c r="L1128" t="inlineStr">
        <is>
          <t>Blocks Key Task</t>
        </is>
      </c>
      <c r="M1128" t="inlineStr">
        <is>
          <t>wf_builder</t>
        </is>
      </c>
      <c r="N1128" t="inlineStr">
        <is>
          <t>Confusing workflow builder</t>
        </is>
      </c>
      <c r="O1128" t="inlineStr">
        <is>
          <t>2026-07</t>
        </is>
      </c>
    </row>
    <row r="1129">
      <c r="A1129" t="inlineStr">
        <is>
          <t>FB-01128</t>
        </is>
      </c>
      <c r="B1129" t="inlineStr">
        <is>
          <t>CUST-0092</t>
        </is>
      </c>
      <c r="C1129" s="11" t="n">
        <v>46218</v>
      </c>
      <c r="D1129" t="inlineStr">
        <is>
          <t>Support Ticket</t>
        </is>
      </c>
      <c r="E1129" t="inlineStr">
        <is>
          <t>Professional</t>
        </is>
      </c>
      <c r="F1129" t="inlineStr">
        <is>
          <t>Mid-Market</t>
        </is>
      </c>
      <c r="G1129" t="inlineStr">
        <is>
          <t>Integrations</t>
        </is>
      </c>
      <c r="H1129" t="inlineStr">
        <is>
          <t>Integration Issue</t>
        </is>
      </c>
      <c r="I1129" t="inlineStr">
        <is>
          <t>The Outlook calendar sync duplicates meetings and misses replies. Please look into it soon.</t>
        </is>
      </c>
      <c r="J1129" t="inlineStr">
        <is>
          <t>Negative</t>
        </is>
      </c>
      <c r="K1129" t="inlineStr">
        <is>
          <t>Medium</t>
        </is>
      </c>
      <c r="L1129" t="inlineStr">
        <is>
          <t>Workflow Slowdown</t>
        </is>
      </c>
      <c r="M1129" t="inlineStr">
        <is>
          <t>int_email</t>
        </is>
      </c>
      <c r="N1129" t="inlineStr">
        <is>
          <t>Email and calendar sync drops</t>
        </is>
      </c>
      <c r="O1129" t="inlineStr">
        <is>
          <t>2026-07</t>
        </is>
      </c>
    </row>
    <row r="1130">
      <c r="A1130" t="inlineStr">
        <is>
          <t>FB-01129</t>
        </is>
      </c>
      <c r="B1130" t="inlineStr">
        <is>
          <t>CUST-0229</t>
        </is>
      </c>
      <c r="C1130" s="11" t="n">
        <v>46219</v>
      </c>
      <c r="D1130" t="inlineStr">
        <is>
          <t>Feature Request</t>
        </is>
      </c>
      <c r="E1130" t="inlineStr">
        <is>
          <t>Starter</t>
        </is>
      </c>
      <c r="F1130" t="inlineStr">
        <is>
          <t>Mid-Market</t>
        </is>
      </c>
      <c r="G1130" t="inlineStr">
        <is>
          <t>User Interface</t>
        </is>
      </c>
      <c r="H1130" t="inlineStr">
        <is>
          <t>Feature Request</t>
        </is>
      </c>
      <c r="I1130" t="inlineStr">
        <is>
          <t>Requesting offline mobile access so reps can log activity right after a meeting. So far 19 people on our side have reported it. Support suggested logging it here.</t>
        </is>
      </c>
      <c r="J1130" t="inlineStr">
        <is>
          <t>Negative</t>
        </is>
      </c>
      <c r="K1130" t="inlineStr">
        <is>
          <t>Low</t>
        </is>
      </c>
      <c r="L1130" t="inlineStr">
        <is>
          <t>Minor Inconvenience</t>
        </is>
      </c>
      <c r="M1130" t="inlineStr">
        <is>
          <t>ui_mobile</t>
        </is>
      </c>
      <c r="N1130" t="inlineStr">
        <is>
          <t>Mobile app</t>
        </is>
      </c>
      <c r="O1130" t="inlineStr">
        <is>
          <t>2026-07</t>
        </is>
      </c>
    </row>
    <row r="1131">
      <c r="A1131" t="inlineStr">
        <is>
          <t>FB-01130</t>
        </is>
      </c>
      <c r="B1131" t="inlineStr">
        <is>
          <t>CUST-0374</t>
        </is>
      </c>
      <c r="C1131" s="11" t="n">
        <v>46219</v>
      </c>
      <c r="D1131" t="inlineStr">
        <is>
          <t>In-App Feedback</t>
        </is>
      </c>
      <c r="E1131" t="inlineStr">
        <is>
          <t>Starter</t>
        </is>
      </c>
      <c r="F1131" t="inlineStr">
        <is>
          <t>SMB</t>
        </is>
      </c>
      <c r="G1131" t="inlineStr">
        <is>
          <t>Contact Management</t>
        </is>
      </c>
      <c r="H1131" t="inlineStr">
        <is>
          <t>Performance Issue</t>
        </is>
      </c>
      <c r="I1131" t="inlineStr">
        <is>
          <t>Recent updates have been a nice improvement. We avoid saved contact filters during calls because it takes too long. We estimate we lose roughly 43 hours a month on this.</t>
        </is>
      </c>
      <c r="J1131" t="inlineStr">
        <is>
          <t>Positive</t>
        </is>
      </c>
      <c r="K1131" t="inlineStr">
        <is>
          <t>Low</t>
        </is>
      </c>
      <c r="L1131" t="inlineStr">
        <is>
          <t>Workflow Slowdown</t>
        </is>
      </c>
      <c r="M1131" t="inlineStr">
        <is>
          <t>contact_search</t>
        </is>
      </c>
      <c r="N1131" t="inlineStr">
        <is>
          <t>Slow contact search</t>
        </is>
      </c>
      <c r="O1131" t="inlineStr">
        <is>
          <t>2026-07</t>
        </is>
      </c>
    </row>
    <row r="1132">
      <c r="A1132" t="inlineStr">
        <is>
          <t>FB-01131</t>
        </is>
      </c>
      <c r="B1132" t="inlineStr">
        <is>
          <t>CUST-0203</t>
        </is>
      </c>
      <c r="C1132" s="11" t="n">
        <v>46219</v>
      </c>
      <c r="D1132" t="inlineStr">
        <is>
          <t>Feature Request</t>
        </is>
      </c>
      <c r="E1132" t="inlineStr">
        <is>
          <t>Professional</t>
        </is>
      </c>
      <c r="F1132" t="inlineStr">
        <is>
          <t>Mid-Market</t>
        </is>
      </c>
      <c r="G1132" t="inlineStr">
        <is>
          <t>Workflow Automation</t>
        </is>
      </c>
      <c r="H1132" t="inlineStr">
        <is>
          <t>Feature Request</t>
        </is>
      </c>
      <c r="I1132" t="inlineStr">
        <is>
          <t>Please provide automation recipes for common processes like onboarding and renewals. Happy to beta test.</t>
        </is>
      </c>
      <c r="J1132" t="inlineStr">
        <is>
          <t>Positive</t>
        </is>
      </c>
      <c r="K1132" t="inlineStr">
        <is>
          <t>High</t>
        </is>
      </c>
      <c r="L1132" t="inlineStr">
        <is>
          <t>Workflow Slowdown</t>
        </is>
      </c>
      <c r="M1132" t="inlineStr">
        <is>
          <t>wf_templates</t>
        </is>
      </c>
      <c r="N1132" t="inlineStr">
        <is>
          <t>Workflow templates</t>
        </is>
      </c>
      <c r="O1132" t="inlineStr">
        <is>
          <t>2026-07</t>
        </is>
      </c>
    </row>
    <row r="1133">
      <c r="A1133" t="inlineStr">
        <is>
          <t>FB-01132</t>
        </is>
      </c>
      <c r="B1133" t="inlineStr">
        <is>
          <t>CUST-0128</t>
        </is>
      </c>
      <c r="C1133" s="11" t="n">
        <v>46219</v>
      </c>
      <c r="D1133" t="inlineStr">
        <is>
          <t>Feature Request</t>
        </is>
      </c>
      <c r="E1133" t="inlineStr">
        <is>
          <t>Professional</t>
        </is>
      </c>
      <c r="F1133" t="inlineStr">
        <is>
          <t>SMB</t>
        </is>
      </c>
      <c r="G1133" t="inlineStr">
        <is>
          <t>Reporting</t>
        </is>
      </c>
      <c r="H1133" t="inlineStr">
        <is>
          <t>Feature Request</t>
        </is>
      </c>
      <c r="I1133" t="inlineStr">
        <is>
          <t>Feedback from our monthly review. We need scheduled report emails so non-technical managers can create their own views. It affects our lead handoff process every cycle.</t>
        </is>
      </c>
      <c r="J1133" t="inlineStr">
        <is>
          <t>Neutral</t>
        </is>
      </c>
      <c r="K1133" t="inlineStr">
        <is>
          <t>Low</t>
        </is>
      </c>
      <c r="L1133" t="inlineStr">
        <is>
          <t>Minor Inconvenience</t>
        </is>
      </c>
      <c r="M1133" t="inlineStr">
        <is>
          <t>rep_custom</t>
        </is>
      </c>
      <c r="N1133" t="inlineStr">
        <is>
          <t>Custom and scheduled reports</t>
        </is>
      </c>
      <c r="O1133" t="inlineStr">
        <is>
          <t>2026-07</t>
        </is>
      </c>
    </row>
    <row r="1134">
      <c r="A1134" t="inlineStr">
        <is>
          <t>FB-01133</t>
        </is>
      </c>
      <c r="B1134" t="inlineStr">
        <is>
          <t>CUST-0060</t>
        </is>
      </c>
      <c r="C1134" s="11" t="n">
        <v>46219</v>
      </c>
      <c r="D1134" t="inlineStr">
        <is>
          <t>Support Ticket</t>
        </is>
      </c>
      <c r="E1134" t="inlineStr">
        <is>
          <t>Starter</t>
        </is>
      </c>
      <c r="F1134" t="inlineStr">
        <is>
          <t>SMB</t>
        </is>
      </c>
      <c r="G1134" t="inlineStr">
        <is>
          <t>Lead Management</t>
        </is>
      </c>
      <c r="H1134" t="inlineStr">
        <is>
          <t>Usability Issue</t>
        </is>
      </c>
      <c r="I1134" t="inlineStr">
        <is>
          <t>Feedback from our monthly review. The lead assignment settings are confusing and new leads sometimes sit unassigned over weekends. Let us know if you need examples.</t>
        </is>
      </c>
      <c r="J1134" t="inlineStr">
        <is>
          <t>Neutral</t>
        </is>
      </c>
      <c r="K1134" t="inlineStr">
        <is>
          <t>High</t>
        </is>
      </c>
      <c r="L1134" t="inlineStr">
        <is>
          <t>Blocks Key Task</t>
        </is>
      </c>
      <c r="M1134" t="inlineStr">
        <is>
          <t>lead_assign</t>
        </is>
      </c>
      <c r="N1134" t="inlineStr">
        <is>
          <t>Lead routing is inflexible</t>
        </is>
      </c>
      <c r="O1134" t="inlineStr">
        <is>
          <t>2026-07</t>
        </is>
      </c>
    </row>
    <row r="1135">
      <c r="A1135" t="inlineStr">
        <is>
          <t>FB-01134</t>
        </is>
      </c>
      <c r="B1135" t="inlineStr">
        <is>
          <t>CUST-0143</t>
        </is>
      </c>
      <c r="C1135" s="11" t="n">
        <v>46220</v>
      </c>
      <c r="D1135" t="inlineStr">
        <is>
          <t>Customer Survey</t>
        </is>
      </c>
      <c r="E1135" t="inlineStr">
        <is>
          <t>Starter</t>
        </is>
      </c>
      <c r="F1135" t="inlineStr">
        <is>
          <t>SMB</t>
        </is>
      </c>
      <c r="G1135" t="inlineStr">
        <is>
          <t>Workflow Automation</t>
        </is>
      </c>
      <c r="H1135" t="inlineStr">
        <is>
          <t>Bug</t>
        </is>
      </c>
      <c r="I1135" t="inlineStr">
        <is>
          <t>Frustrated with this one. We found workflow failures only because a customer complained. We need a fix before renewal.</t>
        </is>
      </c>
      <c r="J1135" t="inlineStr">
        <is>
          <t>Negative</t>
        </is>
      </c>
      <c r="K1135" t="inlineStr">
        <is>
          <t>Medium</t>
        </is>
      </c>
      <c r="L1135" t="inlineStr">
        <is>
          <t>Workflow Slowdown</t>
        </is>
      </c>
      <c r="M1135" t="inlineStr">
        <is>
          <t>wf_fail</t>
        </is>
      </c>
      <c r="N1135" t="inlineStr">
        <is>
          <t>Workflows failing silently</t>
        </is>
      </c>
      <c r="O1135" t="inlineStr">
        <is>
          <t>2026-07</t>
        </is>
      </c>
    </row>
    <row r="1136">
      <c r="A1136" t="inlineStr">
        <is>
          <t>FB-01135</t>
        </is>
      </c>
      <c r="B1136" t="inlineStr">
        <is>
          <t>CUST-0175</t>
        </is>
      </c>
      <c r="C1136" s="11" t="n">
        <v>46220</v>
      </c>
      <c r="D1136" t="inlineStr">
        <is>
          <t>Support Ticket</t>
        </is>
      </c>
      <c r="E1136" t="inlineStr">
        <is>
          <t>Professional</t>
        </is>
      </c>
      <c r="F1136" t="inlineStr">
        <is>
          <t>Mid-Market</t>
        </is>
      </c>
      <c r="G1136" t="inlineStr">
        <is>
          <t>User Interface</t>
        </is>
      </c>
      <c r="H1136" t="inlineStr">
        <is>
          <t>Performance Issue</t>
        </is>
      </c>
      <c r="I1136" t="inlineStr">
        <is>
          <t>FYI for the product team. Since the redesign there is more UI freezing on older laptops. We estimate we lose roughly 4 hours a month on this.</t>
        </is>
      </c>
      <c r="J1136" t="inlineStr">
        <is>
          <t>Neutral</t>
        </is>
      </c>
      <c r="K1136" t="inlineStr">
        <is>
          <t>Low</t>
        </is>
      </c>
      <c r="L1136" t="inlineStr">
        <is>
          <t>Minor Inconvenience</t>
        </is>
      </c>
      <c r="M1136" t="inlineStr">
        <is>
          <t>ui_perf</t>
        </is>
      </c>
      <c r="N1136" t="inlineStr">
        <is>
          <t>Laggy pages</t>
        </is>
      </c>
      <c r="O1136" t="inlineStr">
        <is>
          <t>2026-07</t>
        </is>
      </c>
    </row>
    <row r="1137">
      <c r="A1137" t="inlineStr">
        <is>
          <t>FB-01136</t>
        </is>
      </c>
      <c r="B1137" t="inlineStr">
        <is>
          <t>CUST-0061</t>
        </is>
      </c>
      <c r="C1137" s="11" t="n">
        <v>46220</v>
      </c>
      <c r="D1137" t="inlineStr">
        <is>
          <t>Customer Survey</t>
        </is>
      </c>
      <c r="E1137" t="inlineStr">
        <is>
          <t>Professional</t>
        </is>
      </c>
      <c r="F1137" t="inlineStr">
        <is>
          <t>Mid-Market</t>
        </is>
      </c>
      <c r="G1137" t="inlineStr">
        <is>
          <t>Contact Management</t>
        </is>
      </c>
      <c r="H1137" t="inlineStr">
        <is>
          <t>Feature Request</t>
        </is>
      </c>
      <c r="I1137" t="inlineStr">
        <is>
          <t>Recent updates have been a nice improvement. A bulk contact merge that keeps activity history would save our ops team hours. So far 11 people on our side have reported it. Happy to beta test.</t>
        </is>
      </c>
      <c r="J1137" t="inlineStr">
        <is>
          <t>Positive</t>
        </is>
      </c>
      <c r="K1137" t="inlineStr">
        <is>
          <t>Low</t>
        </is>
      </c>
      <c r="L1137" t="inlineStr">
        <is>
          <t>Minor Inconvenience</t>
        </is>
      </c>
      <c r="M1137" t="inlineStr">
        <is>
          <t>contact_dedupe</t>
        </is>
      </c>
      <c r="N1137" t="inlineStr">
        <is>
          <t>Bulk contact merge</t>
        </is>
      </c>
      <c r="O1137" t="inlineStr">
        <is>
          <t>2026-07</t>
        </is>
      </c>
    </row>
    <row r="1138">
      <c r="A1138" t="inlineStr">
        <is>
          <t>FB-01137</t>
        </is>
      </c>
      <c r="B1138" t="inlineStr">
        <is>
          <t>CUST-0306</t>
        </is>
      </c>
      <c r="C1138" s="11" t="n">
        <v>46220</v>
      </c>
      <c r="D1138" t="inlineStr">
        <is>
          <t>Support Ticket</t>
        </is>
      </c>
      <c r="E1138" t="inlineStr">
        <is>
          <t>Professional</t>
        </is>
      </c>
      <c r="F1138" t="inlineStr">
        <is>
          <t>SMB</t>
        </is>
      </c>
      <c r="G1138" t="inlineStr">
        <is>
          <t>Lead Management</t>
        </is>
      </c>
      <c r="H1138" t="inlineStr">
        <is>
          <t>Bug</t>
        </is>
      </c>
      <c r="I1138" t="inlineStr">
        <is>
          <t>Raising this again after our last business review. We are seeing duplicate lead records when a lead arrives from both the website and a trade-show list. We estimate we lose roughly 29 hours a month on this.</t>
        </is>
      </c>
      <c r="J1138" t="inlineStr">
        <is>
          <t>Negative</t>
        </is>
      </c>
      <c r="K1138" t="inlineStr">
        <is>
          <t>High</t>
        </is>
      </c>
      <c r="L1138" t="inlineStr">
        <is>
          <t>Revenue/Operations Risk</t>
        </is>
      </c>
      <c r="M1138" t="inlineStr">
        <is>
          <t>lead_dup</t>
        </is>
      </c>
      <c r="N1138" t="inlineStr">
        <is>
          <t>Duplicate leads created</t>
        </is>
      </c>
      <c r="O1138" t="inlineStr">
        <is>
          <t>2026-07</t>
        </is>
      </c>
    </row>
    <row r="1139">
      <c r="A1139" t="inlineStr">
        <is>
          <t>FB-01138</t>
        </is>
      </c>
      <c r="B1139" t="inlineStr">
        <is>
          <t>CUST-0111</t>
        </is>
      </c>
      <c r="C1139" s="11" t="n">
        <v>46221</v>
      </c>
      <c r="D1139" t="inlineStr">
        <is>
          <t>In-App Feedback</t>
        </is>
      </c>
      <c r="E1139" t="inlineStr">
        <is>
          <t>Professional</t>
        </is>
      </c>
      <c r="F1139" t="inlineStr">
        <is>
          <t>Enterprise</t>
        </is>
      </c>
      <c r="G1139" t="inlineStr">
        <is>
          <t>Workflow Automation</t>
        </is>
      </c>
      <c r="H1139" t="inlineStr">
        <is>
          <t>Feature Request</t>
        </is>
      </c>
      <c r="I1139" t="inlineStr">
        <is>
          <t>Sharing this from our team. A library of prebuilt automations would cut our setup time. Our finance analyst flagged it while onboarding 95 new users.</t>
        </is>
      </c>
      <c r="J1139" t="inlineStr">
        <is>
          <t>Neutral</t>
        </is>
      </c>
      <c r="K1139" t="inlineStr">
        <is>
          <t>Low</t>
        </is>
      </c>
      <c r="L1139" t="inlineStr">
        <is>
          <t>Minor Inconvenience</t>
        </is>
      </c>
      <c r="M1139" t="inlineStr">
        <is>
          <t>wf_templates</t>
        </is>
      </c>
      <c r="N1139" t="inlineStr">
        <is>
          <t>Workflow templates</t>
        </is>
      </c>
      <c r="O1139" t="inlineStr">
        <is>
          <t>2026-07</t>
        </is>
      </c>
    </row>
    <row r="1140">
      <c r="A1140" t="inlineStr">
        <is>
          <t>FB-01139</t>
        </is>
      </c>
      <c r="B1140" t="inlineStr">
        <is>
          <t>CUST-0375</t>
        </is>
      </c>
      <c r="C1140" s="11" t="n">
        <v>46221</v>
      </c>
      <c r="D1140" t="inlineStr">
        <is>
          <t>Support Ticket</t>
        </is>
      </c>
      <c r="E1140" t="inlineStr">
        <is>
          <t>Professional</t>
        </is>
      </c>
      <c r="F1140" t="inlineStr">
        <is>
          <t>Mid-Market</t>
        </is>
      </c>
      <c r="G1140" t="inlineStr">
        <is>
          <t>Integrations</t>
        </is>
      </c>
      <c r="H1140" t="inlineStr">
        <is>
          <t>Integration Issue</t>
        </is>
      </c>
      <c r="I1140" t="inlineStr">
        <is>
          <t>Reps no longer trust Gmail sync, so they log activity by hand. It affects our onboarding process every cycle. Let us know if you need examples.</t>
        </is>
      </c>
      <c r="J1140" t="inlineStr">
        <is>
          <t>Neutral</t>
        </is>
      </c>
      <c r="K1140" t="inlineStr">
        <is>
          <t>High</t>
        </is>
      </c>
      <c r="L1140" t="inlineStr">
        <is>
          <t>Revenue/Operations Risk</t>
        </is>
      </c>
      <c r="M1140" t="inlineStr">
        <is>
          <t>int_email</t>
        </is>
      </c>
      <c r="N1140" t="inlineStr">
        <is>
          <t>Email and calendar sync drops</t>
        </is>
      </c>
      <c r="O1140" t="inlineStr">
        <is>
          <t>2026-07</t>
        </is>
      </c>
    </row>
    <row r="1141">
      <c r="A1141" t="inlineStr">
        <is>
          <t>FB-01140</t>
        </is>
      </c>
      <c r="B1141" t="inlineStr">
        <is>
          <t>CUST-0354</t>
        </is>
      </c>
      <c r="C1141" s="11" t="n">
        <v>46221</v>
      </c>
      <c r="D1141" t="inlineStr">
        <is>
          <t>Support Ticket</t>
        </is>
      </c>
      <c r="E1141" t="inlineStr">
        <is>
          <t>Enterprise</t>
        </is>
      </c>
      <c r="F1141" t="inlineStr">
        <is>
          <t>Mid-Market</t>
        </is>
      </c>
      <c r="G1141" t="inlineStr">
        <is>
          <t>Workflow Automation</t>
        </is>
      </c>
      <c r="H1141" t="inlineStr">
        <is>
          <t>Bug</t>
        </is>
      </c>
      <c r="I1141" t="inlineStr">
        <is>
          <t>Escalating on behalf of our ops lead. Since the last release we've had automation misfires and tasks are being created twice. Our admin flagged it while onboarding 101 new users. Is there a workaround?</t>
        </is>
      </c>
      <c r="J1141" t="inlineStr">
        <is>
          <t>Negative</t>
        </is>
      </c>
      <c r="K1141" t="inlineStr">
        <is>
          <t>Medium</t>
        </is>
      </c>
      <c r="L1141" t="inlineStr">
        <is>
          <t>Workflow Slowdown</t>
        </is>
      </c>
      <c r="M1141" t="inlineStr">
        <is>
          <t>wf_fail</t>
        </is>
      </c>
      <c r="N1141" t="inlineStr">
        <is>
          <t>Workflows failing silently</t>
        </is>
      </c>
      <c r="O1141" t="inlineStr">
        <is>
          <t>2026-07</t>
        </is>
      </c>
    </row>
    <row r="1142">
      <c r="A1142" t="inlineStr">
        <is>
          <t>FB-01141</t>
        </is>
      </c>
      <c r="B1142" t="inlineStr">
        <is>
          <t>CUST-0229</t>
        </is>
      </c>
      <c r="C1142" s="11" t="n">
        <v>46221</v>
      </c>
      <c r="D1142" t="inlineStr">
        <is>
          <t>Support Ticket</t>
        </is>
      </c>
      <c r="E1142" t="inlineStr">
        <is>
          <t>Starter</t>
        </is>
      </c>
      <c r="F1142" t="inlineStr">
        <is>
          <t>Mid-Market</t>
        </is>
      </c>
      <c r="G1142" t="inlineStr">
        <is>
          <t>Lead Management</t>
        </is>
      </c>
      <c r="H1142" t="inlineStr">
        <is>
          <t>Performance Issue</t>
        </is>
      </c>
      <c r="I1142" t="inlineStr">
        <is>
          <t>Reps have stopped using the board because of pipeline board loading. Our marketing ops owner flagged it while onboarding 76 new users.</t>
        </is>
      </c>
      <c r="J1142" t="inlineStr">
        <is>
          <t>Negative</t>
        </is>
      </c>
      <c r="K1142" t="inlineStr">
        <is>
          <t>Low</t>
        </is>
      </c>
      <c r="L1142" t="inlineStr">
        <is>
          <t>Minor Inconvenience</t>
        </is>
      </c>
      <c r="M1142" t="inlineStr">
        <is>
          <t>lead_slow</t>
        </is>
      </c>
      <c r="N1142" t="inlineStr">
        <is>
          <t>Slow lead lists and pipeline board</t>
        </is>
      </c>
      <c r="O1142" t="inlineStr">
        <is>
          <t>2026-07</t>
        </is>
      </c>
    </row>
    <row r="1143">
      <c r="A1143" t="inlineStr">
        <is>
          <t>FB-01142</t>
        </is>
      </c>
      <c r="B1143" t="inlineStr">
        <is>
          <t>CUST-0174</t>
        </is>
      </c>
      <c r="C1143" s="11" t="n">
        <v>46222</v>
      </c>
      <c r="D1143" t="inlineStr">
        <is>
          <t>In-App Feedback</t>
        </is>
      </c>
      <c r="E1143" t="inlineStr">
        <is>
          <t>Professional</t>
        </is>
      </c>
      <c r="F1143" t="inlineStr">
        <is>
          <t>Mid-Market</t>
        </is>
      </c>
      <c r="G1143" t="inlineStr">
        <is>
          <t>Reporting</t>
        </is>
      </c>
      <c r="H1143" t="inlineStr">
        <is>
          <t>Bug</t>
        </is>
      </c>
      <c r="I1143" t="inlineStr">
        <is>
          <t>The CSV export of reports cuts off rows after a few thousand records. We estimate we lose roughly 5 hours a month on this.</t>
        </is>
      </c>
      <c r="J1143" t="inlineStr">
        <is>
          <t>Positive</t>
        </is>
      </c>
      <c r="K1143" t="inlineStr">
        <is>
          <t>Low</t>
        </is>
      </c>
      <c r="L1143" t="inlineStr">
        <is>
          <t>Minor Inconvenience</t>
        </is>
      </c>
      <c r="M1143" t="inlineStr">
        <is>
          <t>rep_export</t>
        </is>
      </c>
      <c r="N1143" t="inlineStr">
        <is>
          <t>Broken report exports</t>
        </is>
      </c>
      <c r="O1143" t="inlineStr">
        <is>
          <t>2026-07</t>
        </is>
      </c>
    </row>
    <row r="1144">
      <c r="A1144" t="inlineStr">
        <is>
          <t>FB-01143</t>
        </is>
      </c>
      <c r="B1144" t="inlineStr">
        <is>
          <t>CUST-0003</t>
        </is>
      </c>
      <c r="C1144" s="11" t="n">
        <v>46222</v>
      </c>
      <c r="D1144" t="inlineStr">
        <is>
          <t>Customer Survey</t>
        </is>
      </c>
      <c r="E1144" t="inlineStr">
        <is>
          <t>Starter</t>
        </is>
      </c>
      <c r="F1144" t="inlineStr">
        <is>
          <t>Mid-Market</t>
        </is>
      </c>
      <c r="G1144" t="inlineStr">
        <is>
          <t>Reporting</t>
        </is>
      </c>
      <c r="H1144" t="inlineStr">
        <is>
          <t>Bug</t>
        </is>
      </c>
      <c r="I1144" t="inlineStr">
        <is>
          <t>Finance can't rely on the CSV export of reports; totals don't match the screen.</t>
        </is>
      </c>
      <c r="J1144" t="inlineStr">
        <is>
          <t>Positive</t>
        </is>
      </c>
      <c r="K1144" t="inlineStr">
        <is>
          <t>High</t>
        </is>
      </c>
      <c r="L1144" t="inlineStr">
        <is>
          <t>Blocks Key Task</t>
        </is>
      </c>
      <c r="M1144" t="inlineStr">
        <is>
          <t>rep_export</t>
        </is>
      </c>
      <c r="N1144" t="inlineStr">
        <is>
          <t>Broken report exports</t>
        </is>
      </c>
      <c r="O1144" t="inlineStr">
        <is>
          <t>2026-07</t>
        </is>
      </c>
    </row>
    <row r="1145">
      <c r="A1145" t="inlineStr">
        <is>
          <t>FB-01144</t>
        </is>
      </c>
      <c r="B1145" t="inlineStr">
        <is>
          <t>CUST-0073</t>
        </is>
      </c>
      <c r="C1145" s="11" t="n">
        <v>46222</v>
      </c>
      <c r="D1145" t="inlineStr">
        <is>
          <t>Support Ticket</t>
        </is>
      </c>
      <c r="E1145" t="inlineStr">
        <is>
          <t>Starter</t>
        </is>
      </c>
      <c r="F1145" t="inlineStr">
        <is>
          <t>SMB</t>
        </is>
      </c>
      <c r="G1145" t="inlineStr">
        <is>
          <t>User Interface</t>
        </is>
      </c>
      <c r="H1145" t="inlineStr">
        <is>
          <t>Usability Issue</t>
        </is>
      </c>
      <c r="I1145" t="inlineStr">
        <is>
          <t>The navigation menu is cluttered and I can never find the setting I need. So far 8 people on our side have reported it. Let us know if you need examples.</t>
        </is>
      </c>
      <c r="J1145" t="inlineStr">
        <is>
          <t>Neutral</t>
        </is>
      </c>
      <c r="K1145" t="inlineStr">
        <is>
          <t>Low</t>
        </is>
      </c>
      <c r="L1145" t="inlineStr">
        <is>
          <t>Workflow Slowdown</t>
        </is>
      </c>
      <c r="M1145" t="inlineStr">
        <is>
          <t>ui_nav</t>
        </is>
      </c>
      <c r="N1145" t="inlineStr">
        <is>
          <t>Cluttered navigation</t>
        </is>
      </c>
      <c r="O1145" t="inlineStr">
        <is>
          <t>2026-07</t>
        </is>
      </c>
    </row>
    <row r="1146">
      <c r="A1146" t="inlineStr">
        <is>
          <t>FB-01145</t>
        </is>
      </c>
      <c r="B1146" t="inlineStr">
        <is>
          <t>CUST-0210</t>
        </is>
      </c>
      <c r="C1146" s="11" t="n">
        <v>46223</v>
      </c>
      <c r="D1146" t="inlineStr">
        <is>
          <t>Feature Request</t>
        </is>
      </c>
      <c r="E1146" t="inlineStr">
        <is>
          <t>Professional</t>
        </is>
      </c>
      <c r="F1146" t="inlineStr">
        <is>
          <t>Mid-Market</t>
        </is>
      </c>
      <c r="G1146" t="inlineStr">
        <is>
          <t>Reporting</t>
        </is>
      </c>
      <c r="H1146" t="inlineStr">
        <is>
          <t>Feature Request</t>
        </is>
      </c>
      <c r="I1146" t="inlineStr">
        <is>
          <t>Quick note from our admin. Requesting scheduled report emails so leadership gets numbers without logging in. Our admin flagged it while onboarding 88 new users. Let us know if you need examples.</t>
        </is>
      </c>
      <c r="J1146" t="inlineStr">
        <is>
          <t>Neutral</t>
        </is>
      </c>
      <c r="K1146" t="inlineStr">
        <is>
          <t>Low</t>
        </is>
      </c>
      <c r="L1146" t="inlineStr">
        <is>
          <t>Workflow Slowdown</t>
        </is>
      </c>
      <c r="M1146" t="inlineStr">
        <is>
          <t>rep_custom</t>
        </is>
      </c>
      <c r="N1146" t="inlineStr">
        <is>
          <t>Custom and scheduled reports</t>
        </is>
      </c>
      <c r="O1146" t="inlineStr">
        <is>
          <t>2026-07</t>
        </is>
      </c>
    </row>
    <row r="1147">
      <c r="A1147" t="inlineStr">
        <is>
          <t>FB-01146</t>
        </is>
      </c>
      <c r="B1147" t="inlineStr">
        <is>
          <t>CUST-0162</t>
        </is>
      </c>
      <c r="C1147" s="11" t="n">
        <v>46223</v>
      </c>
      <c r="D1147" t="inlineStr">
        <is>
          <t>Support Ticket</t>
        </is>
      </c>
      <c r="E1147" t="inlineStr">
        <is>
          <t>Professional</t>
        </is>
      </c>
      <c r="F1147" t="inlineStr">
        <is>
          <t>Mid-Market</t>
        </is>
      </c>
      <c r="G1147" t="inlineStr">
        <is>
          <t>Reporting</t>
        </is>
      </c>
      <c r="H1147" t="inlineStr">
        <is>
          <t>Bug</t>
        </is>
      </c>
      <c r="I1147" t="inlineStr">
        <is>
          <t>The CSV export of reports cuts off rows after a few thousand records. Is there a workaround?</t>
        </is>
      </c>
      <c r="J1147" t="inlineStr">
        <is>
          <t>Negative</t>
        </is>
      </c>
      <c r="K1147" t="inlineStr">
        <is>
          <t>Low</t>
        </is>
      </c>
      <c r="L1147" t="inlineStr">
        <is>
          <t>Workflow Slowdown</t>
        </is>
      </c>
      <c r="M1147" t="inlineStr">
        <is>
          <t>rep_export</t>
        </is>
      </c>
      <c r="N1147" t="inlineStr">
        <is>
          <t>Broken report exports</t>
        </is>
      </c>
      <c r="O1147" t="inlineStr">
        <is>
          <t>2026-07</t>
        </is>
      </c>
    </row>
    <row r="1148">
      <c r="A1148" t="inlineStr">
        <is>
          <t>FB-01147</t>
        </is>
      </c>
      <c r="B1148" t="inlineStr">
        <is>
          <t>CUST-0186</t>
        </is>
      </c>
      <c r="C1148" s="11" t="n">
        <v>46223</v>
      </c>
      <c r="D1148" t="inlineStr">
        <is>
          <t>Feature Request</t>
        </is>
      </c>
      <c r="E1148" t="inlineStr">
        <is>
          <t>Professional</t>
        </is>
      </c>
      <c r="F1148" t="inlineStr">
        <is>
          <t>SMB</t>
        </is>
      </c>
      <c r="G1148" t="inlineStr">
        <is>
          <t>Lead Management</t>
        </is>
      </c>
      <c r="H1148" t="inlineStr">
        <is>
          <t>Feature Request</t>
        </is>
      </c>
      <c r="I1148" t="inlineStr">
        <is>
          <t>Happy with most of the product. Please add lead scoring rules based on engagement, company size and recent activity. So far 25 people on our side have reported it. Thanks to the team.</t>
        </is>
      </c>
      <c r="J1148" t="inlineStr">
        <is>
          <t>Positive</t>
        </is>
      </c>
      <c r="K1148" t="inlineStr">
        <is>
          <t>Low</t>
        </is>
      </c>
      <c r="L1148" t="inlineStr">
        <is>
          <t>Workflow Slowdown</t>
        </is>
      </c>
      <c r="M1148" t="inlineStr">
        <is>
          <t>lead_score</t>
        </is>
      </c>
      <c r="N1148" t="inlineStr">
        <is>
          <t>Automated lead scoring</t>
        </is>
      </c>
      <c r="O1148" t="inlineStr">
        <is>
          <t>2026-07</t>
        </is>
      </c>
    </row>
    <row r="1149">
      <c r="A1149" t="inlineStr">
        <is>
          <t>FB-01148</t>
        </is>
      </c>
      <c r="B1149" t="inlineStr">
        <is>
          <t>CUST-0404</t>
        </is>
      </c>
      <c r="C1149" s="11" t="n">
        <v>46223</v>
      </c>
      <c r="D1149" t="inlineStr">
        <is>
          <t>In-App Feedback</t>
        </is>
      </c>
      <c r="E1149" t="inlineStr">
        <is>
          <t>Starter</t>
        </is>
      </c>
      <c r="F1149" t="inlineStr">
        <is>
          <t>SMB</t>
        </is>
      </c>
      <c r="G1149" t="inlineStr">
        <is>
          <t>Contact Management</t>
        </is>
      </c>
      <c r="H1149" t="inlineStr">
        <is>
          <t>Performance Issue</t>
        </is>
      </c>
      <c r="I1149" t="inlineStr">
        <is>
          <t>Combining several conditions in saved contact filters makes the page hang. Happy to join a feedback call.</t>
        </is>
      </c>
      <c r="J1149" t="inlineStr">
        <is>
          <t>Neutral</t>
        </is>
      </c>
      <c r="K1149" t="inlineStr">
        <is>
          <t>Critical</t>
        </is>
      </c>
      <c r="L1149" t="inlineStr">
        <is>
          <t>Revenue/Operations Risk</t>
        </is>
      </c>
      <c r="M1149" t="inlineStr">
        <is>
          <t>contact_search</t>
        </is>
      </c>
      <c r="N1149" t="inlineStr">
        <is>
          <t>Slow contact search</t>
        </is>
      </c>
      <c r="O1149" t="inlineStr">
        <is>
          <t>2026-07</t>
        </is>
      </c>
    </row>
    <row r="1150">
      <c r="A1150" t="inlineStr">
        <is>
          <t>FB-01149</t>
        </is>
      </c>
      <c r="B1150" t="inlineStr">
        <is>
          <t>CUST-0279</t>
        </is>
      </c>
      <c r="C1150" s="11" t="n">
        <v>46224</v>
      </c>
      <c r="D1150" t="inlineStr">
        <is>
          <t>Feature Request</t>
        </is>
      </c>
      <c r="E1150" t="inlineStr">
        <is>
          <t>Starter</t>
        </is>
      </c>
      <c r="F1150" t="inlineStr">
        <is>
          <t>SMB</t>
        </is>
      </c>
      <c r="G1150" t="inlineStr">
        <is>
          <t>Lead Management</t>
        </is>
      </c>
      <c r="H1150" t="inlineStr">
        <is>
          <t>Feature Request</t>
        </is>
      </c>
      <c r="I1150" t="inlineStr">
        <is>
          <t>Feedback from our monthly review. Would love to see lead scoring rules that marketing and sales can both tune. Our marketing ops owner flagged it while onboarding 79 new users.</t>
        </is>
      </c>
      <c r="J1150" t="inlineStr">
        <is>
          <t>Neutral</t>
        </is>
      </c>
      <c r="K1150" t="inlineStr">
        <is>
          <t>Medium</t>
        </is>
      </c>
      <c r="L1150" t="inlineStr">
        <is>
          <t>Blocks Key Task</t>
        </is>
      </c>
      <c r="M1150" t="inlineStr">
        <is>
          <t>lead_score</t>
        </is>
      </c>
      <c r="N1150" t="inlineStr">
        <is>
          <t>Automated lead scoring</t>
        </is>
      </c>
      <c r="O1150" t="inlineStr">
        <is>
          <t>2026-07</t>
        </is>
      </c>
    </row>
    <row r="1151">
      <c r="A1151" t="inlineStr">
        <is>
          <t>FB-01150</t>
        </is>
      </c>
      <c r="B1151" t="inlineStr">
        <is>
          <t>CUST-0381</t>
        </is>
      </c>
      <c r="C1151" s="11" t="n">
        <v>46224</v>
      </c>
      <c r="D1151" t="inlineStr">
        <is>
          <t>Support Ticket</t>
        </is>
      </c>
      <c r="E1151" t="inlineStr">
        <is>
          <t>Professional</t>
        </is>
      </c>
      <c r="F1151" t="inlineStr">
        <is>
          <t>Mid-Market</t>
        </is>
      </c>
      <c r="G1151" t="inlineStr">
        <is>
          <t>Contact Management</t>
        </is>
      </c>
      <c r="H1151" t="inlineStr">
        <is>
          <t>Feature Request</t>
        </is>
      </c>
      <c r="I1151" t="inlineStr">
        <is>
          <t>A tool to merge duplicate contacts that keeps activity history would save our ops team hours.</t>
        </is>
      </c>
      <c r="J1151" t="inlineStr">
        <is>
          <t>Neutral</t>
        </is>
      </c>
      <c r="K1151" t="inlineStr">
        <is>
          <t>Low</t>
        </is>
      </c>
      <c r="L1151" t="inlineStr">
        <is>
          <t>Workflow Slowdown</t>
        </is>
      </c>
      <c r="M1151" t="inlineStr">
        <is>
          <t>contact_dedupe</t>
        </is>
      </c>
      <c r="N1151" t="inlineStr">
        <is>
          <t>Bulk contact merge</t>
        </is>
      </c>
      <c r="O1151" t="inlineStr">
        <is>
          <t>2026-07</t>
        </is>
      </c>
    </row>
    <row r="1152">
      <c r="A1152" t="inlineStr">
        <is>
          <t>FB-01151</t>
        </is>
      </c>
      <c r="B1152" t="inlineStr">
        <is>
          <t>CUST-0030</t>
        </is>
      </c>
      <c r="C1152" s="11" t="n">
        <v>46224</v>
      </c>
      <c r="D1152" t="inlineStr">
        <is>
          <t>Support Ticket</t>
        </is>
      </c>
      <c r="E1152" t="inlineStr">
        <is>
          <t>Professional</t>
        </is>
      </c>
      <c r="F1152" t="inlineStr">
        <is>
          <t>Mid-Market</t>
        </is>
      </c>
      <c r="G1152" t="inlineStr">
        <is>
          <t>Reporting</t>
        </is>
      </c>
      <c r="H1152" t="inlineStr">
        <is>
          <t>Bug</t>
        </is>
      </c>
      <c r="I1152" t="inlineStr">
        <is>
          <t>Raising this again after our last business review. The report export times out for date ranges longer than a quarter.</t>
        </is>
      </c>
      <c r="J1152" t="inlineStr">
        <is>
          <t>Negative</t>
        </is>
      </c>
      <c r="K1152" t="inlineStr">
        <is>
          <t>High</t>
        </is>
      </c>
      <c r="L1152" t="inlineStr">
        <is>
          <t>Workflow Slowdown</t>
        </is>
      </c>
      <c r="M1152" t="inlineStr">
        <is>
          <t>rep_export</t>
        </is>
      </c>
      <c r="N1152" t="inlineStr">
        <is>
          <t>Broken report exports</t>
        </is>
      </c>
      <c r="O1152" t="inlineStr">
        <is>
          <t>2026-07</t>
        </is>
      </c>
    </row>
    <row r="1153">
      <c r="A1153" t="inlineStr">
        <is>
          <t>FB-01152</t>
        </is>
      </c>
      <c r="B1153" t="inlineStr">
        <is>
          <t>CUST-0096</t>
        </is>
      </c>
      <c r="C1153" s="11" t="n">
        <v>46224</v>
      </c>
      <c r="D1153" t="inlineStr">
        <is>
          <t>Customer Survey</t>
        </is>
      </c>
      <c r="E1153" t="inlineStr">
        <is>
          <t>Enterprise</t>
        </is>
      </c>
      <c r="F1153" t="inlineStr">
        <is>
          <t>Enterprise</t>
        </is>
      </c>
      <c r="G1153" t="inlineStr">
        <is>
          <t>Workflow Automation</t>
        </is>
      </c>
      <c r="H1153" t="inlineStr">
        <is>
          <t>Usability Issue</t>
        </is>
      </c>
      <c r="I1153" t="inlineStr">
        <is>
          <t>FYI for the product team. The workflow editor is hard to follow once a flow has more than a handful of steps. So far 72 people on our side have reported it. Let us know if you need examples.</t>
        </is>
      </c>
      <c r="J1153" t="inlineStr">
        <is>
          <t>Neutral</t>
        </is>
      </c>
      <c r="K1153" t="inlineStr">
        <is>
          <t>Medium</t>
        </is>
      </c>
      <c r="L1153" t="inlineStr">
        <is>
          <t>Workflow Slowdown</t>
        </is>
      </c>
      <c r="M1153" t="inlineStr">
        <is>
          <t>wf_builder</t>
        </is>
      </c>
      <c r="N1153" t="inlineStr">
        <is>
          <t>Confusing workflow builder</t>
        </is>
      </c>
      <c r="O1153" t="inlineStr">
        <is>
          <t>2026-07</t>
        </is>
      </c>
    </row>
    <row r="1154">
      <c r="A1154" t="inlineStr">
        <is>
          <t>FB-01153</t>
        </is>
      </c>
      <c r="B1154" t="inlineStr">
        <is>
          <t>CUST-0077</t>
        </is>
      </c>
      <c r="C1154" s="11" t="n">
        <v>46224</v>
      </c>
      <c r="D1154" t="inlineStr">
        <is>
          <t>Support Ticket</t>
        </is>
      </c>
      <c r="E1154" t="inlineStr">
        <is>
          <t>Enterprise</t>
        </is>
      </c>
      <c r="F1154" t="inlineStr">
        <is>
          <t>Mid-Market</t>
        </is>
      </c>
      <c r="G1154" t="inlineStr">
        <is>
          <t>Integrations</t>
        </is>
      </c>
      <c r="H1154" t="inlineStr">
        <is>
          <t>Integration Issue</t>
        </is>
      </c>
      <c r="I1154" t="inlineStr">
        <is>
          <t>Recent updates have been a nice improvement. Our Outlook calendar sync keeps disconnecting and activities are missing from the contact timeline. It happens about 37 times a week for our team of 17.</t>
        </is>
      </c>
      <c r="J1154" t="inlineStr">
        <is>
          <t>Positive</t>
        </is>
      </c>
      <c r="K1154" t="inlineStr">
        <is>
          <t>Low</t>
        </is>
      </c>
      <c r="L1154" t="inlineStr">
        <is>
          <t>Workflow Slowdown</t>
        </is>
      </c>
      <c r="M1154" t="inlineStr">
        <is>
          <t>int_email</t>
        </is>
      </c>
      <c r="N1154" t="inlineStr">
        <is>
          <t>Email and calendar sync drops</t>
        </is>
      </c>
      <c r="O1154" t="inlineStr">
        <is>
          <t>2026-07</t>
        </is>
      </c>
    </row>
    <row r="1155">
      <c r="A1155" t="inlineStr">
        <is>
          <t>FB-01154</t>
        </is>
      </c>
      <c r="B1155" t="inlineStr">
        <is>
          <t>CUST-0299</t>
        </is>
      </c>
      <c r="C1155" s="11" t="n">
        <v>46224</v>
      </c>
      <c r="D1155" t="inlineStr">
        <is>
          <t>Feature Request</t>
        </is>
      </c>
      <c r="E1155" t="inlineStr">
        <is>
          <t>Professional</t>
        </is>
      </c>
      <c r="F1155" t="inlineStr">
        <is>
          <t>Mid-Market</t>
        </is>
      </c>
      <c r="G1155" t="inlineStr">
        <is>
          <t>Integrations</t>
        </is>
      </c>
      <c r="H1155" t="inlineStr">
        <is>
          <t>Feature Request</t>
        </is>
      </c>
      <c r="I1155" t="inlineStr">
        <is>
          <t>Overall we like the product. Lack of a native Slack integration is a gap versus other CRMs we evaluated. We estimate we lose roughly 42 hours a month on this. Happy to beta test.</t>
        </is>
      </c>
      <c r="J1155" t="inlineStr">
        <is>
          <t>Positive</t>
        </is>
      </c>
      <c r="K1155" t="inlineStr">
        <is>
          <t>Low</t>
        </is>
      </c>
      <c r="L1155" t="inlineStr">
        <is>
          <t>Minor Inconvenience</t>
        </is>
      </c>
      <c r="M1155" t="inlineStr">
        <is>
          <t>int_native</t>
        </is>
      </c>
      <c r="N1155" t="inlineStr">
        <is>
          <t>Native integrations</t>
        </is>
      </c>
      <c r="O1155" t="inlineStr">
        <is>
          <t>2026-07</t>
        </is>
      </c>
    </row>
    <row r="1156">
      <c r="A1156" t="inlineStr">
        <is>
          <t>FB-01155</t>
        </is>
      </c>
      <c r="B1156" t="inlineStr">
        <is>
          <t>CUST-0002</t>
        </is>
      </c>
      <c r="C1156" s="11" t="n">
        <v>46224</v>
      </c>
      <c r="D1156" t="inlineStr">
        <is>
          <t>In-App Feedback</t>
        </is>
      </c>
      <c r="E1156" t="inlineStr">
        <is>
          <t>Starter</t>
        </is>
      </c>
      <c r="F1156" t="inlineStr">
        <is>
          <t>SMB</t>
        </is>
      </c>
      <c r="G1156" t="inlineStr">
        <is>
          <t>Integrations</t>
        </is>
      </c>
      <c r="H1156" t="inlineStr">
        <is>
          <t>Feature Request</t>
        </is>
      </c>
      <c r="I1156" t="inlineStr">
        <is>
          <t>Feedback from our monthly review. We would pay for a marketing automation connector instead of maintaining Zapier chains.</t>
        </is>
      </c>
      <c r="J1156" t="inlineStr">
        <is>
          <t>Neutral</t>
        </is>
      </c>
      <c r="K1156" t="inlineStr">
        <is>
          <t>Medium</t>
        </is>
      </c>
      <c r="L1156" t="inlineStr">
        <is>
          <t>Workflow Slowdown</t>
        </is>
      </c>
      <c r="M1156" t="inlineStr">
        <is>
          <t>int_native</t>
        </is>
      </c>
      <c r="N1156" t="inlineStr">
        <is>
          <t>Native integrations</t>
        </is>
      </c>
      <c r="O1156" t="inlineStr">
        <is>
          <t>2026-07</t>
        </is>
      </c>
    </row>
    <row r="1157">
      <c r="A1157" t="inlineStr">
        <is>
          <t>FB-01156</t>
        </is>
      </c>
      <c r="B1157" t="inlineStr">
        <is>
          <t>CUST-0210</t>
        </is>
      </c>
      <c r="C1157" s="11" t="n">
        <v>46225</v>
      </c>
      <c r="D1157" t="inlineStr">
        <is>
          <t>Support Ticket</t>
        </is>
      </c>
      <c r="E1157" t="inlineStr">
        <is>
          <t>Professional</t>
        </is>
      </c>
      <c r="F1157" t="inlineStr">
        <is>
          <t>Mid-Market</t>
        </is>
      </c>
      <c r="G1157" t="inlineStr">
        <is>
          <t>Workflow Automation</t>
        </is>
      </c>
      <c r="H1157" t="inlineStr">
        <is>
          <t>Bug</t>
        </is>
      </c>
      <c r="I1157" t="inlineStr">
        <is>
          <t>We are hitting workflow runs failing silently: emails don't send and nobody gets notified. It affects our weekly pipeline review process every cycle. Happy to join a feedback call.</t>
        </is>
      </c>
      <c r="J1157" t="inlineStr">
        <is>
          <t>Neutral</t>
        </is>
      </c>
      <c r="K1157" t="inlineStr">
        <is>
          <t>High</t>
        </is>
      </c>
      <c r="L1157" t="inlineStr">
        <is>
          <t>Revenue/Operations Risk</t>
        </is>
      </c>
      <c r="M1157" t="inlineStr">
        <is>
          <t>wf_fail</t>
        </is>
      </c>
      <c r="N1157" t="inlineStr">
        <is>
          <t>Workflows failing silently</t>
        </is>
      </c>
      <c r="O1157" t="inlineStr">
        <is>
          <t>2026-07</t>
        </is>
      </c>
    </row>
    <row r="1158">
      <c r="A1158" t="inlineStr">
        <is>
          <t>FB-01157</t>
        </is>
      </c>
      <c r="B1158" t="inlineStr">
        <is>
          <t>CUST-0264</t>
        </is>
      </c>
      <c r="C1158" s="11" t="n">
        <v>46225</v>
      </c>
      <c r="D1158" t="inlineStr">
        <is>
          <t>In-App Feedback</t>
        </is>
      </c>
      <c r="E1158" t="inlineStr">
        <is>
          <t>Professional</t>
        </is>
      </c>
      <c r="F1158" t="inlineStr">
        <is>
          <t>Mid-Market</t>
        </is>
      </c>
      <c r="G1158" t="inlineStr">
        <is>
          <t>Reporting</t>
        </is>
      </c>
      <c r="H1158" t="inlineStr">
        <is>
          <t>Bug</t>
        </is>
      </c>
      <c r="I1158" t="inlineStr">
        <is>
          <t>Our Excel export drops formatting and shows dates as numbers. So far 46 people on our side have reported it. Let us know if you need examples.</t>
        </is>
      </c>
      <c r="J1158" t="inlineStr">
        <is>
          <t>Neutral</t>
        </is>
      </c>
      <c r="K1158" t="inlineStr">
        <is>
          <t>Medium</t>
        </is>
      </c>
      <c r="L1158" t="inlineStr">
        <is>
          <t>Workflow Slowdown</t>
        </is>
      </c>
      <c r="M1158" t="inlineStr">
        <is>
          <t>rep_export</t>
        </is>
      </c>
      <c r="N1158" t="inlineStr">
        <is>
          <t>Broken report exports</t>
        </is>
      </c>
      <c r="O1158" t="inlineStr">
        <is>
          <t>2026-07</t>
        </is>
      </c>
    </row>
    <row r="1159">
      <c r="A1159" t="inlineStr">
        <is>
          <t>FB-01158</t>
        </is>
      </c>
      <c r="B1159" t="inlineStr">
        <is>
          <t>CUST-0381</t>
        </is>
      </c>
      <c r="C1159" s="11" t="n">
        <v>46225</v>
      </c>
      <c r="D1159" t="inlineStr">
        <is>
          <t>In-App Feedback</t>
        </is>
      </c>
      <c r="E1159" t="inlineStr">
        <is>
          <t>Professional</t>
        </is>
      </c>
      <c r="F1159" t="inlineStr">
        <is>
          <t>Mid-Market</t>
        </is>
      </c>
      <c r="G1159" t="inlineStr">
        <is>
          <t>Integrations</t>
        </is>
      </c>
      <c r="H1159" t="inlineStr">
        <is>
          <t>Integration Issue</t>
        </is>
      </c>
      <c r="I1159" t="inlineStr">
        <is>
          <t>Hard to debug: webhook delivery fail with vague error codes.</t>
        </is>
      </c>
      <c r="J1159" t="inlineStr">
        <is>
          <t>Neutral</t>
        </is>
      </c>
      <c r="K1159" t="inlineStr">
        <is>
          <t>Low</t>
        </is>
      </c>
      <c r="L1159" t="inlineStr">
        <is>
          <t>Workflow Slowdown</t>
        </is>
      </c>
      <c r="M1159" t="inlineStr">
        <is>
          <t>int_api</t>
        </is>
      </c>
      <c r="N1159" t="inlineStr">
        <is>
          <t>API limits and webhook failures</t>
        </is>
      </c>
      <c r="O1159" t="inlineStr">
        <is>
          <t>2026-07</t>
        </is>
      </c>
    </row>
    <row r="1160">
      <c r="A1160" t="inlineStr">
        <is>
          <t>FB-01159</t>
        </is>
      </c>
      <c r="B1160" t="inlineStr">
        <is>
          <t>CUST-0145</t>
        </is>
      </c>
      <c r="C1160" s="11" t="n">
        <v>46225</v>
      </c>
      <c r="D1160" t="inlineStr">
        <is>
          <t>In-App Feedback</t>
        </is>
      </c>
      <c r="E1160" t="inlineStr">
        <is>
          <t>Professional</t>
        </is>
      </c>
      <c r="F1160" t="inlineStr">
        <is>
          <t>SMB</t>
        </is>
      </c>
      <c r="G1160" t="inlineStr">
        <is>
          <t>Workflow Automation</t>
        </is>
      </c>
      <c r="H1160" t="inlineStr">
        <is>
          <t>Usability Issue</t>
        </is>
      </c>
      <c r="I1160" t="inlineStr">
        <is>
          <t>Raising this again after our last business review. The workflow editor doesn't let us copy steps between flows. It affects our quarterly planning process every cycle. Please look into it soon.</t>
        </is>
      </c>
      <c r="J1160" t="inlineStr">
        <is>
          <t>Negative</t>
        </is>
      </c>
      <c r="K1160" t="inlineStr">
        <is>
          <t>Medium</t>
        </is>
      </c>
      <c r="L1160" t="inlineStr">
        <is>
          <t>Minor Inconvenience</t>
        </is>
      </c>
      <c r="M1160" t="inlineStr">
        <is>
          <t>wf_builder</t>
        </is>
      </c>
      <c r="N1160" t="inlineStr">
        <is>
          <t>Confusing workflow builder</t>
        </is>
      </c>
      <c r="O1160" t="inlineStr">
        <is>
          <t>2026-07</t>
        </is>
      </c>
    </row>
    <row r="1161">
      <c r="A1161" t="inlineStr">
        <is>
          <t>FB-01160</t>
        </is>
      </c>
      <c r="B1161" t="inlineStr">
        <is>
          <t>CUST-0185</t>
        </is>
      </c>
      <c r="C1161" s="11" t="n">
        <v>46225</v>
      </c>
      <c r="D1161" t="inlineStr">
        <is>
          <t>Support Ticket</t>
        </is>
      </c>
      <c r="E1161" t="inlineStr">
        <is>
          <t>Professional</t>
        </is>
      </c>
      <c r="F1161" t="inlineStr">
        <is>
          <t>Mid-Market</t>
        </is>
      </c>
      <c r="G1161" t="inlineStr">
        <is>
          <t>Reporting</t>
        </is>
      </c>
      <c r="H1161" t="inlineStr">
        <is>
          <t>Performance Issue</t>
        </is>
      </c>
      <c r="I1161" t="inlineStr">
        <is>
          <t>Frustrated with this one. Our dashboard refresh spins for a minute before showing any chart. Please look into it soon.</t>
        </is>
      </c>
      <c r="J1161" t="inlineStr">
        <is>
          <t>Negative</t>
        </is>
      </c>
      <c r="K1161" t="inlineStr">
        <is>
          <t>Medium</t>
        </is>
      </c>
      <c r="L1161" t="inlineStr">
        <is>
          <t>Minor Inconvenience</t>
        </is>
      </c>
      <c r="M1161" t="inlineStr">
        <is>
          <t>rep_slow</t>
        </is>
      </c>
      <c r="N1161" t="inlineStr">
        <is>
          <t>Slow dashboards</t>
        </is>
      </c>
      <c r="O1161" t="inlineStr">
        <is>
          <t>2026-07</t>
        </is>
      </c>
    </row>
    <row r="1162">
      <c r="A1162" t="inlineStr">
        <is>
          <t>FB-01161</t>
        </is>
      </c>
      <c r="B1162" t="inlineStr">
        <is>
          <t>CUST-0061</t>
        </is>
      </c>
      <c r="C1162" s="11" t="n">
        <v>46226</v>
      </c>
      <c r="D1162" t="inlineStr">
        <is>
          <t>In-App Feedback</t>
        </is>
      </c>
      <c r="E1162" t="inlineStr">
        <is>
          <t>Professional</t>
        </is>
      </c>
      <c r="F1162" t="inlineStr">
        <is>
          <t>Mid-Market</t>
        </is>
      </c>
      <c r="G1162" t="inlineStr">
        <is>
          <t>Integrations</t>
        </is>
      </c>
      <c r="H1162" t="inlineStr">
        <is>
          <t>Integration Issue</t>
        </is>
      </c>
      <c r="I1162" t="inlineStr">
        <is>
          <t>Overall we like the product. Reps no longer trust email sync, so they log activity by hand. We estimate we lose roughly 57 hours a month on this. Keep up the good work.</t>
        </is>
      </c>
      <c r="J1162" t="inlineStr">
        <is>
          <t>Positive</t>
        </is>
      </c>
      <c r="K1162" t="inlineStr">
        <is>
          <t>Medium</t>
        </is>
      </c>
      <c r="L1162" t="inlineStr">
        <is>
          <t>Workflow Slowdown</t>
        </is>
      </c>
      <c r="M1162" t="inlineStr">
        <is>
          <t>int_email</t>
        </is>
      </c>
      <c r="N1162" t="inlineStr">
        <is>
          <t>Email and calendar sync drops</t>
        </is>
      </c>
      <c r="O1162" t="inlineStr">
        <is>
          <t>2026-07</t>
        </is>
      </c>
    </row>
    <row r="1163">
      <c r="A1163" t="inlineStr">
        <is>
          <t>FB-01162</t>
        </is>
      </c>
      <c r="B1163" t="inlineStr">
        <is>
          <t>CUST-0204</t>
        </is>
      </c>
      <c r="C1163" s="11" t="n">
        <v>46226</v>
      </c>
      <c r="D1163" t="inlineStr">
        <is>
          <t>Support Ticket</t>
        </is>
      </c>
      <c r="E1163" t="inlineStr">
        <is>
          <t>Enterprise</t>
        </is>
      </c>
      <c r="F1163" t="inlineStr">
        <is>
          <t>Enterprise</t>
        </is>
      </c>
      <c r="G1163" t="inlineStr">
        <is>
          <t>Workflow Automation</t>
        </is>
      </c>
      <c r="H1163" t="inlineStr">
        <is>
          <t>Usability Issue</t>
        </is>
      </c>
      <c r="I1163" t="inlineStr">
        <is>
          <t>This has been a recurring problem for us. I can't tell what a branch does in the automation canvas without opening every node. It affects our quarterly planning process every cycle. Please look into it soon.</t>
        </is>
      </c>
      <c r="J1163" t="inlineStr">
        <is>
          <t>Negative</t>
        </is>
      </c>
      <c r="K1163" t="inlineStr">
        <is>
          <t>High</t>
        </is>
      </c>
      <c r="L1163" t="inlineStr">
        <is>
          <t>Blocks Key Task</t>
        </is>
      </c>
      <c r="M1163" t="inlineStr">
        <is>
          <t>wf_builder</t>
        </is>
      </c>
      <c r="N1163" t="inlineStr">
        <is>
          <t>Confusing workflow builder</t>
        </is>
      </c>
      <c r="O1163" t="inlineStr">
        <is>
          <t>2026-07</t>
        </is>
      </c>
    </row>
    <row r="1164">
      <c r="A1164" t="inlineStr">
        <is>
          <t>FB-01163</t>
        </is>
      </c>
      <c r="B1164" t="inlineStr">
        <is>
          <t>CUST-0050</t>
        </is>
      </c>
      <c r="C1164" s="11" t="n">
        <v>46227</v>
      </c>
      <c r="D1164" t="inlineStr">
        <is>
          <t>In-App Feedback</t>
        </is>
      </c>
      <c r="E1164" t="inlineStr">
        <is>
          <t>Starter</t>
        </is>
      </c>
      <c r="F1164" t="inlineStr">
        <is>
          <t>Mid-Market</t>
        </is>
      </c>
      <c r="G1164" t="inlineStr">
        <is>
          <t>Workflow Automation</t>
        </is>
      </c>
      <c r="H1164" t="inlineStr">
        <is>
          <t>Feature Request</t>
        </is>
      </c>
      <c r="I1164" t="inlineStr">
        <is>
          <t>Feedback from our monthly review. We'd adopt automation faster with automation recipes we could customize. It affects our month-end reporting process every cycle.</t>
        </is>
      </c>
      <c r="J1164" t="inlineStr">
        <is>
          <t>Neutral</t>
        </is>
      </c>
      <c r="K1164" t="inlineStr">
        <is>
          <t>Medium</t>
        </is>
      </c>
      <c r="L1164" t="inlineStr">
        <is>
          <t>Workflow Slowdown</t>
        </is>
      </c>
      <c r="M1164" t="inlineStr">
        <is>
          <t>wf_templates</t>
        </is>
      </c>
      <c r="N1164" t="inlineStr">
        <is>
          <t>Workflow templates</t>
        </is>
      </c>
      <c r="O1164" t="inlineStr">
        <is>
          <t>2026-07</t>
        </is>
      </c>
    </row>
    <row r="1165">
      <c r="A1165" t="inlineStr">
        <is>
          <t>FB-01164</t>
        </is>
      </c>
      <c r="B1165" t="inlineStr">
        <is>
          <t>CUST-0030</t>
        </is>
      </c>
      <c r="C1165" s="11" t="n">
        <v>46227</v>
      </c>
      <c r="D1165" t="inlineStr">
        <is>
          <t>Customer Survey</t>
        </is>
      </c>
      <c r="E1165" t="inlineStr">
        <is>
          <t>Professional</t>
        </is>
      </c>
      <c r="F1165" t="inlineStr">
        <is>
          <t>Mid-Market</t>
        </is>
      </c>
      <c r="G1165" t="inlineStr">
        <is>
          <t>Lead Management</t>
        </is>
      </c>
      <c r="H1165" t="inlineStr">
        <is>
          <t>Usability Issue</t>
        </is>
      </c>
      <c r="I1165" t="inlineStr">
        <is>
          <t>Recent updates have been a nice improvement. We can't combine region and deal size in the round-robin lead assignment. It affects our lead handoff process every cycle. Happy to beta test.</t>
        </is>
      </c>
      <c r="J1165" t="inlineStr">
        <is>
          <t>Positive</t>
        </is>
      </c>
      <c r="K1165" t="inlineStr">
        <is>
          <t>Low</t>
        </is>
      </c>
      <c r="L1165" t="inlineStr">
        <is>
          <t>Minor Inconvenience</t>
        </is>
      </c>
      <c r="M1165" t="inlineStr">
        <is>
          <t>lead_assign</t>
        </is>
      </c>
      <c r="N1165" t="inlineStr">
        <is>
          <t>Lead routing is inflexible</t>
        </is>
      </c>
      <c r="O1165" t="inlineStr">
        <is>
          <t>2026-07</t>
        </is>
      </c>
    </row>
    <row r="1166">
      <c r="A1166" t="inlineStr">
        <is>
          <t>FB-01165</t>
        </is>
      </c>
      <c r="B1166" t="inlineStr">
        <is>
          <t>CUST-0072</t>
        </is>
      </c>
      <c r="C1166" s="11" t="n">
        <v>46227</v>
      </c>
      <c r="D1166" t="inlineStr">
        <is>
          <t>In-App Feedback</t>
        </is>
      </c>
      <c r="E1166" t="inlineStr">
        <is>
          <t>Starter</t>
        </is>
      </c>
      <c r="F1166" t="inlineStr">
        <is>
          <t>SMB</t>
        </is>
      </c>
      <c r="G1166" t="inlineStr">
        <is>
          <t>Contact Management</t>
        </is>
      </c>
      <c r="H1166" t="inlineStr">
        <is>
          <t>Bug</t>
        </is>
      </c>
      <c r="I1166" t="inlineStr">
        <is>
          <t>Overall we like the product. The import field mapping fails halfway through with a generic error and no row-level detail. Happy to beta test.</t>
        </is>
      </c>
      <c r="J1166" t="inlineStr">
        <is>
          <t>Positive</t>
        </is>
      </c>
      <c r="K1166" t="inlineStr">
        <is>
          <t>Low</t>
        </is>
      </c>
      <c r="L1166" t="inlineStr">
        <is>
          <t>Minor Inconvenience</t>
        </is>
      </c>
      <c r="M1166" t="inlineStr">
        <is>
          <t>contact_import</t>
        </is>
      </c>
      <c r="N1166" t="inlineStr">
        <is>
          <t>Unreliable contact imports</t>
        </is>
      </c>
      <c r="O1166" t="inlineStr">
        <is>
          <t>2026-07</t>
        </is>
      </c>
    </row>
    <row r="1167">
      <c r="A1167" t="inlineStr">
        <is>
          <t>FB-01166</t>
        </is>
      </c>
      <c r="B1167" t="inlineStr">
        <is>
          <t>CUST-0290</t>
        </is>
      </c>
      <c r="C1167" s="11" t="n">
        <v>46227</v>
      </c>
      <c r="D1167" t="inlineStr">
        <is>
          <t>Customer Survey</t>
        </is>
      </c>
      <c r="E1167" t="inlineStr">
        <is>
          <t>Starter</t>
        </is>
      </c>
      <c r="F1167" t="inlineStr">
        <is>
          <t>SMB</t>
        </is>
      </c>
      <c r="G1167" t="inlineStr">
        <is>
          <t>User Interface</t>
        </is>
      </c>
      <c r="H1167" t="inlineStr">
        <is>
          <t>Feature Request</t>
        </is>
      </c>
      <c r="I1167" t="inlineStr">
        <is>
          <t>Happy with most of the product. Requesting mobile call logging so reps can log activity right after a meeting. It happens about 23 times a week for our team of 31. Keep up the good work.</t>
        </is>
      </c>
      <c r="J1167" t="inlineStr">
        <is>
          <t>Positive</t>
        </is>
      </c>
      <c r="K1167" t="inlineStr">
        <is>
          <t>Low</t>
        </is>
      </c>
      <c r="L1167" t="inlineStr">
        <is>
          <t>Workflow Slowdown</t>
        </is>
      </c>
      <c r="M1167" t="inlineStr">
        <is>
          <t>ui_mobile</t>
        </is>
      </c>
      <c r="N1167" t="inlineStr">
        <is>
          <t>Mobile app</t>
        </is>
      </c>
      <c r="O1167" t="inlineStr">
        <is>
          <t>2026-07</t>
        </is>
      </c>
    </row>
    <row r="1168">
      <c r="A1168" t="inlineStr">
        <is>
          <t>FB-01167</t>
        </is>
      </c>
      <c r="B1168" t="inlineStr">
        <is>
          <t>CUST-0145</t>
        </is>
      </c>
      <c r="C1168" s="11" t="n">
        <v>46228</v>
      </c>
      <c r="D1168" t="inlineStr">
        <is>
          <t>Feature Request</t>
        </is>
      </c>
      <c r="E1168" t="inlineStr">
        <is>
          <t>Professional</t>
        </is>
      </c>
      <c r="F1168" t="inlineStr">
        <is>
          <t>SMB</t>
        </is>
      </c>
      <c r="G1168" t="inlineStr">
        <is>
          <t>Reporting</t>
        </is>
      </c>
      <c r="H1168" t="inlineStr">
        <is>
          <t>Feature Request</t>
        </is>
      </c>
      <c r="I1168" t="inlineStr">
        <is>
          <t>Overall we like the product. Requesting quota tracking that updates as deal stages change. It affects our renewal process every cycle.</t>
        </is>
      </c>
      <c r="J1168" t="inlineStr">
        <is>
          <t>Positive</t>
        </is>
      </c>
      <c r="K1168" t="inlineStr">
        <is>
          <t>Low</t>
        </is>
      </c>
      <c r="L1168" t="inlineStr">
        <is>
          <t>Minor Inconvenience</t>
        </is>
      </c>
      <c r="M1168" t="inlineStr">
        <is>
          <t>rep_forecast</t>
        </is>
      </c>
      <c r="N1168" t="inlineStr">
        <is>
          <t>Sales forecasting</t>
        </is>
      </c>
      <c r="O1168" t="inlineStr">
        <is>
          <t>2026-07</t>
        </is>
      </c>
    </row>
    <row r="1169">
      <c r="A1169" t="inlineStr">
        <is>
          <t>FB-01168</t>
        </is>
      </c>
      <c r="B1169" t="inlineStr">
        <is>
          <t>CUST-0202</t>
        </is>
      </c>
      <c r="C1169" s="11" t="n">
        <v>46228</v>
      </c>
      <c r="D1169" t="inlineStr">
        <is>
          <t>Support Ticket</t>
        </is>
      </c>
      <c r="E1169" t="inlineStr">
        <is>
          <t>Enterprise</t>
        </is>
      </c>
      <c r="F1169" t="inlineStr">
        <is>
          <t>Enterprise</t>
        </is>
      </c>
      <c r="G1169" t="inlineStr">
        <is>
          <t>Workflow Automation</t>
        </is>
      </c>
      <c r="H1169" t="inlineStr">
        <is>
          <t>Feature Request</t>
        </is>
      </c>
      <c r="I1169" t="inlineStr">
        <is>
          <t>Great support experience recently. A library of workflow templates would cut our setup time. Keep up the good work.</t>
        </is>
      </c>
      <c r="J1169" t="inlineStr">
        <is>
          <t>Positive</t>
        </is>
      </c>
      <c r="K1169" t="inlineStr">
        <is>
          <t>High</t>
        </is>
      </c>
      <c r="L1169" t="inlineStr">
        <is>
          <t>Blocks Key Task</t>
        </is>
      </c>
      <c r="M1169" t="inlineStr">
        <is>
          <t>wf_templates</t>
        </is>
      </c>
      <c r="N1169" t="inlineStr">
        <is>
          <t>Workflow templates</t>
        </is>
      </c>
      <c r="O1169" t="inlineStr">
        <is>
          <t>2026-07</t>
        </is>
      </c>
    </row>
    <row r="1170">
      <c r="A1170" t="inlineStr">
        <is>
          <t>FB-01169</t>
        </is>
      </c>
      <c r="B1170" t="inlineStr">
        <is>
          <t>CUST-0314</t>
        </is>
      </c>
      <c r="C1170" s="11" t="n">
        <v>46228</v>
      </c>
      <c r="D1170" t="inlineStr">
        <is>
          <t>Customer Survey</t>
        </is>
      </c>
      <c r="E1170" t="inlineStr">
        <is>
          <t>Enterprise</t>
        </is>
      </c>
      <c r="F1170" t="inlineStr">
        <is>
          <t>Mid-Market</t>
        </is>
      </c>
      <c r="G1170" t="inlineStr">
        <is>
          <t>Workflow Automation</t>
        </is>
      </c>
      <c r="H1170" t="inlineStr">
        <is>
          <t>Usability Issue</t>
        </is>
      </c>
      <c r="I1170" t="inlineStr">
        <is>
          <t>Great support experience recently. The automation canvas doesn't let us copy steps between flows. It affects our onboarding process every cycle. Happy to beta test.</t>
        </is>
      </c>
      <c r="J1170" t="inlineStr">
        <is>
          <t>Positive</t>
        </is>
      </c>
      <c r="K1170" t="inlineStr">
        <is>
          <t>Medium</t>
        </is>
      </c>
      <c r="L1170" t="inlineStr">
        <is>
          <t>Blocks Key Task</t>
        </is>
      </c>
      <c r="M1170" t="inlineStr">
        <is>
          <t>wf_builder</t>
        </is>
      </c>
      <c r="N1170" t="inlineStr">
        <is>
          <t>Confusing workflow builder</t>
        </is>
      </c>
      <c r="O1170" t="inlineStr">
        <is>
          <t>2026-07</t>
        </is>
      </c>
    </row>
    <row r="1171">
      <c r="A1171" t="inlineStr">
        <is>
          <t>FB-01170</t>
        </is>
      </c>
      <c r="B1171" t="inlineStr">
        <is>
          <t>CUST-0034</t>
        </is>
      </c>
      <c r="C1171" s="11" t="n">
        <v>46229</v>
      </c>
      <c r="D1171" t="inlineStr">
        <is>
          <t>Feature Request</t>
        </is>
      </c>
      <c r="E1171" t="inlineStr">
        <is>
          <t>Professional</t>
        </is>
      </c>
      <c r="F1171" t="inlineStr">
        <is>
          <t>Mid-Market</t>
        </is>
      </c>
      <c r="G1171" t="inlineStr">
        <is>
          <t>Lead Management</t>
        </is>
      </c>
      <c r="H1171" t="inlineStr">
        <is>
          <t>Feature Request</t>
        </is>
      </c>
      <c r="I1171" t="inlineStr">
        <is>
          <t>Sharing this from our team. Would love to see automated lead scoring that marketing and sales can both tune. We estimate we lose roughly 28 hours a month on this.</t>
        </is>
      </c>
      <c r="J1171" t="inlineStr">
        <is>
          <t>Neutral</t>
        </is>
      </c>
      <c r="K1171" t="inlineStr">
        <is>
          <t>Low</t>
        </is>
      </c>
      <c r="L1171" t="inlineStr">
        <is>
          <t>Minor Inconvenience</t>
        </is>
      </c>
      <c r="M1171" t="inlineStr">
        <is>
          <t>lead_score</t>
        </is>
      </c>
      <c r="N1171" t="inlineStr">
        <is>
          <t>Automated lead scoring</t>
        </is>
      </c>
      <c r="O1171" t="inlineStr">
        <is>
          <t>2026-07</t>
        </is>
      </c>
    </row>
    <row r="1172">
      <c r="A1172" t="inlineStr">
        <is>
          <t>FB-01171</t>
        </is>
      </c>
      <c r="B1172" t="inlineStr">
        <is>
          <t>CUST-0051</t>
        </is>
      </c>
      <c r="C1172" s="11" t="n">
        <v>46229</v>
      </c>
      <c r="D1172" t="inlineStr">
        <is>
          <t>Support Ticket</t>
        </is>
      </c>
      <c r="E1172" t="inlineStr">
        <is>
          <t>Enterprise</t>
        </is>
      </c>
      <c r="F1172" t="inlineStr">
        <is>
          <t>Enterprise</t>
        </is>
      </c>
      <c r="G1172" t="inlineStr">
        <is>
          <t>Integrations</t>
        </is>
      </c>
      <c r="H1172" t="inlineStr">
        <is>
          <t>Integration Issue</t>
        </is>
      </c>
      <c r="I1172" t="inlineStr">
        <is>
          <t>We keep hitting API timeouts during nightly syncs with our data warehouse. So far 94 people on our side have reported it. Happy to join a feedback call.</t>
        </is>
      </c>
      <c r="J1172" t="inlineStr">
        <is>
          <t>Neutral</t>
        </is>
      </c>
      <c r="K1172" t="inlineStr">
        <is>
          <t>Medium</t>
        </is>
      </c>
      <c r="L1172" t="inlineStr">
        <is>
          <t>Blocks Key Task</t>
        </is>
      </c>
      <c r="M1172" t="inlineStr">
        <is>
          <t>int_api</t>
        </is>
      </c>
      <c r="N1172" t="inlineStr">
        <is>
          <t>API limits and webhook failures</t>
        </is>
      </c>
      <c r="O1172" t="inlineStr">
        <is>
          <t>2026-07</t>
        </is>
      </c>
    </row>
    <row r="1173">
      <c r="A1173" t="inlineStr">
        <is>
          <t>FB-01172</t>
        </is>
      </c>
      <c r="B1173" t="inlineStr">
        <is>
          <t>CUST-0239</t>
        </is>
      </c>
      <c r="C1173" s="11" t="n">
        <v>46229</v>
      </c>
      <c r="D1173" t="inlineStr">
        <is>
          <t>Support Ticket</t>
        </is>
      </c>
      <c r="E1173" t="inlineStr">
        <is>
          <t>Professional</t>
        </is>
      </c>
      <c r="F1173" t="inlineStr">
        <is>
          <t>Mid-Market</t>
        </is>
      </c>
      <c r="G1173" t="inlineStr">
        <is>
          <t>Reporting</t>
        </is>
      </c>
      <c r="H1173" t="inlineStr">
        <is>
          <t>Bug</t>
        </is>
      </c>
      <c r="I1173" t="inlineStr">
        <is>
          <t>The report export cuts off rows after a few thousand records. We estimate we lose roughly 4 hours a month on this.</t>
        </is>
      </c>
      <c r="J1173" t="inlineStr">
        <is>
          <t>Negative</t>
        </is>
      </c>
      <c r="K1173" t="inlineStr">
        <is>
          <t>High</t>
        </is>
      </c>
      <c r="L1173" t="inlineStr">
        <is>
          <t>Blocks Key Task</t>
        </is>
      </c>
      <c r="M1173" t="inlineStr">
        <is>
          <t>rep_export</t>
        </is>
      </c>
      <c r="N1173" t="inlineStr">
        <is>
          <t>Broken report exports</t>
        </is>
      </c>
      <c r="O1173" t="inlineStr">
        <is>
          <t>2026-07</t>
        </is>
      </c>
    </row>
    <row r="1174">
      <c r="A1174" t="inlineStr">
        <is>
          <t>FB-01173</t>
        </is>
      </c>
      <c r="B1174" t="inlineStr">
        <is>
          <t>CUST-0371</t>
        </is>
      </c>
      <c r="C1174" s="11" t="n">
        <v>46230</v>
      </c>
      <c r="D1174" t="inlineStr">
        <is>
          <t>Customer Survey</t>
        </is>
      </c>
      <c r="E1174" t="inlineStr">
        <is>
          <t>Enterprise</t>
        </is>
      </c>
      <c r="F1174" t="inlineStr">
        <is>
          <t>Enterprise</t>
        </is>
      </c>
      <c r="G1174" t="inlineStr">
        <is>
          <t>Lead Management</t>
        </is>
      </c>
      <c r="H1174" t="inlineStr">
        <is>
          <t>Usability Issue</t>
        </is>
      </c>
      <c r="I1174" t="inlineStr">
        <is>
          <t>This has been a recurring problem for us. The lead assignment settings are confusing and new leads sometimes sit unassigned over weekends. It affects our lead handoff process every cycle.</t>
        </is>
      </c>
      <c r="J1174" t="inlineStr">
        <is>
          <t>Negative</t>
        </is>
      </c>
      <c r="K1174" t="inlineStr">
        <is>
          <t>Low</t>
        </is>
      </c>
      <c r="L1174" t="inlineStr">
        <is>
          <t>Workflow Slowdown</t>
        </is>
      </c>
      <c r="M1174" t="inlineStr">
        <is>
          <t>lead_assign</t>
        </is>
      </c>
      <c r="N1174" t="inlineStr">
        <is>
          <t>Lead routing is inflexible</t>
        </is>
      </c>
      <c r="O1174" t="inlineStr">
        <is>
          <t>2026-07</t>
        </is>
      </c>
    </row>
    <row r="1175">
      <c r="A1175" t="inlineStr">
        <is>
          <t>FB-01174</t>
        </is>
      </c>
      <c r="B1175" t="inlineStr">
        <is>
          <t>CUST-0243</t>
        </is>
      </c>
      <c r="C1175" s="11" t="n">
        <v>46230</v>
      </c>
      <c r="D1175" t="inlineStr">
        <is>
          <t>In-App Feedback</t>
        </is>
      </c>
      <c r="E1175" t="inlineStr">
        <is>
          <t>Professional</t>
        </is>
      </c>
      <c r="F1175" t="inlineStr">
        <is>
          <t>SMB</t>
        </is>
      </c>
      <c r="G1175" t="inlineStr">
        <is>
          <t>Lead Management</t>
        </is>
      </c>
      <c r="H1175" t="inlineStr">
        <is>
          <t>Bug</t>
        </is>
      </c>
      <c r="I1175" t="inlineStr">
        <is>
          <t>We are seeing lead de-duplication failures when a lead arrives from both the website and a trade-show list.</t>
        </is>
      </c>
      <c r="J1175" t="inlineStr">
        <is>
          <t>Negative</t>
        </is>
      </c>
      <c r="K1175" t="inlineStr">
        <is>
          <t>Critical</t>
        </is>
      </c>
      <c r="L1175" t="inlineStr">
        <is>
          <t>Blocks Key Task</t>
        </is>
      </c>
      <c r="M1175" t="inlineStr">
        <is>
          <t>lead_dup</t>
        </is>
      </c>
      <c r="N1175" t="inlineStr">
        <is>
          <t>Duplicate leads created</t>
        </is>
      </c>
      <c r="O1175" t="inlineStr">
        <is>
          <t>2026-07</t>
        </is>
      </c>
    </row>
    <row r="1176">
      <c r="A1176" t="inlineStr">
        <is>
          <t>FB-01175</t>
        </is>
      </c>
      <c r="B1176" t="inlineStr">
        <is>
          <t>CUST-0413</t>
        </is>
      </c>
      <c r="C1176" s="11" t="n">
        <v>46231</v>
      </c>
      <c r="D1176" t="inlineStr">
        <is>
          <t>Support Ticket</t>
        </is>
      </c>
      <c r="E1176" t="inlineStr">
        <is>
          <t>Professional</t>
        </is>
      </c>
      <c r="F1176" t="inlineStr">
        <is>
          <t>SMB</t>
        </is>
      </c>
      <c r="G1176" t="inlineStr">
        <is>
          <t>Workflow Automation</t>
        </is>
      </c>
      <c r="H1176" t="inlineStr">
        <is>
          <t>Usability Issue</t>
        </is>
      </c>
      <c r="I1176" t="inlineStr">
        <is>
          <t>The workflow builder doesn't let us copy steps between flows. Our finance analyst flagged it while onboarding 74 new users. Happy to beta test.</t>
        </is>
      </c>
      <c r="J1176" t="inlineStr">
        <is>
          <t>Positive</t>
        </is>
      </c>
      <c r="K1176" t="inlineStr">
        <is>
          <t>High</t>
        </is>
      </c>
      <c r="L1176" t="inlineStr">
        <is>
          <t>Revenue/Operations Risk</t>
        </is>
      </c>
      <c r="M1176" t="inlineStr">
        <is>
          <t>wf_builder</t>
        </is>
      </c>
      <c r="N1176" t="inlineStr">
        <is>
          <t>Confusing workflow builder</t>
        </is>
      </c>
      <c r="O1176" t="inlineStr">
        <is>
          <t>2026-07</t>
        </is>
      </c>
    </row>
    <row r="1177">
      <c r="A1177" t="inlineStr">
        <is>
          <t>FB-01176</t>
        </is>
      </c>
      <c r="B1177" t="inlineStr">
        <is>
          <t>CUST-0216</t>
        </is>
      </c>
      <c r="C1177" s="11" t="n">
        <v>46231</v>
      </c>
      <c r="D1177" t="inlineStr">
        <is>
          <t>Customer Survey</t>
        </is>
      </c>
      <c r="E1177" t="inlineStr">
        <is>
          <t>Starter</t>
        </is>
      </c>
      <c r="F1177" t="inlineStr">
        <is>
          <t>Mid-Market</t>
        </is>
      </c>
      <c r="G1177" t="inlineStr">
        <is>
          <t>Integrations</t>
        </is>
      </c>
      <c r="H1177" t="inlineStr">
        <is>
          <t>Integration Issue</t>
        </is>
      </c>
      <c r="I1177" t="inlineStr">
        <is>
          <t>The email sync duplicates meetings and misses replies. Happy to beta test.</t>
        </is>
      </c>
      <c r="J1177" t="inlineStr">
        <is>
          <t>Positive</t>
        </is>
      </c>
      <c r="K1177" t="inlineStr">
        <is>
          <t>Low</t>
        </is>
      </c>
      <c r="L1177" t="inlineStr">
        <is>
          <t>Minor Inconvenience</t>
        </is>
      </c>
      <c r="M1177" t="inlineStr">
        <is>
          <t>int_email</t>
        </is>
      </c>
      <c r="N1177" t="inlineStr">
        <is>
          <t>Email and calendar sync drops</t>
        </is>
      </c>
      <c r="O1177" t="inlineStr">
        <is>
          <t>2026-07</t>
        </is>
      </c>
    </row>
    <row r="1178">
      <c r="A1178" t="inlineStr">
        <is>
          <t>FB-01177</t>
        </is>
      </c>
      <c r="B1178" t="inlineStr">
        <is>
          <t>CUST-0288</t>
        </is>
      </c>
      <c r="C1178" s="11" t="n">
        <v>46231</v>
      </c>
      <c r="D1178" t="inlineStr">
        <is>
          <t>Customer Survey</t>
        </is>
      </c>
      <c r="E1178" t="inlineStr">
        <is>
          <t>Professional</t>
        </is>
      </c>
      <c r="F1178" t="inlineStr">
        <is>
          <t>Mid-Market</t>
        </is>
      </c>
      <c r="G1178" t="inlineStr">
        <is>
          <t>Contact Management</t>
        </is>
      </c>
      <c r="H1178" t="inlineStr">
        <is>
          <t>Feature Request</t>
        </is>
      </c>
      <c r="I1178" t="inlineStr">
        <is>
          <t>FYI for the product team. Please build a bulk contact merge with a preview of what will be combined.</t>
        </is>
      </c>
      <c r="J1178" t="inlineStr">
        <is>
          <t>Neutral</t>
        </is>
      </c>
      <c r="K1178" t="inlineStr">
        <is>
          <t>Low</t>
        </is>
      </c>
      <c r="L1178" t="inlineStr">
        <is>
          <t>Minor Inconvenience</t>
        </is>
      </c>
      <c r="M1178" t="inlineStr">
        <is>
          <t>contact_dedupe</t>
        </is>
      </c>
      <c r="N1178" t="inlineStr">
        <is>
          <t>Bulk contact merge</t>
        </is>
      </c>
      <c r="O1178" t="inlineStr">
        <is>
          <t>2026-07</t>
        </is>
      </c>
    </row>
    <row r="1179">
      <c r="A1179" t="inlineStr">
        <is>
          <t>FB-01178</t>
        </is>
      </c>
      <c r="B1179" t="inlineStr">
        <is>
          <t>CUST-0210</t>
        </is>
      </c>
      <c r="C1179" s="11" t="n">
        <v>46231</v>
      </c>
      <c r="D1179" t="inlineStr">
        <is>
          <t>Support Ticket</t>
        </is>
      </c>
      <c r="E1179" t="inlineStr">
        <is>
          <t>Professional</t>
        </is>
      </c>
      <c r="F1179" t="inlineStr">
        <is>
          <t>Mid-Market</t>
        </is>
      </c>
      <c r="G1179" t="inlineStr">
        <is>
          <t>Integrations</t>
        </is>
      </c>
      <c r="H1179" t="inlineStr">
        <is>
          <t>Integration Issue</t>
        </is>
      </c>
      <c r="I1179" t="inlineStr">
        <is>
          <t>Escalating on behalf of our ops lead. After the token expires, Outlook calendar sync stops with no warning. We need a fix before renewal.</t>
        </is>
      </c>
      <c r="J1179" t="inlineStr">
        <is>
          <t>Negative</t>
        </is>
      </c>
      <c r="K1179" t="inlineStr">
        <is>
          <t>High</t>
        </is>
      </c>
      <c r="L1179" t="inlineStr">
        <is>
          <t>Blocks Key Task</t>
        </is>
      </c>
      <c r="M1179" t="inlineStr">
        <is>
          <t>int_email</t>
        </is>
      </c>
      <c r="N1179" t="inlineStr">
        <is>
          <t>Email and calendar sync drops</t>
        </is>
      </c>
      <c r="O1179" t="inlineStr">
        <is>
          <t>2026-07</t>
        </is>
      </c>
    </row>
    <row r="1180">
      <c r="A1180" t="inlineStr">
        <is>
          <t>FB-01179</t>
        </is>
      </c>
      <c r="B1180" t="inlineStr">
        <is>
          <t>CUST-0012</t>
        </is>
      </c>
      <c r="C1180" s="11" t="n">
        <v>46232</v>
      </c>
      <c r="D1180" t="inlineStr">
        <is>
          <t>Feature Request</t>
        </is>
      </c>
      <c r="E1180" t="inlineStr">
        <is>
          <t>Enterprise</t>
        </is>
      </c>
      <c r="F1180" t="inlineStr">
        <is>
          <t>Enterprise</t>
        </is>
      </c>
      <c r="G1180" t="inlineStr">
        <is>
          <t>Lead Management</t>
        </is>
      </c>
      <c r="H1180" t="inlineStr">
        <is>
          <t>Feature Request</t>
        </is>
      </c>
      <c r="I1180" t="inlineStr">
        <is>
          <t>Quick note from our admin. Right now reps rank leads by gut feel; automated lead scoring would fix that. Our sales manager flagged it while onboarding 16 new users. Let us know if you need examples.</t>
        </is>
      </c>
      <c r="J1180" t="inlineStr">
        <is>
          <t>Neutral</t>
        </is>
      </c>
      <c r="K1180" t="inlineStr">
        <is>
          <t>High</t>
        </is>
      </c>
      <c r="L1180" t="inlineStr">
        <is>
          <t>Blocks Key Task</t>
        </is>
      </c>
      <c r="M1180" t="inlineStr">
        <is>
          <t>lead_score</t>
        </is>
      </c>
      <c r="N1180" t="inlineStr">
        <is>
          <t>Automated lead scoring</t>
        </is>
      </c>
      <c r="O1180" t="inlineStr">
        <is>
          <t>2026-07</t>
        </is>
      </c>
    </row>
    <row r="1181">
      <c r="A1181" t="inlineStr">
        <is>
          <t>FB-01180</t>
        </is>
      </c>
      <c r="B1181" t="inlineStr">
        <is>
          <t>CUST-0087</t>
        </is>
      </c>
      <c r="C1181" s="11" t="n">
        <v>46232</v>
      </c>
      <c r="D1181" t="inlineStr">
        <is>
          <t>Feature Request</t>
        </is>
      </c>
      <c r="E1181" t="inlineStr">
        <is>
          <t>Professional</t>
        </is>
      </c>
      <c r="F1181" t="inlineStr">
        <is>
          <t>SMB</t>
        </is>
      </c>
      <c r="G1181" t="inlineStr">
        <is>
          <t>Contact Management</t>
        </is>
      </c>
      <c r="H1181" t="inlineStr">
        <is>
          <t>Feature Request</t>
        </is>
      </c>
      <c r="I1181" t="inlineStr">
        <is>
          <t>Please extend custom contact fields; the current limit is too small for our use case. So far 48 people on our side have reported it.</t>
        </is>
      </c>
      <c r="J1181" t="inlineStr">
        <is>
          <t>Negative</t>
        </is>
      </c>
      <c r="K1181" t="inlineStr">
        <is>
          <t>Medium</t>
        </is>
      </c>
      <c r="L1181" t="inlineStr">
        <is>
          <t>Workflow Slowdown</t>
        </is>
      </c>
      <c r="M1181" t="inlineStr">
        <is>
          <t>contact_custom</t>
        </is>
      </c>
      <c r="N1181" t="inlineStr">
        <is>
          <t>Custom fields and hierarchy</t>
        </is>
      </c>
      <c r="O1181" t="inlineStr">
        <is>
          <t>2026-07</t>
        </is>
      </c>
    </row>
    <row r="1182">
      <c r="A1182" t="inlineStr">
        <is>
          <t>FB-01181</t>
        </is>
      </c>
      <c r="B1182" t="inlineStr">
        <is>
          <t>CUST-0051</t>
        </is>
      </c>
      <c r="C1182" s="11" t="n">
        <v>46232</v>
      </c>
      <c r="D1182" t="inlineStr">
        <is>
          <t>Support Ticket</t>
        </is>
      </c>
      <c r="E1182" t="inlineStr">
        <is>
          <t>Enterprise</t>
        </is>
      </c>
      <c r="F1182" t="inlineStr">
        <is>
          <t>Enterprise</t>
        </is>
      </c>
      <c r="G1182" t="inlineStr">
        <is>
          <t>Integrations</t>
        </is>
      </c>
      <c r="H1182" t="inlineStr">
        <is>
          <t>Integration Issue</t>
        </is>
      </c>
      <c r="I1182" t="inlineStr">
        <is>
          <t>Not what we expected for the price. Our Outlook calendar sync keeps disconnecting and activities are missing from the contact timeline. Our admin flagged it while onboarding 52 new users. Please look into it soon.</t>
        </is>
      </c>
      <c r="J1182" t="inlineStr">
        <is>
          <t>Negative</t>
        </is>
      </c>
      <c r="K1182" t="inlineStr">
        <is>
          <t>Medium</t>
        </is>
      </c>
      <c r="L1182" t="inlineStr">
        <is>
          <t>Blocks Key Task</t>
        </is>
      </c>
      <c r="M1182" t="inlineStr">
        <is>
          <t>int_email</t>
        </is>
      </c>
      <c r="N1182" t="inlineStr">
        <is>
          <t>Email and calendar sync drops</t>
        </is>
      </c>
      <c r="O1182" t="inlineStr">
        <is>
          <t>2026-07</t>
        </is>
      </c>
    </row>
    <row r="1183">
      <c r="A1183" t="inlineStr">
        <is>
          <t>FB-01182</t>
        </is>
      </c>
      <c r="B1183" t="inlineStr">
        <is>
          <t>CUST-0148</t>
        </is>
      </c>
      <c r="C1183" s="11" t="n">
        <v>46233</v>
      </c>
      <c r="D1183" t="inlineStr">
        <is>
          <t>Customer Survey</t>
        </is>
      </c>
      <c r="E1183" t="inlineStr">
        <is>
          <t>Professional</t>
        </is>
      </c>
      <c r="F1183" t="inlineStr">
        <is>
          <t>Mid-Market</t>
        </is>
      </c>
      <c r="G1183" t="inlineStr">
        <is>
          <t>Contact Management</t>
        </is>
      </c>
      <c r="H1183" t="inlineStr">
        <is>
          <t>Feature Request</t>
        </is>
      </c>
      <c r="I1183" t="inlineStr">
        <is>
          <t>Quick note from our admin. Please extend a contact relationship hierarchy; the current limit is too small for our use case. We estimate we lose roughly 47 hours a month on this. Happy to join a feedback call.</t>
        </is>
      </c>
      <c r="J1183" t="inlineStr">
        <is>
          <t>Neutral</t>
        </is>
      </c>
      <c r="K1183" t="inlineStr">
        <is>
          <t>Low</t>
        </is>
      </c>
      <c r="L1183" t="inlineStr">
        <is>
          <t>Workflow Slowdown</t>
        </is>
      </c>
      <c r="M1183" t="inlineStr">
        <is>
          <t>contact_custom</t>
        </is>
      </c>
      <c r="N1183" t="inlineStr">
        <is>
          <t>Custom fields and hierarchy</t>
        </is>
      </c>
      <c r="O1183" t="inlineStr">
        <is>
          <t>2026-07</t>
        </is>
      </c>
    </row>
    <row r="1184">
      <c r="A1184" t="inlineStr">
        <is>
          <t>FB-01183</t>
        </is>
      </c>
      <c r="B1184" t="inlineStr">
        <is>
          <t>CUST-0117</t>
        </is>
      </c>
      <c r="C1184" s="11" t="n">
        <v>46233</v>
      </c>
      <c r="D1184" t="inlineStr">
        <is>
          <t>In-App Feedback</t>
        </is>
      </c>
      <c r="E1184" t="inlineStr">
        <is>
          <t>Professional</t>
        </is>
      </c>
      <c r="F1184" t="inlineStr">
        <is>
          <t>Mid-Market</t>
        </is>
      </c>
      <c r="G1184" t="inlineStr">
        <is>
          <t>Reporting</t>
        </is>
      </c>
      <c r="H1184" t="inlineStr">
        <is>
          <t>Performance Issue</t>
        </is>
      </c>
      <c r="I1184" t="inlineStr">
        <is>
          <t>This has been a recurring problem for us. Execs gave up on the dashboard loading and ask for screenshots instead. Please look into it soon.</t>
        </is>
      </c>
      <c r="J1184" t="inlineStr">
        <is>
          <t>Negative</t>
        </is>
      </c>
      <c r="K1184" t="inlineStr">
        <is>
          <t>High</t>
        </is>
      </c>
      <c r="L1184" t="inlineStr">
        <is>
          <t>Workflow Slowdown</t>
        </is>
      </c>
      <c r="M1184" t="inlineStr">
        <is>
          <t>rep_slow</t>
        </is>
      </c>
      <c r="N1184" t="inlineStr">
        <is>
          <t>Slow dashboards</t>
        </is>
      </c>
      <c r="O1184" t="inlineStr">
        <is>
          <t>2026-07</t>
        </is>
      </c>
    </row>
    <row r="1185">
      <c r="A1185" t="inlineStr">
        <is>
          <t>FB-01184</t>
        </is>
      </c>
      <c r="B1185" t="inlineStr">
        <is>
          <t>CUST-0376</t>
        </is>
      </c>
      <c r="C1185" s="11" t="n">
        <v>46233</v>
      </c>
      <c r="D1185" t="inlineStr">
        <is>
          <t>In-App Feedback</t>
        </is>
      </c>
      <c r="E1185" t="inlineStr">
        <is>
          <t>Professional</t>
        </is>
      </c>
      <c r="F1185" t="inlineStr">
        <is>
          <t>Enterprise</t>
        </is>
      </c>
      <c r="G1185" t="inlineStr">
        <is>
          <t>Contact Management</t>
        </is>
      </c>
      <c r="H1185" t="inlineStr">
        <is>
          <t>Bug</t>
        </is>
      </c>
      <c r="I1185" t="inlineStr">
        <is>
          <t>The contact CSV import rejects files with accented characters in names. So far 31 people on our side have reported it.</t>
        </is>
      </c>
      <c r="J1185" t="inlineStr">
        <is>
          <t>Neutral</t>
        </is>
      </c>
      <c r="K1185" t="inlineStr">
        <is>
          <t>Medium</t>
        </is>
      </c>
      <c r="L1185" t="inlineStr">
        <is>
          <t>Minor Inconvenience</t>
        </is>
      </c>
      <c r="M1185" t="inlineStr">
        <is>
          <t>contact_import</t>
        </is>
      </c>
      <c r="N1185" t="inlineStr">
        <is>
          <t>Unreliable contact imports</t>
        </is>
      </c>
      <c r="O1185" t="inlineStr">
        <is>
          <t>2026-07</t>
        </is>
      </c>
    </row>
    <row r="1186">
      <c r="A1186" t="inlineStr">
        <is>
          <t>FB-01185</t>
        </is>
      </c>
      <c r="B1186" t="inlineStr">
        <is>
          <t>CUST-0069</t>
        </is>
      </c>
      <c r="C1186" s="11" t="n">
        <v>46233</v>
      </c>
      <c r="D1186" t="inlineStr">
        <is>
          <t>Support Ticket</t>
        </is>
      </c>
      <c r="E1186" t="inlineStr">
        <is>
          <t>Starter</t>
        </is>
      </c>
      <c r="F1186" t="inlineStr">
        <is>
          <t>Mid-Market</t>
        </is>
      </c>
      <c r="G1186" t="inlineStr">
        <is>
          <t>Integrations</t>
        </is>
      </c>
      <c r="H1186" t="inlineStr">
        <is>
          <t>Integration Issue</t>
        </is>
      </c>
      <c r="I1186" t="inlineStr">
        <is>
          <t>Frustrated with this one. The Gmail sync duplicates meetings and misses replies. It affects our renewal process every cycle. We need a fix before renewal.</t>
        </is>
      </c>
      <c r="J1186" t="inlineStr">
        <is>
          <t>Negative</t>
        </is>
      </c>
      <c r="K1186" t="inlineStr">
        <is>
          <t>Low</t>
        </is>
      </c>
      <c r="L1186" t="inlineStr">
        <is>
          <t>Minor Inconvenience</t>
        </is>
      </c>
      <c r="M1186" t="inlineStr">
        <is>
          <t>int_email</t>
        </is>
      </c>
      <c r="N1186" t="inlineStr">
        <is>
          <t>Email and calendar sync drops</t>
        </is>
      </c>
      <c r="O1186" t="inlineStr">
        <is>
          <t>2026-07</t>
        </is>
      </c>
    </row>
    <row r="1187">
      <c r="A1187" t="inlineStr">
        <is>
          <t>FB-01186</t>
        </is>
      </c>
      <c r="B1187" t="inlineStr">
        <is>
          <t>CUST-0046</t>
        </is>
      </c>
      <c r="C1187" s="11" t="n">
        <v>46233</v>
      </c>
      <c r="D1187" t="inlineStr">
        <is>
          <t>Support Ticket</t>
        </is>
      </c>
      <c r="E1187" t="inlineStr">
        <is>
          <t>Professional</t>
        </is>
      </c>
      <c r="F1187" t="inlineStr">
        <is>
          <t>Mid-Market</t>
        </is>
      </c>
      <c r="G1187" t="inlineStr">
        <is>
          <t>Lead Management</t>
        </is>
      </c>
      <c r="H1187" t="inlineStr">
        <is>
          <t>Performance Issue</t>
        </is>
      </c>
      <c r="I1187" t="inlineStr">
        <is>
          <t>Complaint about lead list loading: the board freezes while cards render. It affects our renewal process every cycle.</t>
        </is>
      </c>
      <c r="J1187" t="inlineStr">
        <is>
          <t>Neutral</t>
        </is>
      </c>
      <c r="K1187" t="inlineStr">
        <is>
          <t>Medium</t>
        </is>
      </c>
      <c r="L1187" t="inlineStr">
        <is>
          <t>Workflow Slowdown</t>
        </is>
      </c>
      <c r="M1187" t="inlineStr">
        <is>
          <t>lead_slow</t>
        </is>
      </c>
      <c r="N1187" t="inlineStr">
        <is>
          <t>Slow lead lists and pipeline board</t>
        </is>
      </c>
      <c r="O1187" t="inlineStr">
        <is>
          <t>2026-07</t>
        </is>
      </c>
    </row>
    <row r="1188">
      <c r="A1188" t="inlineStr">
        <is>
          <t>FB-01187</t>
        </is>
      </c>
      <c r="B1188" t="inlineStr">
        <is>
          <t>CUST-0295</t>
        </is>
      </c>
      <c r="C1188" s="11" t="n">
        <v>46233</v>
      </c>
      <c r="D1188" t="inlineStr">
        <is>
          <t>Feature Request</t>
        </is>
      </c>
      <c r="E1188" t="inlineStr">
        <is>
          <t>Starter</t>
        </is>
      </c>
      <c r="F1188" t="inlineStr">
        <is>
          <t>SMB</t>
        </is>
      </c>
      <c r="G1188" t="inlineStr">
        <is>
          <t>Workflow Automation</t>
        </is>
      </c>
      <c r="H1188" t="inlineStr">
        <is>
          <t>Feature Request</t>
        </is>
      </c>
      <c r="I1188" t="inlineStr">
        <is>
          <t>FYI for the product team. We'd adopt automation faster with workflow templates we could customize. It affects our lead handoff process every cycle. Happy to join a feedback call.</t>
        </is>
      </c>
      <c r="J1188" t="inlineStr">
        <is>
          <t>Neutral</t>
        </is>
      </c>
      <c r="K1188" t="inlineStr">
        <is>
          <t>Low</t>
        </is>
      </c>
      <c r="L1188" t="inlineStr">
        <is>
          <t>Minor Inconvenience</t>
        </is>
      </c>
      <c r="M1188" t="inlineStr">
        <is>
          <t>wf_templates</t>
        </is>
      </c>
      <c r="N1188" t="inlineStr">
        <is>
          <t>Workflow templates</t>
        </is>
      </c>
      <c r="O1188" t="inlineStr">
        <is>
          <t>2026-07</t>
        </is>
      </c>
    </row>
    <row r="1189">
      <c r="A1189" t="inlineStr">
        <is>
          <t>FB-01188</t>
        </is>
      </c>
      <c r="B1189" t="inlineStr">
        <is>
          <t>CUST-0151</t>
        </is>
      </c>
      <c r="C1189" s="11" t="n">
        <v>46233</v>
      </c>
      <c r="D1189" t="inlineStr">
        <is>
          <t>In-App Feedback</t>
        </is>
      </c>
      <c r="E1189" t="inlineStr">
        <is>
          <t>Starter</t>
        </is>
      </c>
      <c r="F1189" t="inlineStr">
        <is>
          <t>SMB</t>
        </is>
      </c>
      <c r="G1189" t="inlineStr">
        <is>
          <t>Lead Management</t>
        </is>
      </c>
      <c r="H1189" t="inlineStr">
        <is>
          <t>Performance Issue</t>
        </is>
      </c>
      <c r="I1189" t="inlineStr">
        <is>
          <t>Our lead view load times regularly exceeds ten seconds on Monday mornings. We estimate we lose roughly 10 hours a month on this. Support suggested logging it here.</t>
        </is>
      </c>
      <c r="J1189" t="inlineStr">
        <is>
          <t>Negative</t>
        </is>
      </c>
      <c r="K1189" t="inlineStr">
        <is>
          <t>Medium</t>
        </is>
      </c>
      <c r="L1189" t="inlineStr">
        <is>
          <t>Blocks Key Task</t>
        </is>
      </c>
      <c r="M1189" t="inlineStr">
        <is>
          <t>lead_slow</t>
        </is>
      </c>
      <c r="N1189" t="inlineStr">
        <is>
          <t>Slow lead lists and pipeline board</t>
        </is>
      </c>
      <c r="O1189" t="inlineStr">
        <is>
          <t>2026-07</t>
        </is>
      </c>
    </row>
    <row r="1190">
      <c r="A1190" t="inlineStr">
        <is>
          <t>FB-01189</t>
        </is>
      </c>
      <c r="B1190" t="inlineStr">
        <is>
          <t>CUST-0284</t>
        </is>
      </c>
      <c r="C1190" s="11" t="n">
        <v>46233</v>
      </c>
      <c r="D1190" t="inlineStr">
        <is>
          <t>Feature Request</t>
        </is>
      </c>
      <c r="E1190" t="inlineStr">
        <is>
          <t>Enterprise</t>
        </is>
      </c>
      <c r="F1190" t="inlineStr">
        <is>
          <t>Enterprise</t>
        </is>
      </c>
      <c r="G1190" t="inlineStr">
        <is>
          <t>Lead Management</t>
        </is>
      </c>
      <c r="H1190" t="inlineStr">
        <is>
          <t>Feature Request</t>
        </is>
      </c>
      <c r="I1190" t="inlineStr">
        <is>
          <t>Would love to see automated lead scoring that marketing and sales can both tune. It affects our quarterly planning process every cycle. Happy to join a feedback call.</t>
        </is>
      </c>
      <c r="J1190" t="inlineStr">
        <is>
          <t>Neutral</t>
        </is>
      </c>
      <c r="K1190" t="inlineStr">
        <is>
          <t>Medium</t>
        </is>
      </c>
      <c r="L1190" t="inlineStr">
        <is>
          <t>Workflow Slowdown</t>
        </is>
      </c>
      <c r="M1190" t="inlineStr">
        <is>
          <t>lead_score</t>
        </is>
      </c>
      <c r="N1190" t="inlineStr">
        <is>
          <t>Automated lead scoring</t>
        </is>
      </c>
      <c r="O1190" t="inlineStr">
        <is>
          <t>2026-07</t>
        </is>
      </c>
    </row>
    <row r="1191">
      <c r="A1191" t="inlineStr">
        <is>
          <t>FB-01190</t>
        </is>
      </c>
      <c r="B1191" t="inlineStr">
        <is>
          <t>CUST-0147</t>
        </is>
      </c>
      <c r="C1191" s="11" t="n">
        <v>46233</v>
      </c>
      <c r="D1191" t="inlineStr">
        <is>
          <t>Customer Survey</t>
        </is>
      </c>
      <c r="E1191" t="inlineStr">
        <is>
          <t>Enterprise</t>
        </is>
      </c>
      <c r="F1191" t="inlineStr">
        <is>
          <t>Enterprise</t>
        </is>
      </c>
      <c r="G1191" t="inlineStr">
        <is>
          <t>Workflow Automation</t>
        </is>
      </c>
      <c r="H1191" t="inlineStr">
        <is>
          <t>Usability Issue</t>
        </is>
      </c>
      <c r="I1191" t="inlineStr">
        <is>
          <t>Escalating on behalf of our ops lead. The automation canvas is hard to follow once a flow has more than a handful of steps. Our RevOps lead flagged it while onboarding 6 new users. Is there a workaround?</t>
        </is>
      </c>
      <c r="J1191" t="inlineStr">
        <is>
          <t>Negative</t>
        </is>
      </c>
      <c r="K1191" t="inlineStr">
        <is>
          <t>Low</t>
        </is>
      </c>
      <c r="L1191" t="inlineStr">
        <is>
          <t>Minor Inconvenience</t>
        </is>
      </c>
      <c r="M1191" t="inlineStr">
        <is>
          <t>wf_builder</t>
        </is>
      </c>
      <c r="N1191" t="inlineStr">
        <is>
          <t>Confusing workflow builder</t>
        </is>
      </c>
      <c r="O1191" t="inlineStr">
        <is>
          <t>2026-07</t>
        </is>
      </c>
    </row>
    <row r="1192">
      <c r="A1192" t="inlineStr">
        <is>
          <t>FB-01191</t>
        </is>
      </c>
      <c r="B1192" t="inlineStr">
        <is>
          <t>CUST-0293</t>
        </is>
      </c>
      <c r="C1192" s="11" t="n">
        <v>46234</v>
      </c>
      <c r="D1192" t="inlineStr">
        <is>
          <t>Feature Request</t>
        </is>
      </c>
      <c r="E1192" t="inlineStr">
        <is>
          <t>Enterprise</t>
        </is>
      </c>
      <c r="F1192" t="inlineStr">
        <is>
          <t>Enterprise</t>
        </is>
      </c>
      <c r="G1192" t="inlineStr">
        <is>
          <t>Contact Management</t>
        </is>
      </c>
      <c r="H1192" t="inlineStr">
        <is>
          <t>Feature Request</t>
        </is>
      </c>
      <c r="I1192" t="inlineStr">
        <is>
          <t>Great support experience recently. Is there any plan for contact de-duplication tooling? Merging one record at a time is not realistic. We estimate we lose roughly 31 hours a month on this. Thanks to the team.</t>
        </is>
      </c>
      <c r="J1192" t="inlineStr">
        <is>
          <t>Positive</t>
        </is>
      </c>
      <c r="K1192" t="inlineStr">
        <is>
          <t>Low</t>
        </is>
      </c>
      <c r="L1192" t="inlineStr">
        <is>
          <t>Workflow Slowdown</t>
        </is>
      </c>
      <c r="M1192" t="inlineStr">
        <is>
          <t>contact_dedupe</t>
        </is>
      </c>
      <c r="N1192" t="inlineStr">
        <is>
          <t>Bulk contact merge</t>
        </is>
      </c>
      <c r="O1192" t="inlineStr">
        <is>
          <t>2026-07</t>
        </is>
      </c>
    </row>
    <row r="1193">
      <c r="A1193" t="inlineStr">
        <is>
          <t>FB-01192</t>
        </is>
      </c>
      <c r="B1193" t="inlineStr">
        <is>
          <t>CUST-0314</t>
        </is>
      </c>
      <c r="C1193" s="11" t="n">
        <v>46234</v>
      </c>
      <c r="D1193" t="inlineStr">
        <is>
          <t>Support Ticket</t>
        </is>
      </c>
      <c r="E1193" t="inlineStr">
        <is>
          <t>Enterprise</t>
        </is>
      </c>
      <c r="F1193" t="inlineStr">
        <is>
          <t>Mid-Market</t>
        </is>
      </c>
      <c r="G1193" t="inlineStr">
        <is>
          <t>Workflow Automation</t>
        </is>
      </c>
      <c r="H1193" t="inlineStr">
        <is>
          <t>Bug</t>
        </is>
      </c>
      <c r="I1193" t="inlineStr">
        <is>
          <t>Raising this again after our last business review. We found automation misfires only because a customer complained. Our finance analyst flagged it while onboarding 55 new users. Support suggested logging it here.</t>
        </is>
      </c>
      <c r="J1193" t="inlineStr">
        <is>
          <t>Negative</t>
        </is>
      </c>
      <c r="K1193" t="inlineStr">
        <is>
          <t>Medium</t>
        </is>
      </c>
      <c r="L1193" t="inlineStr">
        <is>
          <t>Minor Inconvenience</t>
        </is>
      </c>
      <c r="M1193" t="inlineStr">
        <is>
          <t>wf_fail</t>
        </is>
      </c>
      <c r="N1193" t="inlineStr">
        <is>
          <t>Workflows failing silently</t>
        </is>
      </c>
      <c r="O1193" t="inlineStr">
        <is>
          <t>2026-07</t>
        </is>
      </c>
    </row>
    <row r="1194">
      <c r="A1194" t="inlineStr">
        <is>
          <t>FB-01193</t>
        </is>
      </c>
      <c r="B1194" t="inlineStr">
        <is>
          <t>CUST-0188</t>
        </is>
      </c>
      <c r="C1194" s="11" t="n">
        <v>46234</v>
      </c>
      <c r="D1194" t="inlineStr">
        <is>
          <t>Support Ticket</t>
        </is>
      </c>
      <c r="E1194" t="inlineStr">
        <is>
          <t>Enterprise</t>
        </is>
      </c>
      <c r="F1194" t="inlineStr">
        <is>
          <t>Mid-Market</t>
        </is>
      </c>
      <c r="G1194" t="inlineStr">
        <is>
          <t>User Interface</t>
        </is>
      </c>
      <c r="H1194" t="inlineStr">
        <is>
          <t>Usability Issue</t>
        </is>
      </c>
      <c r="I1194" t="inlineStr">
        <is>
          <t>New hires get lost in the settings navigation; it takes weeks to learn. So far 17 people on our side have reported it. We need a fix before renewal.</t>
        </is>
      </c>
      <c r="J1194" t="inlineStr">
        <is>
          <t>Negative</t>
        </is>
      </c>
      <c r="K1194" t="inlineStr">
        <is>
          <t>Low</t>
        </is>
      </c>
      <c r="L1194" t="inlineStr">
        <is>
          <t>Workflow Slowdown</t>
        </is>
      </c>
      <c r="M1194" t="inlineStr">
        <is>
          <t>ui_nav</t>
        </is>
      </c>
      <c r="N1194" t="inlineStr">
        <is>
          <t>Cluttered navigation</t>
        </is>
      </c>
      <c r="O1194" t="inlineStr">
        <is>
          <t>2026-07</t>
        </is>
      </c>
    </row>
    <row r="1195">
      <c r="A1195" t="inlineStr">
        <is>
          <t>FB-01194</t>
        </is>
      </c>
      <c r="B1195" t="inlineStr">
        <is>
          <t>CUST-0128</t>
        </is>
      </c>
      <c r="C1195" s="11" t="n">
        <v>46234</v>
      </c>
      <c r="D1195" t="inlineStr">
        <is>
          <t>Customer Survey</t>
        </is>
      </c>
      <c r="E1195" t="inlineStr">
        <is>
          <t>Professional</t>
        </is>
      </c>
      <c r="F1195" t="inlineStr">
        <is>
          <t>SMB</t>
        </is>
      </c>
      <c r="G1195" t="inlineStr">
        <is>
          <t>User Interface</t>
        </is>
      </c>
      <c r="H1195" t="inlineStr">
        <is>
          <t>Feature Request</t>
        </is>
      </c>
      <c r="I1195" t="inlineStr">
        <is>
          <t>We lose notes whenever reps are away from a desk without a mobile app. Thanks to the team.</t>
        </is>
      </c>
      <c r="J1195" t="inlineStr">
        <is>
          <t>Positive</t>
        </is>
      </c>
      <c r="K1195" t="inlineStr">
        <is>
          <t>Low</t>
        </is>
      </c>
      <c r="L1195" t="inlineStr">
        <is>
          <t>Minor Inconvenience</t>
        </is>
      </c>
      <c r="M1195" t="inlineStr">
        <is>
          <t>ui_mobile</t>
        </is>
      </c>
      <c r="N1195" t="inlineStr">
        <is>
          <t>Mobile app</t>
        </is>
      </c>
      <c r="O1195" t="inlineStr">
        <is>
          <t>2026-07</t>
        </is>
      </c>
    </row>
    <row r="1196">
      <c r="A1196" t="inlineStr">
        <is>
          <t>FB-01195</t>
        </is>
      </c>
      <c r="B1196" t="inlineStr">
        <is>
          <t>CUST-0227</t>
        </is>
      </c>
      <c r="C1196" s="11" t="n">
        <v>46234</v>
      </c>
      <c r="D1196" t="inlineStr">
        <is>
          <t>Customer Survey</t>
        </is>
      </c>
      <c r="E1196" t="inlineStr">
        <is>
          <t>Enterprise</t>
        </is>
      </c>
      <c r="F1196" t="inlineStr">
        <is>
          <t>Enterprise</t>
        </is>
      </c>
      <c r="G1196" t="inlineStr">
        <is>
          <t>Workflow Automation</t>
        </is>
      </c>
      <c r="H1196" t="inlineStr">
        <is>
          <t>Bug</t>
        </is>
      </c>
      <c r="I1196" t="inlineStr">
        <is>
          <t>Our team keeps running into this. We are hitting workflow runs failing silently: emails don't send and nobody gets notified. We estimate we lose roughly 6 hours a month on this. Please look into it soon.</t>
        </is>
      </c>
      <c r="J1196" t="inlineStr">
        <is>
          <t>Negative</t>
        </is>
      </c>
      <c r="K1196" t="inlineStr">
        <is>
          <t>Medium</t>
        </is>
      </c>
      <c r="L1196" t="inlineStr">
        <is>
          <t>Workflow Slowdown</t>
        </is>
      </c>
      <c r="M1196" t="inlineStr">
        <is>
          <t>wf_fail</t>
        </is>
      </c>
      <c r="N1196" t="inlineStr">
        <is>
          <t>Workflows failing silently</t>
        </is>
      </c>
      <c r="O1196" t="inlineStr">
        <is>
          <t>2026-07</t>
        </is>
      </c>
    </row>
    <row r="1197">
      <c r="A1197" t="inlineStr">
        <is>
          <t>FB-01196</t>
        </is>
      </c>
      <c r="B1197" t="inlineStr">
        <is>
          <t>CUST-0252</t>
        </is>
      </c>
      <c r="C1197" s="11" t="n">
        <v>46234</v>
      </c>
      <c r="D1197" t="inlineStr">
        <is>
          <t>Customer Survey</t>
        </is>
      </c>
      <c r="E1197" t="inlineStr">
        <is>
          <t>Starter</t>
        </is>
      </c>
      <c r="F1197" t="inlineStr">
        <is>
          <t>SMB</t>
        </is>
      </c>
      <c r="G1197" t="inlineStr">
        <is>
          <t>Integrations</t>
        </is>
      </c>
      <c r="H1197" t="inlineStr">
        <is>
          <t>Feature Request</t>
        </is>
      </c>
      <c r="I1197" t="inlineStr">
        <is>
          <t>Please build a marketing automation connector; our team copies data across systems daily. So far 110 people on our side have reported it. Let us know if you need examples.</t>
        </is>
      </c>
      <c r="J1197" t="inlineStr">
        <is>
          <t>Neutral</t>
        </is>
      </c>
      <c r="K1197" t="inlineStr">
        <is>
          <t>Low</t>
        </is>
      </c>
      <c r="L1197" t="inlineStr">
        <is>
          <t>Minor Inconvenience</t>
        </is>
      </c>
      <c r="M1197" t="inlineStr">
        <is>
          <t>int_native</t>
        </is>
      </c>
      <c r="N1197" t="inlineStr">
        <is>
          <t>Native integrations</t>
        </is>
      </c>
      <c r="O1197" t="inlineStr">
        <is>
          <t>2026-07</t>
        </is>
      </c>
    </row>
    <row r="1198">
      <c r="A1198" t="inlineStr">
        <is>
          <t>FB-01197</t>
        </is>
      </c>
      <c r="B1198" t="inlineStr">
        <is>
          <t>CUST-0384</t>
        </is>
      </c>
      <c r="C1198" s="11" t="n">
        <v>46235</v>
      </c>
      <c r="D1198" t="inlineStr">
        <is>
          <t>Support Ticket</t>
        </is>
      </c>
      <c r="E1198" t="inlineStr">
        <is>
          <t>Enterprise</t>
        </is>
      </c>
      <c r="F1198" t="inlineStr">
        <is>
          <t>Mid-Market</t>
        </is>
      </c>
      <c r="G1198" t="inlineStr">
        <is>
          <t>Reporting</t>
        </is>
      </c>
      <c r="H1198" t="inlineStr">
        <is>
          <t>Bug</t>
        </is>
      </c>
      <c r="I1198" t="inlineStr">
        <is>
          <t>Frustrated with this one. The CSV export of reports times out for date ranges longer than a quarter. So far 19 people on our side have reported it.</t>
        </is>
      </c>
      <c r="J1198" t="inlineStr">
        <is>
          <t>Negative</t>
        </is>
      </c>
      <c r="K1198" t="inlineStr">
        <is>
          <t>Critical</t>
        </is>
      </c>
      <c r="L1198" t="inlineStr">
        <is>
          <t>Blocks Key Task</t>
        </is>
      </c>
      <c r="M1198" t="inlineStr">
        <is>
          <t>rep_export</t>
        </is>
      </c>
      <c r="N1198" t="inlineStr">
        <is>
          <t>Broken report exports</t>
        </is>
      </c>
      <c r="O1198" t="inlineStr">
        <is>
          <t>2026-08</t>
        </is>
      </c>
    </row>
    <row r="1199">
      <c r="A1199" t="inlineStr">
        <is>
          <t>FB-01198</t>
        </is>
      </c>
      <c r="B1199" t="inlineStr">
        <is>
          <t>CUST-0137</t>
        </is>
      </c>
      <c r="C1199" s="11" t="n">
        <v>46235</v>
      </c>
      <c r="D1199" t="inlineStr">
        <is>
          <t>Customer Survey</t>
        </is>
      </c>
      <c r="E1199" t="inlineStr">
        <is>
          <t>Starter</t>
        </is>
      </c>
      <c r="F1199" t="inlineStr">
        <is>
          <t>SMB</t>
        </is>
      </c>
      <c r="G1199" t="inlineStr">
        <is>
          <t>Workflow Automation</t>
        </is>
      </c>
      <c r="H1199" t="inlineStr">
        <is>
          <t>Feature Request</t>
        </is>
      </c>
      <c r="I1199" t="inlineStr">
        <is>
          <t>Noting this during onboarding. Please provide workflow templates for common processes like onboarding and renewals.</t>
        </is>
      </c>
      <c r="J1199" t="inlineStr">
        <is>
          <t>Neutral</t>
        </is>
      </c>
      <c r="K1199" t="inlineStr">
        <is>
          <t>Low</t>
        </is>
      </c>
      <c r="L1199" t="inlineStr">
        <is>
          <t>Minor Inconvenience</t>
        </is>
      </c>
      <c r="M1199" t="inlineStr">
        <is>
          <t>wf_templates</t>
        </is>
      </c>
      <c r="N1199" t="inlineStr">
        <is>
          <t>Workflow templates</t>
        </is>
      </c>
      <c r="O1199" t="inlineStr">
        <is>
          <t>2026-08</t>
        </is>
      </c>
    </row>
    <row r="1200">
      <c r="A1200" t="inlineStr">
        <is>
          <t>FB-01199</t>
        </is>
      </c>
      <c r="B1200" t="inlineStr">
        <is>
          <t>CUST-0380</t>
        </is>
      </c>
      <c r="C1200" s="11" t="n">
        <v>46235</v>
      </c>
      <c r="D1200" t="inlineStr">
        <is>
          <t>Feature Request</t>
        </is>
      </c>
      <c r="E1200" t="inlineStr">
        <is>
          <t>Professional</t>
        </is>
      </c>
      <c r="F1200" t="inlineStr">
        <is>
          <t>Mid-Market</t>
        </is>
      </c>
      <c r="G1200" t="inlineStr">
        <is>
          <t>Reporting</t>
        </is>
      </c>
      <c r="H1200" t="inlineStr">
        <is>
          <t>Feature Request</t>
        </is>
      </c>
      <c r="I1200" t="inlineStr">
        <is>
          <t>Great support experience recently. Requesting report scheduling so leadership gets numbers without logging in. Our customer success lead flagged it while onboarding 76 new users. Thanks to the team.</t>
        </is>
      </c>
      <c r="J1200" t="inlineStr">
        <is>
          <t>Positive</t>
        </is>
      </c>
      <c r="K1200" t="inlineStr">
        <is>
          <t>Low</t>
        </is>
      </c>
      <c r="L1200" t="inlineStr">
        <is>
          <t>Minor Inconvenience</t>
        </is>
      </c>
      <c r="M1200" t="inlineStr">
        <is>
          <t>rep_custom</t>
        </is>
      </c>
      <c r="N1200" t="inlineStr">
        <is>
          <t>Custom and scheduled reports</t>
        </is>
      </c>
      <c r="O1200" t="inlineStr">
        <is>
          <t>2026-08</t>
        </is>
      </c>
    </row>
    <row r="1201">
      <c r="A1201" t="inlineStr">
        <is>
          <t>FB-01200</t>
        </is>
      </c>
      <c r="B1201" t="inlineStr">
        <is>
          <t>CUST-0411</t>
        </is>
      </c>
      <c r="C1201" s="11" t="n">
        <v>46235</v>
      </c>
      <c r="D1201" t="inlineStr">
        <is>
          <t>In-App Feedback</t>
        </is>
      </c>
      <c r="E1201" t="inlineStr">
        <is>
          <t>Starter</t>
        </is>
      </c>
      <c r="F1201" t="inlineStr">
        <is>
          <t>SMB</t>
        </is>
      </c>
      <c r="G1201" t="inlineStr">
        <is>
          <t>Lead Management</t>
        </is>
      </c>
      <c r="H1201" t="inlineStr">
        <is>
          <t>Feature Request</t>
        </is>
      </c>
      <c r="I1201" t="inlineStr">
        <is>
          <t>FYI for the product team. Would love to see a lead score model that marketing and sales can both tune.</t>
        </is>
      </c>
      <c r="J1201" t="inlineStr">
        <is>
          <t>Neutral</t>
        </is>
      </c>
      <c r="K1201" t="inlineStr">
        <is>
          <t>Low</t>
        </is>
      </c>
      <c r="L1201" t="inlineStr">
        <is>
          <t>Minor Inconvenience</t>
        </is>
      </c>
      <c r="M1201" t="inlineStr">
        <is>
          <t>lead_score</t>
        </is>
      </c>
      <c r="N1201" t="inlineStr">
        <is>
          <t>Automated lead scoring</t>
        </is>
      </c>
      <c r="O1201" t="inlineStr">
        <is>
          <t>2026-08</t>
        </is>
      </c>
    </row>
    <row r="1202">
      <c r="A1202" t="inlineStr">
        <is>
          <t>FB-01201</t>
        </is>
      </c>
      <c r="B1202" t="inlineStr">
        <is>
          <t>CUST-0311</t>
        </is>
      </c>
      <c r="C1202" s="11" t="n">
        <v>46235</v>
      </c>
      <c r="D1202" t="inlineStr">
        <is>
          <t>Customer Survey</t>
        </is>
      </c>
      <c r="E1202" t="inlineStr">
        <is>
          <t>Starter</t>
        </is>
      </c>
      <c r="F1202" t="inlineStr">
        <is>
          <t>SMB</t>
        </is>
      </c>
      <c r="G1202" t="inlineStr">
        <is>
          <t>Lead Management</t>
        </is>
      </c>
      <c r="H1202" t="inlineStr">
        <is>
          <t>Feature Request</t>
        </is>
      </c>
      <c r="I1202" t="inlineStr">
        <is>
          <t>We need a lead score model so reps can focus on the prospects most likely to close. Thanks to the team.</t>
        </is>
      </c>
      <c r="J1202" t="inlineStr">
        <is>
          <t>Positive</t>
        </is>
      </c>
      <c r="K1202" t="inlineStr">
        <is>
          <t>Low</t>
        </is>
      </c>
      <c r="L1202" t="inlineStr">
        <is>
          <t>Workflow Slowdown</t>
        </is>
      </c>
      <c r="M1202" t="inlineStr">
        <is>
          <t>lead_score</t>
        </is>
      </c>
      <c r="N1202" t="inlineStr">
        <is>
          <t>Automated lead scoring</t>
        </is>
      </c>
      <c r="O1202" t="inlineStr">
        <is>
          <t>2026-08</t>
        </is>
      </c>
    </row>
    <row r="1203">
      <c r="A1203" t="inlineStr">
        <is>
          <t>FB-01202</t>
        </is>
      </c>
      <c r="B1203" t="inlineStr">
        <is>
          <t>CUST-0090</t>
        </is>
      </c>
      <c r="C1203" s="11" t="n">
        <v>46236</v>
      </c>
      <c r="D1203" t="inlineStr">
        <is>
          <t>Support Ticket</t>
        </is>
      </c>
      <c r="E1203" t="inlineStr">
        <is>
          <t>Professional</t>
        </is>
      </c>
      <c r="F1203" t="inlineStr">
        <is>
          <t>SMB</t>
        </is>
      </c>
      <c r="G1203" t="inlineStr">
        <is>
          <t>Integrations</t>
        </is>
      </c>
      <c r="H1203" t="inlineStr">
        <is>
          <t>Integration Issue</t>
        </is>
      </c>
      <c r="I1203" t="inlineStr">
        <is>
          <t>Raising this again after our last business review. After the token expires, Outlook calendar sync stops with no warning. It happens about 29 times a week for our team of 88. Please look into it soon.</t>
        </is>
      </c>
      <c r="J1203" t="inlineStr">
        <is>
          <t>Negative</t>
        </is>
      </c>
      <c r="K1203" t="inlineStr">
        <is>
          <t>Low</t>
        </is>
      </c>
      <c r="L1203" t="inlineStr">
        <is>
          <t>Minor Inconvenience</t>
        </is>
      </c>
      <c r="M1203" t="inlineStr">
        <is>
          <t>int_email</t>
        </is>
      </c>
      <c r="N1203" t="inlineStr">
        <is>
          <t>Email and calendar sync drops</t>
        </is>
      </c>
      <c r="O1203" t="inlineStr">
        <is>
          <t>2026-08</t>
        </is>
      </c>
    </row>
    <row r="1204">
      <c r="A1204" t="inlineStr">
        <is>
          <t>FB-01203</t>
        </is>
      </c>
      <c r="B1204" t="inlineStr">
        <is>
          <t>CUST-0145</t>
        </is>
      </c>
      <c r="C1204" s="11" t="n">
        <v>46236</v>
      </c>
      <c r="D1204" t="inlineStr">
        <is>
          <t>Feature Request</t>
        </is>
      </c>
      <c r="E1204" t="inlineStr">
        <is>
          <t>Professional</t>
        </is>
      </c>
      <c r="F1204" t="inlineStr">
        <is>
          <t>SMB</t>
        </is>
      </c>
      <c r="G1204" t="inlineStr">
        <is>
          <t>Reporting</t>
        </is>
      </c>
      <c r="H1204" t="inlineStr">
        <is>
          <t>Feature Request</t>
        </is>
      </c>
      <c r="I1204" t="inlineStr">
        <is>
          <t>Requesting a custom report builder so leadership gets numbers without logging in. Our marketing ops owner flagged it while onboarding 95 new users. Happy to join a feedback call.</t>
        </is>
      </c>
      <c r="J1204" t="inlineStr">
        <is>
          <t>Neutral</t>
        </is>
      </c>
      <c r="K1204" t="inlineStr">
        <is>
          <t>Low</t>
        </is>
      </c>
      <c r="L1204" t="inlineStr">
        <is>
          <t>Minor Inconvenience</t>
        </is>
      </c>
      <c r="M1204" t="inlineStr">
        <is>
          <t>rep_custom</t>
        </is>
      </c>
      <c r="N1204" t="inlineStr">
        <is>
          <t>Custom and scheduled reports</t>
        </is>
      </c>
      <c r="O1204" t="inlineStr">
        <is>
          <t>2026-08</t>
        </is>
      </c>
    </row>
    <row r="1205">
      <c r="A1205" t="inlineStr">
        <is>
          <t>FB-01204</t>
        </is>
      </c>
      <c r="B1205" t="inlineStr">
        <is>
          <t>CUST-0262</t>
        </is>
      </c>
      <c r="C1205" s="11" t="n">
        <v>46236</v>
      </c>
      <c r="D1205" t="inlineStr">
        <is>
          <t>Support Ticket</t>
        </is>
      </c>
      <c r="E1205" t="inlineStr">
        <is>
          <t>Professional</t>
        </is>
      </c>
      <c r="F1205" t="inlineStr">
        <is>
          <t>Mid-Market</t>
        </is>
      </c>
      <c r="G1205" t="inlineStr">
        <is>
          <t>Contact Management</t>
        </is>
      </c>
      <c r="H1205" t="inlineStr">
        <is>
          <t>Feature Request</t>
        </is>
      </c>
      <c r="I1205" t="inlineStr">
        <is>
          <t>Recent updates have been a nice improvement. We need a tool to merge duplicate contacts because our database has years of overlapping records. Keep up the good work.</t>
        </is>
      </c>
      <c r="J1205" t="inlineStr">
        <is>
          <t>Positive</t>
        </is>
      </c>
      <c r="K1205" t="inlineStr">
        <is>
          <t>Low</t>
        </is>
      </c>
      <c r="L1205" t="inlineStr">
        <is>
          <t>Minor Inconvenience</t>
        </is>
      </c>
      <c r="M1205" t="inlineStr">
        <is>
          <t>contact_dedupe</t>
        </is>
      </c>
      <c r="N1205" t="inlineStr">
        <is>
          <t>Bulk contact merge</t>
        </is>
      </c>
      <c r="O1205" t="inlineStr">
        <is>
          <t>2026-08</t>
        </is>
      </c>
    </row>
    <row r="1206">
      <c r="A1206" t="inlineStr">
        <is>
          <t>FB-01205</t>
        </is>
      </c>
      <c r="B1206" t="inlineStr">
        <is>
          <t>CUST-0131</t>
        </is>
      </c>
      <c r="C1206" s="11" t="n">
        <v>46236</v>
      </c>
      <c r="D1206" t="inlineStr">
        <is>
          <t>Support Ticket</t>
        </is>
      </c>
      <c r="E1206" t="inlineStr">
        <is>
          <t>Starter</t>
        </is>
      </c>
      <c r="F1206" t="inlineStr">
        <is>
          <t>SMB</t>
        </is>
      </c>
      <c r="G1206" t="inlineStr">
        <is>
          <t>Lead Management</t>
        </is>
      </c>
      <c r="H1206" t="inlineStr">
        <is>
          <t>Bug</t>
        </is>
      </c>
      <c r="I1206" t="inlineStr">
        <is>
          <t>After every list import we find lead de-duplication failures that have to be cleaned up by hand. We estimate we lose roughly 41 hours a month on this. We need a fix before renewal.</t>
        </is>
      </c>
      <c r="J1206" t="inlineStr">
        <is>
          <t>Negative</t>
        </is>
      </c>
      <c r="K1206" t="inlineStr">
        <is>
          <t>High</t>
        </is>
      </c>
      <c r="L1206" t="inlineStr">
        <is>
          <t>Revenue/Operations Risk</t>
        </is>
      </c>
      <c r="M1206" t="inlineStr">
        <is>
          <t>lead_dup</t>
        </is>
      </c>
      <c r="N1206" t="inlineStr">
        <is>
          <t>Duplicate leads created</t>
        </is>
      </c>
      <c r="O1206" t="inlineStr">
        <is>
          <t>2026-08</t>
        </is>
      </c>
    </row>
    <row r="1207">
      <c r="A1207" t="inlineStr">
        <is>
          <t>FB-01206</t>
        </is>
      </c>
      <c r="B1207" t="inlineStr">
        <is>
          <t>CUST-0108</t>
        </is>
      </c>
      <c r="C1207" s="11" t="n">
        <v>46236</v>
      </c>
      <c r="D1207" t="inlineStr">
        <is>
          <t>In-App Feedback</t>
        </is>
      </c>
      <c r="E1207" t="inlineStr">
        <is>
          <t>Enterprise</t>
        </is>
      </c>
      <c r="F1207" t="inlineStr">
        <is>
          <t>Mid-Market</t>
        </is>
      </c>
      <c r="G1207" t="inlineStr">
        <is>
          <t>Lead Management</t>
        </is>
      </c>
      <c r="H1207" t="inlineStr">
        <is>
          <t>Feature Request</t>
        </is>
      </c>
      <c r="I1207" t="inlineStr">
        <is>
          <t>Please add automated lead scoring based on engagement, company size and recent activity. So far 103 people on our side have reported it. Support suggested logging it here.</t>
        </is>
      </c>
      <c r="J1207" t="inlineStr">
        <is>
          <t>Negative</t>
        </is>
      </c>
      <c r="K1207" t="inlineStr">
        <is>
          <t>Low</t>
        </is>
      </c>
      <c r="L1207" t="inlineStr">
        <is>
          <t>Minor Inconvenience</t>
        </is>
      </c>
      <c r="M1207" t="inlineStr">
        <is>
          <t>lead_score</t>
        </is>
      </c>
      <c r="N1207" t="inlineStr">
        <is>
          <t>Automated lead scoring</t>
        </is>
      </c>
      <c r="O1207" t="inlineStr">
        <is>
          <t>2026-08</t>
        </is>
      </c>
    </row>
    <row r="1208">
      <c r="A1208" t="inlineStr">
        <is>
          <t>FB-01207</t>
        </is>
      </c>
      <c r="B1208" t="inlineStr">
        <is>
          <t>CUST-0136</t>
        </is>
      </c>
      <c r="C1208" s="11" t="n">
        <v>46236</v>
      </c>
      <c r="D1208" t="inlineStr">
        <is>
          <t>Support Ticket</t>
        </is>
      </c>
      <c r="E1208" t="inlineStr">
        <is>
          <t>Starter</t>
        </is>
      </c>
      <c r="F1208" t="inlineStr">
        <is>
          <t>SMB</t>
        </is>
      </c>
      <c r="G1208" t="inlineStr">
        <is>
          <t>Lead Management</t>
        </is>
      </c>
      <c r="H1208" t="inlineStr">
        <is>
          <t>Bug</t>
        </is>
      </c>
      <c r="I1208" t="inlineStr">
        <is>
          <t>There are duplicate lead records across our pipeline views and nobody knows which record is the source of truth. Is there a workaround?</t>
        </is>
      </c>
      <c r="J1208" t="inlineStr">
        <is>
          <t>Negative</t>
        </is>
      </c>
      <c r="K1208" t="inlineStr">
        <is>
          <t>Medium</t>
        </is>
      </c>
      <c r="L1208" t="inlineStr">
        <is>
          <t>Workflow Slowdown</t>
        </is>
      </c>
      <c r="M1208" t="inlineStr">
        <is>
          <t>lead_dup</t>
        </is>
      </c>
      <c r="N1208" t="inlineStr">
        <is>
          <t>Duplicate leads created</t>
        </is>
      </c>
      <c r="O1208" t="inlineStr">
        <is>
          <t>2026-08</t>
        </is>
      </c>
    </row>
    <row r="1209">
      <c r="A1209" t="inlineStr">
        <is>
          <t>FB-01208</t>
        </is>
      </c>
      <c r="B1209" t="inlineStr">
        <is>
          <t>CUST-0208</t>
        </is>
      </c>
      <c r="C1209" s="11" t="n">
        <v>46236</v>
      </c>
      <c r="D1209" t="inlineStr">
        <is>
          <t>In-App Feedback</t>
        </is>
      </c>
      <c r="E1209" t="inlineStr">
        <is>
          <t>Starter</t>
        </is>
      </c>
      <c r="F1209" t="inlineStr">
        <is>
          <t>SMB</t>
        </is>
      </c>
      <c r="G1209" t="inlineStr">
        <is>
          <t>Workflow Automation</t>
        </is>
      </c>
      <c r="H1209" t="inlineStr">
        <is>
          <t>Usability Issue</t>
        </is>
      </c>
      <c r="I1209" t="inlineStr">
        <is>
          <t>I can't tell what a branch does in the automation canvas without opening every node. It affects our onboarding process every cycle. Happy to join a feedback call.</t>
        </is>
      </c>
      <c r="J1209" t="inlineStr">
        <is>
          <t>Neutral</t>
        </is>
      </c>
      <c r="K1209" t="inlineStr">
        <is>
          <t>High</t>
        </is>
      </c>
      <c r="L1209" t="inlineStr">
        <is>
          <t>Blocks Key Task</t>
        </is>
      </c>
      <c r="M1209" t="inlineStr">
        <is>
          <t>wf_builder</t>
        </is>
      </c>
      <c r="N1209" t="inlineStr">
        <is>
          <t>Confusing workflow builder</t>
        </is>
      </c>
      <c r="O1209" t="inlineStr">
        <is>
          <t>2026-08</t>
        </is>
      </c>
    </row>
    <row r="1210">
      <c r="A1210" t="inlineStr">
        <is>
          <t>FB-01209</t>
        </is>
      </c>
      <c r="B1210" t="inlineStr">
        <is>
          <t>CUST-0234</t>
        </is>
      </c>
      <c r="C1210" s="11" t="n">
        <v>46236</v>
      </c>
      <c r="D1210" t="inlineStr">
        <is>
          <t>Customer Survey</t>
        </is>
      </c>
      <c r="E1210" t="inlineStr">
        <is>
          <t>Enterprise</t>
        </is>
      </c>
      <c r="F1210" t="inlineStr">
        <is>
          <t>SMB</t>
        </is>
      </c>
      <c r="G1210" t="inlineStr">
        <is>
          <t>Workflow Automation</t>
        </is>
      </c>
      <c r="H1210" t="inlineStr">
        <is>
          <t>Usability Issue</t>
        </is>
      </c>
      <c r="I1210" t="inlineStr">
        <is>
          <t>I can't tell what a branch does in the workflow editor without opening every node. So far 17 people on our side have reported it. Keep up the good work.</t>
        </is>
      </c>
      <c r="J1210" t="inlineStr">
        <is>
          <t>Positive</t>
        </is>
      </c>
      <c r="K1210" t="inlineStr">
        <is>
          <t>Low</t>
        </is>
      </c>
      <c r="L1210" t="inlineStr">
        <is>
          <t>Minor Inconvenience</t>
        </is>
      </c>
      <c r="M1210" t="inlineStr">
        <is>
          <t>wf_builder</t>
        </is>
      </c>
      <c r="N1210" t="inlineStr">
        <is>
          <t>Confusing workflow builder</t>
        </is>
      </c>
      <c r="O1210" t="inlineStr">
        <is>
          <t>2026-08</t>
        </is>
      </c>
    </row>
    <row r="1211">
      <c r="A1211" t="inlineStr">
        <is>
          <t>FB-01210</t>
        </is>
      </c>
      <c r="B1211" t="inlineStr">
        <is>
          <t>CUST-0300</t>
        </is>
      </c>
      <c r="C1211" s="11" t="n">
        <v>46237</v>
      </c>
      <c r="D1211" t="inlineStr">
        <is>
          <t>Feature Request</t>
        </is>
      </c>
      <c r="E1211" t="inlineStr">
        <is>
          <t>Professional</t>
        </is>
      </c>
      <c r="F1211" t="inlineStr">
        <is>
          <t>Mid-Market</t>
        </is>
      </c>
      <c r="G1211" t="inlineStr">
        <is>
          <t>User Interface</t>
        </is>
      </c>
      <c r="H1211" t="inlineStr">
        <is>
          <t>Feature Request</t>
        </is>
      </c>
      <c r="I1211" t="inlineStr">
        <is>
          <t>Requesting multi-select actions across every list view. Keep up the good work.</t>
        </is>
      </c>
      <c r="J1211" t="inlineStr">
        <is>
          <t>Positive</t>
        </is>
      </c>
      <c r="K1211" t="inlineStr">
        <is>
          <t>Low</t>
        </is>
      </c>
      <c r="L1211" t="inlineStr">
        <is>
          <t>Workflow Slowdown</t>
        </is>
      </c>
      <c r="M1211" t="inlineStr">
        <is>
          <t>ui_bulk</t>
        </is>
      </c>
      <c r="N1211" t="inlineStr">
        <is>
          <t>Bulk actions</t>
        </is>
      </c>
      <c r="O1211" t="inlineStr">
        <is>
          <t>2026-08</t>
        </is>
      </c>
    </row>
    <row r="1212">
      <c r="A1212" t="inlineStr">
        <is>
          <t>FB-01211</t>
        </is>
      </c>
      <c r="B1212" t="inlineStr">
        <is>
          <t>CUST-0186</t>
        </is>
      </c>
      <c r="C1212" s="11" t="n">
        <v>46237</v>
      </c>
      <c r="D1212" t="inlineStr">
        <is>
          <t>Customer Survey</t>
        </is>
      </c>
      <c r="E1212" t="inlineStr">
        <is>
          <t>Professional</t>
        </is>
      </c>
      <c r="F1212" t="inlineStr">
        <is>
          <t>SMB</t>
        </is>
      </c>
      <c r="G1212" t="inlineStr">
        <is>
          <t>Lead Management</t>
        </is>
      </c>
      <c r="H1212" t="inlineStr">
        <is>
          <t>Bug</t>
        </is>
      </c>
      <c r="I1212" t="inlineStr">
        <is>
          <t>Raising this again after our last business review. There are duplicated leads across our pipeline views and nobody knows which record is the source of truth. Our sales manager flagged it while onboarding 28 new users. We need a fix before renewal.</t>
        </is>
      </c>
      <c r="J1212" t="inlineStr">
        <is>
          <t>Negative</t>
        </is>
      </c>
      <c r="K1212" t="inlineStr">
        <is>
          <t>Critical</t>
        </is>
      </c>
      <c r="L1212" t="inlineStr">
        <is>
          <t>Blocks Key Task</t>
        </is>
      </c>
      <c r="M1212" t="inlineStr">
        <is>
          <t>lead_dup</t>
        </is>
      </c>
      <c r="N1212" t="inlineStr">
        <is>
          <t>Duplicate leads created</t>
        </is>
      </c>
      <c r="O1212" t="inlineStr">
        <is>
          <t>2026-08</t>
        </is>
      </c>
    </row>
    <row r="1213">
      <c r="A1213" t="inlineStr">
        <is>
          <t>FB-01212</t>
        </is>
      </c>
      <c r="B1213" t="inlineStr">
        <is>
          <t>CUST-0051</t>
        </is>
      </c>
      <c r="C1213" s="11" t="n">
        <v>46237</v>
      </c>
      <c r="D1213" t="inlineStr">
        <is>
          <t>Feature Request</t>
        </is>
      </c>
      <c r="E1213" t="inlineStr">
        <is>
          <t>Enterprise</t>
        </is>
      </c>
      <c r="F1213" t="inlineStr">
        <is>
          <t>Enterprise</t>
        </is>
      </c>
      <c r="G1213" t="inlineStr">
        <is>
          <t>Reporting</t>
        </is>
      </c>
      <c r="H1213" t="inlineStr">
        <is>
          <t>Feature Request</t>
        </is>
      </c>
      <c r="I1213" t="inlineStr">
        <is>
          <t>Without a custom report builder we export raw data and rebuild everything elsewhere.</t>
        </is>
      </c>
      <c r="J1213" t="inlineStr">
        <is>
          <t>Negative</t>
        </is>
      </c>
      <c r="K1213" t="inlineStr">
        <is>
          <t>High</t>
        </is>
      </c>
      <c r="L1213" t="inlineStr">
        <is>
          <t>Minor Inconvenience</t>
        </is>
      </c>
      <c r="M1213" t="inlineStr">
        <is>
          <t>rep_custom</t>
        </is>
      </c>
      <c r="N1213" t="inlineStr">
        <is>
          <t>Custom and scheduled reports</t>
        </is>
      </c>
      <c r="O1213" t="inlineStr">
        <is>
          <t>2026-08</t>
        </is>
      </c>
    </row>
    <row r="1214">
      <c r="A1214" t="inlineStr">
        <is>
          <t>FB-01213</t>
        </is>
      </c>
      <c r="B1214" t="inlineStr">
        <is>
          <t>CUST-0232</t>
        </is>
      </c>
      <c r="C1214" s="11" t="n">
        <v>46238</v>
      </c>
      <c r="D1214" t="inlineStr">
        <is>
          <t>Feature Request</t>
        </is>
      </c>
      <c r="E1214" t="inlineStr">
        <is>
          <t>Enterprise</t>
        </is>
      </c>
      <c r="F1214" t="inlineStr">
        <is>
          <t>Mid-Market</t>
        </is>
      </c>
      <c r="G1214" t="inlineStr">
        <is>
          <t>Integrations</t>
        </is>
      </c>
      <c r="H1214" t="inlineStr">
        <is>
          <t>Feature Request</t>
        </is>
      </c>
      <c r="I1214" t="inlineStr">
        <is>
          <t>Raising this again after our last business review. Please add SCIM provisioning; managing users by hand does not scale. We estimate we lose roughly 23 hours a month on this.</t>
        </is>
      </c>
      <c r="J1214" t="inlineStr">
        <is>
          <t>Negative</t>
        </is>
      </c>
      <c r="K1214" t="inlineStr">
        <is>
          <t>High</t>
        </is>
      </c>
      <c r="L1214" t="inlineStr">
        <is>
          <t>Workflow Slowdown</t>
        </is>
      </c>
      <c r="M1214" t="inlineStr">
        <is>
          <t>int_sso</t>
        </is>
      </c>
      <c r="N1214" t="inlineStr">
        <is>
          <t>SSO and provisioning</t>
        </is>
      </c>
      <c r="O1214" t="inlineStr">
        <is>
          <t>2026-08</t>
        </is>
      </c>
    </row>
    <row r="1215">
      <c r="A1215" t="inlineStr">
        <is>
          <t>FB-01214</t>
        </is>
      </c>
      <c r="B1215" t="inlineStr">
        <is>
          <t>CUST-0129</t>
        </is>
      </c>
      <c r="C1215" s="11" t="n">
        <v>46238</v>
      </c>
      <c r="D1215" t="inlineStr">
        <is>
          <t>In-App Feedback</t>
        </is>
      </c>
      <c r="E1215" t="inlineStr">
        <is>
          <t>Professional</t>
        </is>
      </c>
      <c r="F1215" t="inlineStr">
        <is>
          <t>Enterprise</t>
        </is>
      </c>
      <c r="G1215" t="inlineStr">
        <is>
          <t>Contact Management</t>
        </is>
      </c>
      <c r="H1215" t="inlineStr">
        <is>
          <t>Feature Request</t>
        </is>
      </c>
      <c r="I1215" t="inlineStr">
        <is>
          <t>We need contact de-duplication tooling because our database has years of overlapping records. So far 101 people on our side have reported it.</t>
        </is>
      </c>
      <c r="J1215" t="inlineStr">
        <is>
          <t>Neutral</t>
        </is>
      </c>
      <c r="K1215" t="inlineStr">
        <is>
          <t>Critical</t>
        </is>
      </c>
      <c r="L1215" t="inlineStr">
        <is>
          <t>Blocks Key Task</t>
        </is>
      </c>
      <c r="M1215" t="inlineStr">
        <is>
          <t>contact_dedupe</t>
        </is>
      </c>
      <c r="N1215" t="inlineStr">
        <is>
          <t>Bulk contact merge</t>
        </is>
      </c>
      <c r="O1215" t="inlineStr">
        <is>
          <t>2026-08</t>
        </is>
      </c>
    </row>
    <row r="1216">
      <c r="A1216" t="inlineStr">
        <is>
          <t>FB-01215</t>
        </is>
      </c>
      <c r="B1216" t="inlineStr">
        <is>
          <t>CUST-0208</t>
        </is>
      </c>
      <c r="C1216" s="11" t="n">
        <v>46239</v>
      </c>
      <c r="D1216" t="inlineStr">
        <is>
          <t>Customer Survey</t>
        </is>
      </c>
      <c r="E1216" t="inlineStr">
        <is>
          <t>Starter</t>
        </is>
      </c>
      <c r="F1216" t="inlineStr">
        <is>
          <t>SMB</t>
        </is>
      </c>
      <c r="G1216" t="inlineStr">
        <is>
          <t>Lead Management</t>
        </is>
      </c>
      <c r="H1216" t="inlineStr">
        <is>
          <t>Usability Issue</t>
        </is>
      </c>
      <c r="I1216" t="inlineStr">
        <is>
          <t>Feedback from our monthly review. The lead assignment settings are confusing and new leads sometimes sit unassigned over weekends. Our RevOps lead flagged it while onboarding 106 new users.</t>
        </is>
      </c>
      <c r="J1216" t="inlineStr">
        <is>
          <t>Neutral</t>
        </is>
      </c>
      <c r="K1216" t="inlineStr">
        <is>
          <t>Low</t>
        </is>
      </c>
      <c r="L1216" t="inlineStr">
        <is>
          <t>Minor Inconvenience</t>
        </is>
      </c>
      <c r="M1216" t="inlineStr">
        <is>
          <t>lead_assign</t>
        </is>
      </c>
      <c r="N1216" t="inlineStr">
        <is>
          <t>Lead routing is inflexible</t>
        </is>
      </c>
      <c r="O1216" t="inlineStr">
        <is>
          <t>2026-08</t>
        </is>
      </c>
    </row>
    <row r="1217">
      <c r="A1217" t="inlineStr">
        <is>
          <t>FB-01216</t>
        </is>
      </c>
      <c r="B1217" t="inlineStr">
        <is>
          <t>CUST-0297</t>
        </is>
      </c>
      <c r="C1217" s="11" t="n">
        <v>46239</v>
      </c>
      <c r="D1217" t="inlineStr">
        <is>
          <t>In-App Feedback</t>
        </is>
      </c>
      <c r="E1217" t="inlineStr">
        <is>
          <t>Professional</t>
        </is>
      </c>
      <c r="F1217" t="inlineStr">
        <is>
          <t>Mid-Market</t>
        </is>
      </c>
      <c r="G1217" t="inlineStr">
        <is>
          <t>Integrations</t>
        </is>
      </c>
      <c r="H1217" t="inlineStr">
        <is>
          <t>Feature Request</t>
        </is>
      </c>
      <c r="I1217" t="inlineStr">
        <is>
          <t>Requesting a native accounting integration to remove manual re-entry. It happens about 34 times a week for our team of 43. Happy to join a feedback call.</t>
        </is>
      </c>
      <c r="J1217" t="inlineStr">
        <is>
          <t>Neutral</t>
        </is>
      </c>
      <c r="K1217" t="inlineStr">
        <is>
          <t>Medium</t>
        </is>
      </c>
      <c r="L1217" t="inlineStr">
        <is>
          <t>Revenue/Operations Risk</t>
        </is>
      </c>
      <c r="M1217" t="inlineStr">
        <is>
          <t>int_native</t>
        </is>
      </c>
      <c r="N1217" t="inlineStr">
        <is>
          <t>Native integrations</t>
        </is>
      </c>
      <c r="O1217" t="inlineStr">
        <is>
          <t>2026-08</t>
        </is>
      </c>
    </row>
    <row r="1218">
      <c r="A1218" t="inlineStr">
        <is>
          <t>FB-01217</t>
        </is>
      </c>
      <c r="B1218" t="inlineStr">
        <is>
          <t>CUST-0334</t>
        </is>
      </c>
      <c r="C1218" s="11" t="n">
        <v>46239</v>
      </c>
      <c r="D1218" t="inlineStr">
        <is>
          <t>Feature Request</t>
        </is>
      </c>
      <c r="E1218" t="inlineStr">
        <is>
          <t>Enterprise</t>
        </is>
      </c>
      <c r="F1218" t="inlineStr">
        <is>
          <t>SMB</t>
        </is>
      </c>
      <c r="G1218" t="inlineStr">
        <is>
          <t>Lead Management</t>
        </is>
      </c>
      <c r="H1218" t="inlineStr">
        <is>
          <t>Feature Request</t>
        </is>
      </c>
      <c r="I1218" t="inlineStr">
        <is>
          <t>Would love to see lead scoring rules that marketing and sales can both tune. It affects our renewal process every cycle.</t>
        </is>
      </c>
      <c r="J1218" t="inlineStr">
        <is>
          <t>Positive</t>
        </is>
      </c>
      <c r="K1218" t="inlineStr">
        <is>
          <t>Low</t>
        </is>
      </c>
      <c r="L1218" t="inlineStr">
        <is>
          <t>Minor Inconvenience</t>
        </is>
      </c>
      <c r="M1218" t="inlineStr">
        <is>
          <t>lead_score</t>
        </is>
      </c>
      <c r="N1218" t="inlineStr">
        <is>
          <t>Automated lead scoring</t>
        </is>
      </c>
      <c r="O1218" t="inlineStr">
        <is>
          <t>2026-08</t>
        </is>
      </c>
    </row>
    <row r="1219">
      <c r="A1219" t="inlineStr">
        <is>
          <t>FB-01218</t>
        </is>
      </c>
      <c r="B1219" t="inlineStr">
        <is>
          <t>CUST-0377</t>
        </is>
      </c>
      <c r="C1219" s="11" t="n">
        <v>46239</v>
      </c>
      <c r="D1219" t="inlineStr">
        <is>
          <t>Support Ticket</t>
        </is>
      </c>
      <c r="E1219" t="inlineStr">
        <is>
          <t>Enterprise</t>
        </is>
      </c>
      <c r="F1219" t="inlineStr">
        <is>
          <t>Mid-Market</t>
        </is>
      </c>
      <c r="G1219" t="inlineStr">
        <is>
          <t>Reporting</t>
        </is>
      </c>
      <c r="H1219" t="inlineStr">
        <is>
          <t>Bug</t>
        </is>
      </c>
      <c r="I1219" t="inlineStr">
        <is>
          <t>Our team keeps running into this. Finance can't rely on the report export; totals don't match the screen. We estimate we lose roughly 26 hours a month on this. Please look into it soon.</t>
        </is>
      </c>
      <c r="J1219" t="inlineStr">
        <is>
          <t>Negative</t>
        </is>
      </c>
      <c r="K1219" t="inlineStr">
        <is>
          <t>Medium</t>
        </is>
      </c>
      <c r="L1219" t="inlineStr">
        <is>
          <t>Workflow Slowdown</t>
        </is>
      </c>
      <c r="M1219" t="inlineStr">
        <is>
          <t>rep_export</t>
        </is>
      </c>
      <c r="N1219" t="inlineStr">
        <is>
          <t>Broken report exports</t>
        </is>
      </c>
      <c r="O1219" t="inlineStr">
        <is>
          <t>2026-08</t>
        </is>
      </c>
    </row>
    <row r="1220">
      <c r="A1220" t="inlineStr">
        <is>
          <t>FB-01219</t>
        </is>
      </c>
      <c r="B1220" t="inlineStr">
        <is>
          <t>CUST-0258</t>
        </is>
      </c>
      <c r="C1220" s="11" t="n">
        <v>46240</v>
      </c>
      <c r="D1220" t="inlineStr">
        <is>
          <t>Customer Survey</t>
        </is>
      </c>
      <c r="E1220" t="inlineStr">
        <is>
          <t>Professional</t>
        </is>
      </c>
      <c r="F1220" t="inlineStr">
        <is>
          <t>Mid-Market</t>
        </is>
      </c>
      <c r="G1220" t="inlineStr">
        <is>
          <t>Integrations</t>
        </is>
      </c>
      <c r="H1220" t="inlineStr">
        <is>
          <t>Integration Issue</t>
        </is>
      </c>
      <c r="I1220" t="inlineStr">
        <is>
          <t>Feedback from our monthly review. We keep hitting webhook delivery during nightly syncs with our data warehouse. Let us know if you need examples.</t>
        </is>
      </c>
      <c r="J1220" t="inlineStr">
        <is>
          <t>Neutral</t>
        </is>
      </c>
      <c r="K1220" t="inlineStr">
        <is>
          <t>Low</t>
        </is>
      </c>
      <c r="L1220" t="inlineStr">
        <is>
          <t>Blocks Key Task</t>
        </is>
      </c>
      <c r="M1220" t="inlineStr">
        <is>
          <t>int_api</t>
        </is>
      </c>
      <c r="N1220" t="inlineStr">
        <is>
          <t>API limits and webhook failures</t>
        </is>
      </c>
      <c r="O1220" t="inlineStr">
        <is>
          <t>2026-08</t>
        </is>
      </c>
    </row>
    <row r="1221">
      <c r="A1221" t="inlineStr">
        <is>
          <t>FB-01220</t>
        </is>
      </c>
      <c r="B1221" t="inlineStr">
        <is>
          <t>CUST-0303</t>
        </is>
      </c>
      <c r="C1221" s="11" t="n">
        <v>46240</v>
      </c>
      <c r="D1221" t="inlineStr">
        <is>
          <t>Customer Survey</t>
        </is>
      </c>
      <c r="E1221" t="inlineStr">
        <is>
          <t>Professional</t>
        </is>
      </c>
      <c r="F1221" t="inlineStr">
        <is>
          <t>Enterprise</t>
        </is>
      </c>
      <c r="G1221" t="inlineStr">
        <is>
          <t>Reporting</t>
        </is>
      </c>
      <c r="H1221" t="inlineStr">
        <is>
          <t>Feature Request</t>
        </is>
      </c>
      <c r="I1221" t="inlineStr">
        <is>
          <t>Feedback from our monthly review. Without scheduled report emails we export raw data and rebuild everything elsewhere. Our admin flagged it while onboarding 62 new users. Let us know if you need examples.</t>
        </is>
      </c>
      <c r="J1221" t="inlineStr">
        <is>
          <t>Neutral</t>
        </is>
      </c>
      <c r="K1221" t="inlineStr">
        <is>
          <t>High</t>
        </is>
      </c>
      <c r="L1221" t="inlineStr">
        <is>
          <t>Revenue/Operations Risk</t>
        </is>
      </c>
      <c r="M1221" t="inlineStr">
        <is>
          <t>rep_custom</t>
        </is>
      </c>
      <c r="N1221" t="inlineStr">
        <is>
          <t>Custom and scheduled reports</t>
        </is>
      </c>
      <c r="O1221" t="inlineStr">
        <is>
          <t>2026-08</t>
        </is>
      </c>
    </row>
    <row r="1222">
      <c r="A1222" t="inlineStr">
        <is>
          <t>FB-01221</t>
        </is>
      </c>
      <c r="B1222" t="inlineStr">
        <is>
          <t>CUST-0382</t>
        </is>
      </c>
      <c r="C1222" s="11" t="n">
        <v>46240</v>
      </c>
      <c r="D1222" t="inlineStr">
        <is>
          <t>Support Ticket</t>
        </is>
      </c>
      <c r="E1222" t="inlineStr">
        <is>
          <t>Starter</t>
        </is>
      </c>
      <c r="F1222" t="inlineStr">
        <is>
          <t>SMB</t>
        </is>
      </c>
      <c r="G1222" t="inlineStr">
        <is>
          <t>Contact Management</t>
        </is>
      </c>
      <c r="H1222" t="inlineStr">
        <is>
          <t>Bug</t>
        </is>
      </c>
      <c r="I1222" t="inlineStr">
        <is>
          <t>Noting this during onboarding. Our contact CSV import scrambles phone and email columns even after we map them correctly. Let us know if you need examples.</t>
        </is>
      </c>
      <c r="J1222" t="inlineStr">
        <is>
          <t>Neutral</t>
        </is>
      </c>
      <c r="K1222" t="inlineStr">
        <is>
          <t>Medium</t>
        </is>
      </c>
      <c r="L1222" t="inlineStr">
        <is>
          <t>Minor Inconvenience</t>
        </is>
      </c>
      <c r="M1222" t="inlineStr">
        <is>
          <t>contact_import</t>
        </is>
      </c>
      <c r="N1222" t="inlineStr">
        <is>
          <t>Unreliable contact imports</t>
        </is>
      </c>
      <c r="O1222" t="inlineStr">
        <is>
          <t>2026-08</t>
        </is>
      </c>
    </row>
    <row r="1223">
      <c r="A1223" t="inlineStr">
        <is>
          <t>FB-01222</t>
        </is>
      </c>
      <c r="B1223" t="inlineStr">
        <is>
          <t>CUST-0409</t>
        </is>
      </c>
      <c r="C1223" s="11" t="n">
        <v>46241</v>
      </c>
      <c r="D1223" t="inlineStr">
        <is>
          <t>Support Ticket</t>
        </is>
      </c>
      <c r="E1223" t="inlineStr">
        <is>
          <t>Starter</t>
        </is>
      </c>
      <c r="F1223" t="inlineStr">
        <is>
          <t>SMB</t>
        </is>
      </c>
      <c r="G1223" t="inlineStr">
        <is>
          <t>Integrations</t>
        </is>
      </c>
      <c r="H1223" t="inlineStr">
        <is>
          <t>Integration Issue</t>
        </is>
      </c>
      <c r="I1223" t="inlineStr">
        <is>
          <t>Our team keeps running into this. The Outlook calendar sync duplicates meetings and misses replies.</t>
        </is>
      </c>
      <c r="J1223" t="inlineStr">
        <is>
          <t>Negative</t>
        </is>
      </c>
      <c r="K1223" t="inlineStr">
        <is>
          <t>High</t>
        </is>
      </c>
      <c r="L1223" t="inlineStr">
        <is>
          <t>Blocks Key Task</t>
        </is>
      </c>
      <c r="M1223" t="inlineStr">
        <is>
          <t>int_email</t>
        </is>
      </c>
      <c r="N1223" t="inlineStr">
        <is>
          <t>Email and calendar sync drops</t>
        </is>
      </c>
      <c r="O1223" t="inlineStr">
        <is>
          <t>2026-08</t>
        </is>
      </c>
    </row>
    <row r="1224">
      <c r="A1224" t="inlineStr">
        <is>
          <t>FB-01223</t>
        </is>
      </c>
      <c r="B1224" t="inlineStr">
        <is>
          <t>CUST-0365</t>
        </is>
      </c>
      <c r="C1224" s="11" t="n">
        <v>46241</v>
      </c>
      <c r="D1224" t="inlineStr">
        <is>
          <t>In-App Feedback</t>
        </is>
      </c>
      <c r="E1224" t="inlineStr">
        <is>
          <t>Starter</t>
        </is>
      </c>
      <c r="F1224" t="inlineStr">
        <is>
          <t>SMB</t>
        </is>
      </c>
      <c r="G1224" t="inlineStr">
        <is>
          <t>User Interface</t>
        </is>
      </c>
      <c r="H1224" t="inlineStr">
        <is>
          <t>Performance Issue</t>
        </is>
      </c>
      <c r="I1224" t="inlineStr">
        <is>
          <t>Page lag makes data entry frustrating during live calls. It affects our renewal process every cycle. We need a fix before renewal.</t>
        </is>
      </c>
      <c r="J1224" t="inlineStr">
        <is>
          <t>Negative</t>
        </is>
      </c>
      <c r="K1224" t="inlineStr">
        <is>
          <t>High</t>
        </is>
      </c>
      <c r="L1224" t="inlineStr">
        <is>
          <t>Workflow Slowdown</t>
        </is>
      </c>
      <c r="M1224" t="inlineStr">
        <is>
          <t>ui_perf</t>
        </is>
      </c>
      <c r="N1224" t="inlineStr">
        <is>
          <t>Laggy pages</t>
        </is>
      </c>
      <c r="O1224" t="inlineStr">
        <is>
          <t>2026-08</t>
        </is>
      </c>
    </row>
    <row r="1225">
      <c r="A1225" t="inlineStr">
        <is>
          <t>FB-01224</t>
        </is>
      </c>
      <c r="B1225" t="inlineStr">
        <is>
          <t>CUST-0408</t>
        </is>
      </c>
      <c r="C1225" s="11" t="n">
        <v>46241</v>
      </c>
      <c r="D1225" t="inlineStr">
        <is>
          <t>Support Ticket</t>
        </is>
      </c>
      <c r="E1225" t="inlineStr">
        <is>
          <t>Starter</t>
        </is>
      </c>
      <c r="F1225" t="inlineStr">
        <is>
          <t>SMB</t>
        </is>
      </c>
      <c r="G1225" t="inlineStr">
        <is>
          <t>Lead Management</t>
        </is>
      </c>
      <c r="H1225" t="inlineStr">
        <is>
          <t>Performance Issue</t>
        </is>
      </c>
      <c r="I1225" t="inlineStr">
        <is>
          <t>Reps have stopped using the board because of pipeline board loading. So far 17 people on our side have reported it. Let us know if you need examples.</t>
        </is>
      </c>
      <c r="J1225" t="inlineStr">
        <is>
          <t>Neutral</t>
        </is>
      </c>
      <c r="K1225" t="inlineStr">
        <is>
          <t>Low</t>
        </is>
      </c>
      <c r="L1225" t="inlineStr">
        <is>
          <t>Minor Inconvenience</t>
        </is>
      </c>
      <c r="M1225" t="inlineStr">
        <is>
          <t>lead_slow</t>
        </is>
      </c>
      <c r="N1225" t="inlineStr">
        <is>
          <t>Slow lead lists and pipeline board</t>
        </is>
      </c>
      <c r="O1225" t="inlineStr">
        <is>
          <t>2026-08</t>
        </is>
      </c>
    </row>
    <row r="1226">
      <c r="A1226" t="inlineStr">
        <is>
          <t>FB-01225</t>
        </is>
      </c>
      <c r="B1226" t="inlineStr">
        <is>
          <t>CUST-0410</t>
        </is>
      </c>
      <c r="C1226" s="11" t="n">
        <v>46241</v>
      </c>
      <c r="D1226" t="inlineStr">
        <is>
          <t>Support Ticket</t>
        </is>
      </c>
      <c r="E1226" t="inlineStr">
        <is>
          <t>Professional</t>
        </is>
      </c>
      <c r="F1226" t="inlineStr">
        <is>
          <t>Enterprise</t>
        </is>
      </c>
      <c r="G1226" t="inlineStr">
        <is>
          <t>User Interface</t>
        </is>
      </c>
      <c r="H1226" t="inlineStr">
        <is>
          <t>Performance Issue</t>
        </is>
      </c>
      <c r="I1226" t="inlineStr">
        <is>
          <t>Noting this during onboarding. UI freezing makes data entry frustrating during live calls. It happens about 36 times a week for our team of 45. Happy to join a feedback call.</t>
        </is>
      </c>
      <c r="J1226" t="inlineStr">
        <is>
          <t>Neutral</t>
        </is>
      </c>
      <c r="K1226" t="inlineStr">
        <is>
          <t>Medium</t>
        </is>
      </c>
      <c r="L1226" t="inlineStr">
        <is>
          <t>Workflow Slowdown</t>
        </is>
      </c>
      <c r="M1226" t="inlineStr">
        <is>
          <t>ui_perf</t>
        </is>
      </c>
      <c r="N1226" t="inlineStr">
        <is>
          <t>Laggy pages</t>
        </is>
      </c>
      <c r="O1226" t="inlineStr">
        <is>
          <t>2026-08</t>
        </is>
      </c>
    </row>
    <row r="1227">
      <c r="A1227" t="inlineStr">
        <is>
          <t>FB-01226</t>
        </is>
      </c>
      <c r="B1227" t="inlineStr">
        <is>
          <t>CUST-0114</t>
        </is>
      </c>
      <c r="C1227" s="11" t="n">
        <v>46241</v>
      </c>
      <c r="D1227" t="inlineStr">
        <is>
          <t>In-App Feedback</t>
        </is>
      </c>
      <c r="E1227" t="inlineStr">
        <is>
          <t>Professional</t>
        </is>
      </c>
      <c r="F1227" t="inlineStr">
        <is>
          <t>Mid-Market</t>
        </is>
      </c>
      <c r="G1227" t="inlineStr">
        <is>
          <t>Lead Management</t>
        </is>
      </c>
      <c r="H1227" t="inlineStr">
        <is>
          <t>Usability Issue</t>
        </is>
      </c>
      <c r="I1227" t="inlineStr">
        <is>
          <t>Noting this during onboarding. The lead assignment settings are confusing and new leads sometimes sit unassigned over weekends. We estimate we lose roughly 20 hours a month on this.</t>
        </is>
      </c>
      <c r="J1227" t="inlineStr">
        <is>
          <t>Neutral</t>
        </is>
      </c>
      <c r="K1227" t="inlineStr">
        <is>
          <t>Low</t>
        </is>
      </c>
      <c r="L1227" t="inlineStr">
        <is>
          <t>Minor Inconvenience</t>
        </is>
      </c>
      <c r="M1227" t="inlineStr">
        <is>
          <t>lead_assign</t>
        </is>
      </c>
      <c r="N1227" t="inlineStr">
        <is>
          <t>Lead routing is inflexible</t>
        </is>
      </c>
      <c r="O1227" t="inlineStr">
        <is>
          <t>2026-08</t>
        </is>
      </c>
    </row>
    <row r="1228">
      <c r="A1228" t="inlineStr">
        <is>
          <t>FB-01227</t>
        </is>
      </c>
      <c r="B1228" t="inlineStr">
        <is>
          <t>CUST-0208</t>
        </is>
      </c>
      <c r="C1228" s="11" t="n">
        <v>46241</v>
      </c>
      <c r="D1228" t="inlineStr">
        <is>
          <t>In-App Feedback</t>
        </is>
      </c>
      <c r="E1228" t="inlineStr">
        <is>
          <t>Starter</t>
        </is>
      </c>
      <c r="F1228" t="inlineStr">
        <is>
          <t>SMB</t>
        </is>
      </c>
      <c r="G1228" t="inlineStr">
        <is>
          <t>Contact Management</t>
        </is>
      </c>
      <c r="H1228" t="inlineStr">
        <is>
          <t>Feature Request</t>
        </is>
      </c>
      <c r="I1228" t="inlineStr">
        <is>
          <t>Please build contact de-duplication tooling with a preview of what will be combined. It affects our renewal process every cycle.</t>
        </is>
      </c>
      <c r="J1228" t="inlineStr">
        <is>
          <t>Neutral</t>
        </is>
      </c>
      <c r="K1228" t="inlineStr">
        <is>
          <t>Low</t>
        </is>
      </c>
      <c r="L1228" t="inlineStr">
        <is>
          <t>Workflow Slowdown</t>
        </is>
      </c>
      <c r="M1228" t="inlineStr">
        <is>
          <t>contact_dedupe</t>
        </is>
      </c>
      <c r="N1228" t="inlineStr">
        <is>
          <t>Bulk contact merge</t>
        </is>
      </c>
      <c r="O1228" t="inlineStr">
        <is>
          <t>2026-08</t>
        </is>
      </c>
    </row>
    <row r="1229">
      <c r="A1229" t="inlineStr">
        <is>
          <t>FB-01228</t>
        </is>
      </c>
      <c r="B1229" t="inlineStr">
        <is>
          <t>CUST-0412</t>
        </is>
      </c>
      <c r="C1229" s="11" t="n">
        <v>46241</v>
      </c>
      <c r="D1229" t="inlineStr">
        <is>
          <t>In-App Feedback</t>
        </is>
      </c>
      <c r="E1229" t="inlineStr">
        <is>
          <t>Professional</t>
        </is>
      </c>
      <c r="F1229" t="inlineStr">
        <is>
          <t>Mid-Market</t>
        </is>
      </c>
      <c r="G1229" t="inlineStr">
        <is>
          <t>User Interface</t>
        </is>
      </c>
      <c r="H1229" t="inlineStr">
        <is>
          <t>Feature Request</t>
        </is>
      </c>
      <c r="I1229" t="inlineStr">
        <is>
          <t>Noting this during onboarding. Admins ask for bulk edit actions every time we reorganize territories.</t>
        </is>
      </c>
      <c r="J1229" t="inlineStr">
        <is>
          <t>Neutral</t>
        </is>
      </c>
      <c r="K1229" t="inlineStr">
        <is>
          <t>Low</t>
        </is>
      </c>
      <c r="L1229" t="inlineStr">
        <is>
          <t>Minor Inconvenience</t>
        </is>
      </c>
      <c r="M1229" t="inlineStr">
        <is>
          <t>ui_bulk</t>
        </is>
      </c>
      <c r="N1229" t="inlineStr">
        <is>
          <t>Bulk actions</t>
        </is>
      </c>
      <c r="O1229" t="inlineStr">
        <is>
          <t>2026-08</t>
        </is>
      </c>
    </row>
    <row r="1230">
      <c r="A1230" t="inlineStr">
        <is>
          <t>FB-01229</t>
        </is>
      </c>
      <c r="B1230" t="inlineStr">
        <is>
          <t>CUST-0295</t>
        </is>
      </c>
      <c r="C1230" s="11" t="n">
        <v>46242</v>
      </c>
      <c r="D1230" t="inlineStr">
        <is>
          <t>In-App Feedback</t>
        </is>
      </c>
      <c r="E1230" t="inlineStr">
        <is>
          <t>Starter</t>
        </is>
      </c>
      <c r="F1230" t="inlineStr">
        <is>
          <t>SMB</t>
        </is>
      </c>
      <c r="G1230" t="inlineStr">
        <is>
          <t>Contact Management</t>
        </is>
      </c>
      <c r="H1230" t="inlineStr">
        <is>
          <t>Feature Request</t>
        </is>
      </c>
      <c r="I1230" t="inlineStr">
        <is>
          <t>Feedback from our monthly review. Please extend custom contact fields; the current limit is too small for our use case. Our admin flagged it while onboarding 85 new users. Let us know if you need examples.</t>
        </is>
      </c>
      <c r="J1230" t="inlineStr">
        <is>
          <t>Neutral</t>
        </is>
      </c>
      <c r="K1230" t="inlineStr">
        <is>
          <t>Low</t>
        </is>
      </c>
      <c r="L1230" t="inlineStr">
        <is>
          <t>Minor Inconvenience</t>
        </is>
      </c>
      <c r="M1230" t="inlineStr">
        <is>
          <t>contact_custom</t>
        </is>
      </c>
      <c r="N1230" t="inlineStr">
        <is>
          <t>Custom fields and hierarchy</t>
        </is>
      </c>
      <c r="O1230" t="inlineStr">
        <is>
          <t>2026-08</t>
        </is>
      </c>
    </row>
    <row r="1231">
      <c r="A1231" t="inlineStr">
        <is>
          <t>FB-01230</t>
        </is>
      </c>
      <c r="B1231" t="inlineStr">
        <is>
          <t>CUST-0315</t>
        </is>
      </c>
      <c r="C1231" s="11" t="n">
        <v>46242</v>
      </c>
      <c r="D1231" t="inlineStr">
        <is>
          <t>In-App Feedback</t>
        </is>
      </c>
      <c r="E1231" t="inlineStr">
        <is>
          <t>Professional</t>
        </is>
      </c>
      <c r="F1231" t="inlineStr">
        <is>
          <t>SMB</t>
        </is>
      </c>
      <c r="G1231" t="inlineStr">
        <is>
          <t>Reporting</t>
        </is>
      </c>
      <c r="H1231" t="inlineStr">
        <is>
          <t>Performance Issue</t>
        </is>
      </c>
      <c r="I1231" t="inlineStr">
        <is>
          <t>Raising this again after our last business review. The dashboard loading is painfully slow with a full year of data. We estimate we lose roughly 26 hours a month on this.</t>
        </is>
      </c>
      <c r="J1231" t="inlineStr">
        <is>
          <t>Negative</t>
        </is>
      </c>
      <c r="K1231" t="inlineStr">
        <is>
          <t>Medium</t>
        </is>
      </c>
      <c r="L1231" t="inlineStr">
        <is>
          <t>Minor Inconvenience</t>
        </is>
      </c>
      <c r="M1231" t="inlineStr">
        <is>
          <t>rep_slow</t>
        </is>
      </c>
      <c r="N1231" t="inlineStr">
        <is>
          <t>Slow dashboards</t>
        </is>
      </c>
      <c r="O1231" t="inlineStr">
        <is>
          <t>2026-08</t>
        </is>
      </c>
    </row>
    <row r="1232">
      <c r="A1232" t="inlineStr">
        <is>
          <t>FB-01231</t>
        </is>
      </c>
      <c r="B1232" t="inlineStr">
        <is>
          <t>CUST-0017</t>
        </is>
      </c>
      <c r="C1232" s="11" t="n">
        <v>46242</v>
      </c>
      <c r="D1232" t="inlineStr">
        <is>
          <t>Feature Request</t>
        </is>
      </c>
      <c r="E1232" t="inlineStr">
        <is>
          <t>Starter</t>
        </is>
      </c>
      <c r="F1232" t="inlineStr">
        <is>
          <t>Mid-Market</t>
        </is>
      </c>
      <c r="G1232" t="inlineStr">
        <is>
          <t>Lead Management</t>
        </is>
      </c>
      <c r="H1232" t="inlineStr">
        <is>
          <t>Feature Request</t>
        </is>
      </c>
      <c r="I1232" t="inlineStr">
        <is>
          <t>Sharing this from our team. We need automated lead scoring so reps can focus on the prospects most likely to close. We estimate we lose roughly 3 hours a month on this. Let us know if you need examples.</t>
        </is>
      </c>
      <c r="J1232" t="inlineStr">
        <is>
          <t>Neutral</t>
        </is>
      </c>
      <c r="K1232" t="inlineStr">
        <is>
          <t>Low</t>
        </is>
      </c>
      <c r="L1232" t="inlineStr">
        <is>
          <t>Minor Inconvenience</t>
        </is>
      </c>
      <c r="M1232" t="inlineStr">
        <is>
          <t>lead_score</t>
        </is>
      </c>
      <c r="N1232" t="inlineStr">
        <is>
          <t>Automated lead scoring</t>
        </is>
      </c>
      <c r="O1232" t="inlineStr">
        <is>
          <t>2026-08</t>
        </is>
      </c>
    </row>
    <row r="1233">
      <c r="A1233" t="inlineStr">
        <is>
          <t>FB-01232</t>
        </is>
      </c>
      <c r="B1233" t="inlineStr">
        <is>
          <t>CUST-0202</t>
        </is>
      </c>
      <c r="C1233" s="11" t="n">
        <v>46242</v>
      </c>
      <c r="D1233" t="inlineStr">
        <is>
          <t>In-App Feedback</t>
        </is>
      </c>
      <c r="E1233" t="inlineStr">
        <is>
          <t>Enterprise</t>
        </is>
      </c>
      <c r="F1233" t="inlineStr">
        <is>
          <t>Enterprise</t>
        </is>
      </c>
      <c r="G1233" t="inlineStr">
        <is>
          <t>Workflow Automation</t>
        </is>
      </c>
      <c r="H1233" t="inlineStr">
        <is>
          <t>Usability Issue</t>
        </is>
      </c>
      <c r="I1233" t="inlineStr">
        <is>
          <t>I can't tell what a branch does in the automation canvas without opening every node. It happens about 29 times a week for our team of 98.</t>
        </is>
      </c>
      <c r="J1233" t="inlineStr">
        <is>
          <t>Neutral</t>
        </is>
      </c>
      <c r="K1233" t="inlineStr">
        <is>
          <t>High</t>
        </is>
      </c>
      <c r="L1233" t="inlineStr">
        <is>
          <t>Workflow Slowdown</t>
        </is>
      </c>
      <c r="M1233" t="inlineStr">
        <is>
          <t>wf_builder</t>
        </is>
      </c>
      <c r="N1233" t="inlineStr">
        <is>
          <t>Confusing workflow builder</t>
        </is>
      </c>
      <c r="O1233" t="inlineStr">
        <is>
          <t>2026-08</t>
        </is>
      </c>
    </row>
    <row r="1234">
      <c r="A1234" t="inlineStr">
        <is>
          <t>FB-01233</t>
        </is>
      </c>
      <c r="B1234" t="inlineStr">
        <is>
          <t>CUST-0380</t>
        </is>
      </c>
      <c r="C1234" s="11" t="n">
        <v>46242</v>
      </c>
      <c r="D1234" t="inlineStr">
        <is>
          <t>Customer Survey</t>
        </is>
      </c>
      <c r="E1234" t="inlineStr">
        <is>
          <t>Professional</t>
        </is>
      </c>
      <c r="F1234" t="inlineStr">
        <is>
          <t>Mid-Market</t>
        </is>
      </c>
      <c r="G1234" t="inlineStr">
        <is>
          <t>Contact Management</t>
        </is>
      </c>
      <c r="H1234" t="inlineStr">
        <is>
          <t>Bug</t>
        </is>
      </c>
      <c r="I1234" t="inlineStr">
        <is>
          <t>Our spreadsheet import scrambles phone and email columns even after we map them correctly. It affects our weekly pipeline review process every cycle.</t>
        </is>
      </c>
      <c r="J1234" t="inlineStr">
        <is>
          <t>Negative</t>
        </is>
      </c>
      <c r="K1234" t="inlineStr">
        <is>
          <t>Medium</t>
        </is>
      </c>
      <c r="L1234" t="inlineStr">
        <is>
          <t>Workflow Slowdown</t>
        </is>
      </c>
      <c r="M1234" t="inlineStr">
        <is>
          <t>contact_import</t>
        </is>
      </c>
      <c r="N1234" t="inlineStr">
        <is>
          <t>Unreliable contact imports</t>
        </is>
      </c>
      <c r="O1234" t="inlineStr">
        <is>
          <t>2026-08</t>
        </is>
      </c>
    </row>
    <row r="1235">
      <c r="A1235" t="inlineStr">
        <is>
          <t>FB-01234</t>
        </is>
      </c>
      <c r="B1235" t="inlineStr">
        <is>
          <t>CUST-0420</t>
        </is>
      </c>
      <c r="C1235" s="11" t="n">
        <v>46243</v>
      </c>
      <c r="D1235" t="inlineStr">
        <is>
          <t>Support Ticket</t>
        </is>
      </c>
      <c r="E1235" t="inlineStr">
        <is>
          <t>Enterprise</t>
        </is>
      </c>
      <c r="F1235" t="inlineStr">
        <is>
          <t>Enterprise</t>
        </is>
      </c>
      <c r="G1235" t="inlineStr">
        <is>
          <t>Contact Management</t>
        </is>
      </c>
      <c r="H1235" t="inlineStr">
        <is>
          <t>Performance Issue</t>
        </is>
      </c>
      <c r="I1235" t="inlineStr">
        <is>
          <t>Raising this again after our last business review. The saved contact filters times out on our largest accounts. So far 54 people on our side have reported it. Please look into it soon.</t>
        </is>
      </c>
      <c r="J1235" t="inlineStr">
        <is>
          <t>Negative</t>
        </is>
      </c>
      <c r="K1235" t="inlineStr">
        <is>
          <t>Medium</t>
        </is>
      </c>
      <c r="L1235" t="inlineStr">
        <is>
          <t>Blocks Key Task</t>
        </is>
      </c>
      <c r="M1235" t="inlineStr">
        <is>
          <t>contact_search</t>
        </is>
      </c>
      <c r="N1235" t="inlineStr">
        <is>
          <t>Slow contact search</t>
        </is>
      </c>
      <c r="O1235" t="inlineStr">
        <is>
          <t>2026-08</t>
        </is>
      </c>
    </row>
    <row r="1236">
      <c r="A1236" t="inlineStr">
        <is>
          <t>FB-01235</t>
        </is>
      </c>
      <c r="B1236" t="inlineStr">
        <is>
          <t>CUST-0308</t>
        </is>
      </c>
      <c r="C1236" s="11" t="n">
        <v>46243</v>
      </c>
      <c r="D1236" t="inlineStr">
        <is>
          <t>Support Ticket</t>
        </is>
      </c>
      <c r="E1236" t="inlineStr">
        <is>
          <t>Professional</t>
        </is>
      </c>
      <c r="F1236" t="inlineStr">
        <is>
          <t>SMB</t>
        </is>
      </c>
      <c r="G1236" t="inlineStr">
        <is>
          <t>Integrations</t>
        </is>
      </c>
      <c r="H1236" t="inlineStr">
        <is>
          <t>Integration Issue</t>
        </is>
      </c>
      <c r="I1236" t="inlineStr">
        <is>
          <t>Not what we expected for the price. The email sync duplicates meetings and misses replies. It affects our month-end reporting process every cycle.</t>
        </is>
      </c>
      <c r="J1236" t="inlineStr">
        <is>
          <t>Negative</t>
        </is>
      </c>
      <c r="K1236" t="inlineStr">
        <is>
          <t>Medium</t>
        </is>
      </c>
      <c r="L1236" t="inlineStr">
        <is>
          <t>Minor Inconvenience</t>
        </is>
      </c>
      <c r="M1236" t="inlineStr">
        <is>
          <t>int_email</t>
        </is>
      </c>
      <c r="N1236" t="inlineStr">
        <is>
          <t>Email and calendar sync drops</t>
        </is>
      </c>
      <c r="O1236" t="inlineStr">
        <is>
          <t>2026-08</t>
        </is>
      </c>
    </row>
    <row r="1237">
      <c r="A1237" t="inlineStr">
        <is>
          <t>FB-01236</t>
        </is>
      </c>
      <c r="B1237" t="inlineStr">
        <is>
          <t>CUST-0094</t>
        </is>
      </c>
      <c r="C1237" s="11" t="n">
        <v>46243</v>
      </c>
      <c r="D1237" t="inlineStr">
        <is>
          <t>Feature Request</t>
        </is>
      </c>
      <c r="E1237" t="inlineStr">
        <is>
          <t>Professional</t>
        </is>
      </c>
      <c r="F1237" t="inlineStr">
        <is>
          <t>SMB</t>
        </is>
      </c>
      <c r="G1237" t="inlineStr">
        <is>
          <t>Integrations</t>
        </is>
      </c>
      <c r="H1237" t="inlineStr">
        <is>
          <t>Feature Request</t>
        </is>
      </c>
      <c r="I1237" t="inlineStr">
        <is>
          <t>Quick note from our admin. Requesting SCIM provisioning for our compliance audit. So far 7 people on our side have reported it. Happy to join a feedback call.</t>
        </is>
      </c>
      <c r="J1237" t="inlineStr">
        <is>
          <t>Neutral</t>
        </is>
      </c>
      <c r="K1237" t="inlineStr">
        <is>
          <t>Medium</t>
        </is>
      </c>
      <c r="L1237" t="inlineStr">
        <is>
          <t>Workflow Slowdown</t>
        </is>
      </c>
      <c r="M1237" t="inlineStr">
        <is>
          <t>int_sso</t>
        </is>
      </c>
      <c r="N1237" t="inlineStr">
        <is>
          <t>SSO and provisioning</t>
        </is>
      </c>
      <c r="O1237" t="inlineStr">
        <is>
          <t>2026-08</t>
        </is>
      </c>
    </row>
    <row r="1238">
      <c r="A1238" t="inlineStr">
        <is>
          <t>FB-01237</t>
        </is>
      </c>
      <c r="B1238" t="inlineStr">
        <is>
          <t>CUST-0297</t>
        </is>
      </c>
      <c r="C1238" s="11" t="n">
        <v>46244</v>
      </c>
      <c r="D1238" t="inlineStr">
        <is>
          <t>Customer Survey</t>
        </is>
      </c>
      <c r="E1238" t="inlineStr">
        <is>
          <t>Professional</t>
        </is>
      </c>
      <c r="F1238" t="inlineStr">
        <is>
          <t>Mid-Market</t>
        </is>
      </c>
      <c r="G1238" t="inlineStr">
        <is>
          <t>Workflow Automation</t>
        </is>
      </c>
      <c r="H1238" t="inlineStr">
        <is>
          <t>Feature Request</t>
        </is>
      </c>
      <c r="I1238" t="inlineStr">
        <is>
          <t>This has been a recurring problem for us. Competitors ship prebuilt automations; we are rebuilding the same flows from scratch. We estimate we lose roughly 47 hours a month on this. Please look into it soon.</t>
        </is>
      </c>
      <c r="J1238" t="inlineStr">
        <is>
          <t>Negative</t>
        </is>
      </c>
      <c r="K1238" t="inlineStr">
        <is>
          <t>Low</t>
        </is>
      </c>
      <c r="L1238" t="inlineStr">
        <is>
          <t>Minor Inconvenience</t>
        </is>
      </c>
      <c r="M1238" t="inlineStr">
        <is>
          <t>wf_templates</t>
        </is>
      </c>
      <c r="N1238" t="inlineStr">
        <is>
          <t>Workflow templates</t>
        </is>
      </c>
      <c r="O1238" t="inlineStr">
        <is>
          <t>2026-08</t>
        </is>
      </c>
    </row>
    <row r="1239">
      <c r="A1239" t="inlineStr">
        <is>
          <t>FB-01238</t>
        </is>
      </c>
      <c r="B1239" t="inlineStr">
        <is>
          <t>CUST-0197</t>
        </is>
      </c>
      <c r="C1239" s="11" t="n">
        <v>46244</v>
      </c>
      <c r="D1239" t="inlineStr">
        <is>
          <t>Support Ticket</t>
        </is>
      </c>
      <c r="E1239" t="inlineStr">
        <is>
          <t>Professional</t>
        </is>
      </c>
      <c r="F1239" t="inlineStr">
        <is>
          <t>Mid-Market</t>
        </is>
      </c>
      <c r="G1239" t="inlineStr">
        <is>
          <t>Reporting</t>
        </is>
      </c>
      <c r="H1239" t="inlineStr">
        <is>
          <t>Performance Issue</t>
        </is>
      </c>
      <c r="I1239" t="inlineStr">
        <is>
          <t>Our team keeps running into this. Our dashboard refresh spins for a minute before showing any chart. We estimate we lose roughly 26 hours a month on this.</t>
        </is>
      </c>
      <c r="J1239" t="inlineStr">
        <is>
          <t>Negative</t>
        </is>
      </c>
      <c r="K1239" t="inlineStr">
        <is>
          <t>Medium</t>
        </is>
      </c>
      <c r="L1239" t="inlineStr">
        <is>
          <t>Blocks Key Task</t>
        </is>
      </c>
      <c r="M1239" t="inlineStr">
        <is>
          <t>rep_slow</t>
        </is>
      </c>
      <c r="N1239" t="inlineStr">
        <is>
          <t>Slow dashboards</t>
        </is>
      </c>
      <c r="O1239" t="inlineStr">
        <is>
          <t>2026-08</t>
        </is>
      </c>
    </row>
    <row r="1240">
      <c r="A1240" t="inlineStr">
        <is>
          <t>FB-01239</t>
        </is>
      </c>
      <c r="B1240" t="inlineStr">
        <is>
          <t>CUST-0117</t>
        </is>
      </c>
      <c r="C1240" s="11" t="n">
        <v>46244</v>
      </c>
      <c r="D1240" t="inlineStr">
        <is>
          <t>Customer Survey</t>
        </is>
      </c>
      <c r="E1240" t="inlineStr">
        <is>
          <t>Professional</t>
        </is>
      </c>
      <c r="F1240" t="inlineStr">
        <is>
          <t>Mid-Market</t>
        </is>
      </c>
      <c r="G1240" t="inlineStr">
        <is>
          <t>Contact Management</t>
        </is>
      </c>
      <c r="H1240" t="inlineStr">
        <is>
          <t>Performance Issue</t>
        </is>
      </c>
      <c r="I1240" t="inlineStr">
        <is>
          <t>Frustrated with this one. Combining several conditions in contact search makes the page hang. Is there a workaround?</t>
        </is>
      </c>
      <c r="J1240" t="inlineStr">
        <is>
          <t>Negative</t>
        </is>
      </c>
      <c r="K1240" t="inlineStr">
        <is>
          <t>High</t>
        </is>
      </c>
      <c r="L1240" t="inlineStr">
        <is>
          <t>Workflow Slowdown</t>
        </is>
      </c>
      <c r="M1240" t="inlineStr">
        <is>
          <t>contact_search</t>
        </is>
      </c>
      <c r="N1240" t="inlineStr">
        <is>
          <t>Slow contact search</t>
        </is>
      </c>
      <c r="O1240" t="inlineStr">
        <is>
          <t>2026-08</t>
        </is>
      </c>
    </row>
    <row r="1241">
      <c r="A1241" t="inlineStr">
        <is>
          <t>FB-01240</t>
        </is>
      </c>
      <c r="B1241" t="inlineStr">
        <is>
          <t>CUST-0030</t>
        </is>
      </c>
      <c r="C1241" s="11" t="n">
        <v>46244</v>
      </c>
      <c r="D1241" t="inlineStr">
        <is>
          <t>In-App Feedback</t>
        </is>
      </c>
      <c r="E1241" t="inlineStr">
        <is>
          <t>Professional</t>
        </is>
      </c>
      <c r="F1241" t="inlineStr">
        <is>
          <t>Mid-Market</t>
        </is>
      </c>
      <c r="G1241" t="inlineStr">
        <is>
          <t>Workflow Automation</t>
        </is>
      </c>
      <c r="H1241" t="inlineStr">
        <is>
          <t>Bug</t>
        </is>
      </c>
      <c r="I1241" t="inlineStr">
        <is>
          <t>Sharing this from our team. Several automation misfires left deals stuck in the wrong stage. So far 106 people on our side have reported it.</t>
        </is>
      </c>
      <c r="J1241" t="inlineStr">
        <is>
          <t>Neutral</t>
        </is>
      </c>
      <c r="K1241" t="inlineStr">
        <is>
          <t>Medium</t>
        </is>
      </c>
      <c r="L1241" t="inlineStr">
        <is>
          <t>Minor Inconvenience</t>
        </is>
      </c>
      <c r="M1241" t="inlineStr">
        <is>
          <t>wf_fail</t>
        </is>
      </c>
      <c r="N1241" t="inlineStr">
        <is>
          <t>Workflows failing silently</t>
        </is>
      </c>
      <c r="O1241" t="inlineStr">
        <is>
          <t>2026-08</t>
        </is>
      </c>
    </row>
    <row r="1242">
      <c r="A1242" t="inlineStr">
        <is>
          <t>FB-01241</t>
        </is>
      </c>
      <c r="B1242" t="inlineStr">
        <is>
          <t>CUST-0205</t>
        </is>
      </c>
      <c r="C1242" s="11" t="n">
        <v>46244</v>
      </c>
      <c r="D1242" t="inlineStr">
        <is>
          <t>Customer Survey</t>
        </is>
      </c>
      <c r="E1242" t="inlineStr">
        <is>
          <t>Enterprise</t>
        </is>
      </c>
      <c r="F1242" t="inlineStr">
        <is>
          <t>Enterprise</t>
        </is>
      </c>
      <c r="G1242" t="inlineStr">
        <is>
          <t>Contact Management</t>
        </is>
      </c>
      <c r="H1242" t="inlineStr">
        <is>
          <t>Performance Issue</t>
        </is>
      </c>
      <c r="I1242" t="inlineStr">
        <is>
          <t>We avoid saved contact filters during calls because it takes too long. Our admin flagged it while onboarding 113 new users.</t>
        </is>
      </c>
      <c r="J1242" t="inlineStr">
        <is>
          <t>Negative</t>
        </is>
      </c>
      <c r="K1242" t="inlineStr">
        <is>
          <t>High</t>
        </is>
      </c>
      <c r="L1242" t="inlineStr">
        <is>
          <t>Blocks Key Task</t>
        </is>
      </c>
      <c r="M1242" t="inlineStr">
        <is>
          <t>contact_search</t>
        </is>
      </c>
      <c r="N1242" t="inlineStr">
        <is>
          <t>Slow contact search</t>
        </is>
      </c>
      <c r="O1242" t="inlineStr">
        <is>
          <t>2026-08</t>
        </is>
      </c>
    </row>
    <row r="1243">
      <c r="A1243" t="inlineStr">
        <is>
          <t>FB-01242</t>
        </is>
      </c>
      <c r="B1243" t="inlineStr">
        <is>
          <t>CUST-0186</t>
        </is>
      </c>
      <c r="C1243" s="11" t="n">
        <v>46245</v>
      </c>
      <c r="D1243" t="inlineStr">
        <is>
          <t>In-App Feedback</t>
        </is>
      </c>
      <c r="E1243" t="inlineStr">
        <is>
          <t>Professional</t>
        </is>
      </c>
      <c r="F1243" t="inlineStr">
        <is>
          <t>SMB</t>
        </is>
      </c>
      <c r="G1243" t="inlineStr">
        <is>
          <t>User Interface</t>
        </is>
      </c>
      <c r="H1243" t="inlineStr">
        <is>
          <t>Usability Issue</t>
        </is>
      </c>
      <c r="I1243" t="inlineStr">
        <is>
          <t>Not what we expected for the price. The settings navigation changed and nobody told us where things moved. Support suggested logging it here.</t>
        </is>
      </c>
      <c r="J1243" t="inlineStr">
        <is>
          <t>Negative</t>
        </is>
      </c>
      <c r="K1243" t="inlineStr">
        <is>
          <t>Medium</t>
        </is>
      </c>
      <c r="L1243" t="inlineStr">
        <is>
          <t>Workflow Slowdown</t>
        </is>
      </c>
      <c r="M1243" t="inlineStr">
        <is>
          <t>ui_nav</t>
        </is>
      </c>
      <c r="N1243" t="inlineStr">
        <is>
          <t>Cluttered navigation</t>
        </is>
      </c>
      <c r="O1243" t="inlineStr">
        <is>
          <t>2026-08</t>
        </is>
      </c>
    </row>
    <row r="1244">
      <c r="A1244" t="inlineStr">
        <is>
          <t>FB-01243</t>
        </is>
      </c>
      <c r="B1244" t="inlineStr">
        <is>
          <t>CUST-0203</t>
        </is>
      </c>
      <c r="C1244" s="11" t="n">
        <v>46245</v>
      </c>
      <c r="D1244" t="inlineStr">
        <is>
          <t>Support Ticket</t>
        </is>
      </c>
      <c r="E1244" t="inlineStr">
        <is>
          <t>Professional</t>
        </is>
      </c>
      <c r="F1244" t="inlineStr">
        <is>
          <t>Mid-Market</t>
        </is>
      </c>
      <c r="G1244" t="inlineStr">
        <is>
          <t>User Interface</t>
        </is>
      </c>
      <c r="H1244" t="inlineStr">
        <is>
          <t>Usability Issue</t>
        </is>
      </c>
      <c r="I1244" t="inlineStr">
        <is>
          <t>Frustrated with this one. The navigation menu changed and nobody told us where things moved. We estimate we lose roughly 17 hours a month on this.</t>
        </is>
      </c>
      <c r="J1244" t="inlineStr">
        <is>
          <t>Negative</t>
        </is>
      </c>
      <c r="K1244" t="inlineStr">
        <is>
          <t>High</t>
        </is>
      </c>
      <c r="L1244" t="inlineStr">
        <is>
          <t>Workflow Slowdown</t>
        </is>
      </c>
      <c r="M1244" t="inlineStr">
        <is>
          <t>ui_nav</t>
        </is>
      </c>
      <c r="N1244" t="inlineStr">
        <is>
          <t>Cluttered navigation</t>
        </is>
      </c>
      <c r="O1244" t="inlineStr">
        <is>
          <t>2026-08</t>
        </is>
      </c>
    </row>
    <row r="1245">
      <c r="A1245" t="inlineStr">
        <is>
          <t>FB-01244</t>
        </is>
      </c>
      <c r="B1245" t="inlineStr">
        <is>
          <t>CUST-0189</t>
        </is>
      </c>
      <c r="C1245" s="11" t="n">
        <v>46245</v>
      </c>
      <c r="D1245" t="inlineStr">
        <is>
          <t>Support Ticket</t>
        </is>
      </c>
      <c r="E1245" t="inlineStr">
        <is>
          <t>Starter</t>
        </is>
      </c>
      <c r="F1245" t="inlineStr">
        <is>
          <t>SMB</t>
        </is>
      </c>
      <c r="G1245" t="inlineStr">
        <is>
          <t>Workflow Automation</t>
        </is>
      </c>
      <c r="H1245" t="inlineStr">
        <is>
          <t>Bug</t>
        </is>
      </c>
      <c r="I1245" t="inlineStr">
        <is>
          <t>Our team keeps running into this. Since the last release we've had automation misfires and tasks are being created twice.</t>
        </is>
      </c>
      <c r="J1245" t="inlineStr">
        <is>
          <t>Negative</t>
        </is>
      </c>
      <c r="K1245" t="inlineStr">
        <is>
          <t>High</t>
        </is>
      </c>
      <c r="L1245" t="inlineStr">
        <is>
          <t>Blocks Key Task</t>
        </is>
      </c>
      <c r="M1245" t="inlineStr">
        <is>
          <t>wf_fail</t>
        </is>
      </c>
      <c r="N1245" t="inlineStr">
        <is>
          <t>Workflows failing silently</t>
        </is>
      </c>
      <c r="O1245" t="inlineStr">
        <is>
          <t>2026-08</t>
        </is>
      </c>
    </row>
    <row r="1246">
      <c r="A1246" t="inlineStr">
        <is>
          <t>FB-01245</t>
        </is>
      </c>
      <c r="B1246" t="inlineStr">
        <is>
          <t>CUST-0145</t>
        </is>
      </c>
      <c r="C1246" s="11" t="n">
        <v>46245</v>
      </c>
      <c r="D1246" t="inlineStr">
        <is>
          <t>In-App Feedback</t>
        </is>
      </c>
      <c r="E1246" t="inlineStr">
        <is>
          <t>Professional</t>
        </is>
      </c>
      <c r="F1246" t="inlineStr">
        <is>
          <t>SMB</t>
        </is>
      </c>
      <c r="G1246" t="inlineStr">
        <is>
          <t>Workflow Automation</t>
        </is>
      </c>
      <c r="H1246" t="inlineStr">
        <is>
          <t>Bug</t>
        </is>
      </c>
      <c r="I1246" t="inlineStr">
        <is>
          <t>Not what we expected for the price. Several workflow runs failing silently left deals stuck in the wrong stage. Support suggested logging it here.</t>
        </is>
      </c>
      <c r="J1246" t="inlineStr">
        <is>
          <t>Negative</t>
        </is>
      </c>
      <c r="K1246" t="inlineStr">
        <is>
          <t>Low</t>
        </is>
      </c>
      <c r="L1246" t="inlineStr">
        <is>
          <t>Minor Inconvenience</t>
        </is>
      </c>
      <c r="M1246" t="inlineStr">
        <is>
          <t>wf_fail</t>
        </is>
      </c>
      <c r="N1246" t="inlineStr">
        <is>
          <t>Workflows failing silently</t>
        </is>
      </c>
      <c r="O1246" t="inlineStr">
        <is>
          <t>2026-08</t>
        </is>
      </c>
    </row>
    <row r="1247">
      <c r="A1247" t="inlineStr">
        <is>
          <t>FB-01246</t>
        </is>
      </c>
      <c r="B1247" t="inlineStr">
        <is>
          <t>CUST-0055</t>
        </is>
      </c>
      <c r="C1247" s="11" t="n">
        <v>46245</v>
      </c>
      <c r="D1247" t="inlineStr">
        <is>
          <t>Support Ticket</t>
        </is>
      </c>
      <c r="E1247" t="inlineStr">
        <is>
          <t>Professional</t>
        </is>
      </c>
      <c r="F1247" t="inlineStr">
        <is>
          <t>Mid-Market</t>
        </is>
      </c>
      <c r="G1247" t="inlineStr">
        <is>
          <t>Integrations</t>
        </is>
      </c>
      <c r="H1247" t="inlineStr">
        <is>
          <t>Integration Issue</t>
        </is>
      </c>
      <c r="I1247" t="inlineStr">
        <is>
          <t>This has been a recurring problem for us. Reps no longer trust email sync, so they log activity by hand. Our admin flagged it while onboarding 15 new users. Is there a workaround?</t>
        </is>
      </c>
      <c r="J1247" t="inlineStr">
        <is>
          <t>Negative</t>
        </is>
      </c>
      <c r="K1247" t="inlineStr">
        <is>
          <t>Medium</t>
        </is>
      </c>
      <c r="L1247" t="inlineStr">
        <is>
          <t>Blocks Key Task</t>
        </is>
      </c>
      <c r="M1247" t="inlineStr">
        <is>
          <t>int_email</t>
        </is>
      </c>
      <c r="N1247" t="inlineStr">
        <is>
          <t>Email and calendar sync drops</t>
        </is>
      </c>
      <c r="O1247" t="inlineStr">
        <is>
          <t>2026-08</t>
        </is>
      </c>
    </row>
    <row r="1248">
      <c r="A1248" t="inlineStr">
        <is>
          <t>FB-01247</t>
        </is>
      </c>
      <c r="B1248" t="inlineStr">
        <is>
          <t>CUST-0387</t>
        </is>
      </c>
      <c r="C1248" s="11" t="n">
        <v>46245</v>
      </c>
      <c r="D1248" t="inlineStr">
        <is>
          <t>Support Ticket</t>
        </is>
      </c>
      <c r="E1248" t="inlineStr">
        <is>
          <t>Starter</t>
        </is>
      </c>
      <c r="F1248" t="inlineStr">
        <is>
          <t>SMB</t>
        </is>
      </c>
      <c r="G1248" t="inlineStr">
        <is>
          <t>User Interface</t>
        </is>
      </c>
      <c r="H1248" t="inlineStr">
        <is>
          <t>Feature Request</t>
        </is>
      </c>
      <c r="I1248" t="inlineStr">
        <is>
          <t>We need bulk actions on lists to update owners and stages for many records at once. Happy to join a feedback call.</t>
        </is>
      </c>
      <c r="J1248" t="inlineStr">
        <is>
          <t>Neutral</t>
        </is>
      </c>
      <c r="K1248" t="inlineStr">
        <is>
          <t>Medium</t>
        </is>
      </c>
      <c r="L1248" t="inlineStr">
        <is>
          <t>Minor Inconvenience</t>
        </is>
      </c>
      <c r="M1248" t="inlineStr">
        <is>
          <t>ui_bulk</t>
        </is>
      </c>
      <c r="N1248" t="inlineStr">
        <is>
          <t>Bulk actions</t>
        </is>
      </c>
      <c r="O1248" t="inlineStr">
        <is>
          <t>2026-08</t>
        </is>
      </c>
    </row>
    <row r="1249">
      <c r="A1249" t="inlineStr">
        <is>
          <t>FB-01248</t>
        </is>
      </c>
      <c r="B1249" t="inlineStr">
        <is>
          <t>CUST-0076</t>
        </is>
      </c>
      <c r="C1249" s="11" t="n">
        <v>46245</v>
      </c>
      <c r="D1249" t="inlineStr">
        <is>
          <t>Support Ticket</t>
        </is>
      </c>
      <c r="E1249" t="inlineStr">
        <is>
          <t>Starter</t>
        </is>
      </c>
      <c r="F1249" t="inlineStr">
        <is>
          <t>SMB</t>
        </is>
      </c>
      <c r="G1249" t="inlineStr">
        <is>
          <t>Lead Management</t>
        </is>
      </c>
      <c r="H1249" t="inlineStr">
        <is>
          <t>Bug</t>
        </is>
      </c>
      <c r="I1249" t="inlineStr">
        <is>
          <t>FYI for the product team. After every list import we find duplicate lead records that have to be cleaned up by hand. It happens about 38 times a week for our team of 26. Let us know if you need examples.</t>
        </is>
      </c>
      <c r="J1249" t="inlineStr">
        <is>
          <t>Neutral</t>
        </is>
      </c>
      <c r="K1249" t="inlineStr">
        <is>
          <t>Medium</t>
        </is>
      </c>
      <c r="L1249" t="inlineStr">
        <is>
          <t>Minor Inconvenience</t>
        </is>
      </c>
      <c r="M1249" t="inlineStr">
        <is>
          <t>lead_dup</t>
        </is>
      </c>
      <c r="N1249" t="inlineStr">
        <is>
          <t>Duplicate leads created</t>
        </is>
      </c>
      <c r="O1249" t="inlineStr">
        <is>
          <t>2026-08</t>
        </is>
      </c>
    </row>
    <row r="1250">
      <c r="A1250" t="inlineStr">
        <is>
          <t>FB-01249</t>
        </is>
      </c>
      <c r="B1250" t="inlineStr">
        <is>
          <t>CUST-0250</t>
        </is>
      </c>
      <c r="C1250" s="11" t="n">
        <v>46245</v>
      </c>
      <c r="D1250" t="inlineStr">
        <is>
          <t>Support Ticket</t>
        </is>
      </c>
      <c r="E1250" t="inlineStr">
        <is>
          <t>Professional</t>
        </is>
      </c>
      <c r="F1250" t="inlineStr">
        <is>
          <t>Mid-Market</t>
        </is>
      </c>
      <c r="G1250" t="inlineStr">
        <is>
          <t>Workflow Automation</t>
        </is>
      </c>
      <c r="H1250" t="inlineStr">
        <is>
          <t>Bug</t>
        </is>
      </c>
      <c r="I1250" t="inlineStr">
        <is>
          <t>Overall we like the product. Since the last release we've had automation misfires and tasks are being created twice. Happy to beta test.</t>
        </is>
      </c>
      <c r="J1250" t="inlineStr">
        <is>
          <t>Positive</t>
        </is>
      </c>
      <c r="K1250" t="inlineStr">
        <is>
          <t>Low</t>
        </is>
      </c>
      <c r="L1250" t="inlineStr">
        <is>
          <t>Minor Inconvenience</t>
        </is>
      </c>
      <c r="M1250" t="inlineStr">
        <is>
          <t>wf_fail</t>
        </is>
      </c>
      <c r="N1250" t="inlineStr">
        <is>
          <t>Workflows failing silently</t>
        </is>
      </c>
      <c r="O1250" t="inlineStr">
        <is>
          <t>2026-08</t>
        </is>
      </c>
    </row>
    <row r="1251">
      <c r="A1251" t="inlineStr">
        <is>
          <t>FB-01250</t>
        </is>
      </c>
      <c r="B1251" t="inlineStr">
        <is>
          <t>CUST-0284</t>
        </is>
      </c>
      <c r="C1251" s="11" t="n">
        <v>46245</v>
      </c>
      <c r="D1251" t="inlineStr">
        <is>
          <t>Feature Request</t>
        </is>
      </c>
      <c r="E1251" t="inlineStr">
        <is>
          <t>Enterprise</t>
        </is>
      </c>
      <c r="F1251" t="inlineStr">
        <is>
          <t>Enterprise</t>
        </is>
      </c>
      <c r="G1251" t="inlineStr">
        <is>
          <t>Workflow Automation</t>
        </is>
      </c>
      <c r="H1251" t="inlineStr">
        <is>
          <t>Feature Request</t>
        </is>
      </c>
      <c r="I1251" t="inlineStr">
        <is>
          <t>Happy with most of the product. We'd adopt automation faster with automation recipes we could customize. So far 25 people on our side have reported it.</t>
        </is>
      </c>
      <c r="J1251" t="inlineStr">
        <is>
          <t>Positive</t>
        </is>
      </c>
      <c r="K1251" t="inlineStr">
        <is>
          <t>Medium</t>
        </is>
      </c>
      <c r="L1251" t="inlineStr">
        <is>
          <t>Workflow Slowdown</t>
        </is>
      </c>
      <c r="M1251" t="inlineStr">
        <is>
          <t>wf_templates</t>
        </is>
      </c>
      <c r="N1251" t="inlineStr">
        <is>
          <t>Workflow templates</t>
        </is>
      </c>
      <c r="O1251" t="inlineStr">
        <is>
          <t>2026-08</t>
        </is>
      </c>
    </row>
    <row r="1252">
      <c r="A1252" t="inlineStr">
        <is>
          <t>FB-01251</t>
        </is>
      </c>
      <c r="B1252" t="inlineStr">
        <is>
          <t>CUST-0212</t>
        </is>
      </c>
      <c r="C1252" s="11" t="n">
        <v>46246</v>
      </c>
      <c r="D1252" t="inlineStr">
        <is>
          <t>In-App Feedback</t>
        </is>
      </c>
      <c r="E1252" t="inlineStr">
        <is>
          <t>Professional</t>
        </is>
      </c>
      <c r="F1252" t="inlineStr">
        <is>
          <t>Mid-Market</t>
        </is>
      </c>
      <c r="G1252" t="inlineStr">
        <is>
          <t>Lead Management</t>
        </is>
      </c>
      <c r="H1252" t="inlineStr">
        <is>
          <t>Feature Request</t>
        </is>
      </c>
      <c r="I1252" t="inlineStr">
        <is>
          <t>Please add automated lead scoring based on engagement, company size and recent activity. It happens about 32 times a week for our team of 53. Let us know if you need examples.</t>
        </is>
      </c>
      <c r="J1252" t="inlineStr">
        <is>
          <t>Neutral</t>
        </is>
      </c>
      <c r="K1252" t="inlineStr">
        <is>
          <t>Low</t>
        </is>
      </c>
      <c r="L1252" t="inlineStr">
        <is>
          <t>Minor Inconvenience</t>
        </is>
      </c>
      <c r="M1252" t="inlineStr">
        <is>
          <t>lead_score</t>
        </is>
      </c>
      <c r="N1252" t="inlineStr">
        <is>
          <t>Automated lead scoring</t>
        </is>
      </c>
      <c r="O1252" t="inlineStr">
        <is>
          <t>2026-08</t>
        </is>
      </c>
    </row>
    <row r="1253">
      <c r="A1253" t="inlineStr">
        <is>
          <t>FB-01252</t>
        </is>
      </c>
      <c r="B1253" t="inlineStr">
        <is>
          <t>CUST-0207</t>
        </is>
      </c>
      <c r="C1253" s="11" t="n">
        <v>46246</v>
      </c>
      <c r="D1253" t="inlineStr">
        <is>
          <t>Support Ticket</t>
        </is>
      </c>
      <c r="E1253" t="inlineStr">
        <is>
          <t>Professional</t>
        </is>
      </c>
      <c r="F1253" t="inlineStr">
        <is>
          <t>Mid-Market</t>
        </is>
      </c>
      <c r="G1253" t="inlineStr">
        <is>
          <t>Workflow Automation</t>
        </is>
      </c>
      <c r="H1253" t="inlineStr">
        <is>
          <t>Usability Issue</t>
        </is>
      </c>
      <c r="I1253" t="inlineStr">
        <is>
          <t>Not what we expected for the price. Our new admins struggle with the workflow builder; there is no guidance or validation. We estimate we lose roughly 44 hours a month on this. We need a fix before renewal.</t>
        </is>
      </c>
      <c r="J1253" t="inlineStr">
        <is>
          <t>Negative</t>
        </is>
      </c>
      <c r="K1253" t="inlineStr">
        <is>
          <t>Medium</t>
        </is>
      </c>
      <c r="L1253" t="inlineStr">
        <is>
          <t>Minor Inconvenience</t>
        </is>
      </c>
      <c r="M1253" t="inlineStr">
        <is>
          <t>wf_builder</t>
        </is>
      </c>
      <c r="N1253" t="inlineStr">
        <is>
          <t>Confusing workflow builder</t>
        </is>
      </c>
      <c r="O1253" t="inlineStr">
        <is>
          <t>2026-08</t>
        </is>
      </c>
    </row>
    <row r="1254">
      <c r="A1254" t="inlineStr">
        <is>
          <t>FB-01253</t>
        </is>
      </c>
      <c r="B1254" t="inlineStr">
        <is>
          <t>CUST-0051</t>
        </is>
      </c>
      <c r="C1254" s="11" t="n">
        <v>46246</v>
      </c>
      <c r="D1254" t="inlineStr">
        <is>
          <t>Feature Request</t>
        </is>
      </c>
      <c r="E1254" t="inlineStr">
        <is>
          <t>Enterprise</t>
        </is>
      </c>
      <c r="F1254" t="inlineStr">
        <is>
          <t>Enterprise</t>
        </is>
      </c>
      <c r="G1254" t="inlineStr">
        <is>
          <t>Integrations</t>
        </is>
      </c>
      <c r="H1254" t="inlineStr">
        <is>
          <t>Feature Request</t>
        </is>
      </c>
      <c r="I1254" t="inlineStr">
        <is>
          <t>Great support experience recently. Please add SSO support; managing users by hand does not scale.</t>
        </is>
      </c>
      <c r="J1254" t="inlineStr">
        <is>
          <t>Positive</t>
        </is>
      </c>
      <c r="K1254" t="inlineStr">
        <is>
          <t>Low</t>
        </is>
      </c>
      <c r="L1254" t="inlineStr">
        <is>
          <t>Minor Inconvenience</t>
        </is>
      </c>
      <c r="M1254" t="inlineStr">
        <is>
          <t>int_sso</t>
        </is>
      </c>
      <c r="N1254" t="inlineStr">
        <is>
          <t>SSO and provisioning</t>
        </is>
      </c>
      <c r="O1254" t="inlineStr">
        <is>
          <t>2026-08</t>
        </is>
      </c>
    </row>
    <row r="1255">
      <c r="A1255" t="inlineStr">
        <is>
          <t>FB-01254</t>
        </is>
      </c>
      <c r="B1255" t="inlineStr">
        <is>
          <t>CUST-0175</t>
        </is>
      </c>
      <c r="C1255" s="11" t="n">
        <v>46247</v>
      </c>
      <c r="D1255" t="inlineStr">
        <is>
          <t>Feature Request</t>
        </is>
      </c>
      <c r="E1255" t="inlineStr">
        <is>
          <t>Professional</t>
        </is>
      </c>
      <c r="F1255" t="inlineStr">
        <is>
          <t>Mid-Market</t>
        </is>
      </c>
      <c r="G1255" t="inlineStr">
        <is>
          <t>User Interface</t>
        </is>
      </c>
      <c r="H1255" t="inlineStr">
        <is>
          <t>Feature Request</t>
        </is>
      </c>
      <c r="I1255" t="inlineStr">
        <is>
          <t>Our field reps need offline mobile access to update deals between visits. We estimate we lose roughly 29 hours a month on this. Happy to join a feedback call.</t>
        </is>
      </c>
      <c r="J1255" t="inlineStr">
        <is>
          <t>Neutral</t>
        </is>
      </c>
      <c r="K1255" t="inlineStr">
        <is>
          <t>Medium</t>
        </is>
      </c>
      <c r="L1255" t="inlineStr">
        <is>
          <t>Blocks Key Task</t>
        </is>
      </c>
      <c r="M1255" t="inlineStr">
        <is>
          <t>ui_mobile</t>
        </is>
      </c>
      <c r="N1255" t="inlineStr">
        <is>
          <t>Mobile app</t>
        </is>
      </c>
      <c r="O1255" t="inlineStr">
        <is>
          <t>2026-08</t>
        </is>
      </c>
    </row>
    <row r="1256">
      <c r="A1256" t="inlineStr">
        <is>
          <t>FB-01255</t>
        </is>
      </c>
      <c r="B1256" t="inlineStr">
        <is>
          <t>CUST-0222</t>
        </is>
      </c>
      <c r="C1256" s="11" t="n">
        <v>46247</v>
      </c>
      <c r="D1256" t="inlineStr">
        <is>
          <t>Support Ticket</t>
        </is>
      </c>
      <c r="E1256" t="inlineStr">
        <is>
          <t>Professional</t>
        </is>
      </c>
      <c r="F1256" t="inlineStr">
        <is>
          <t>Mid-Market</t>
        </is>
      </c>
      <c r="G1256" t="inlineStr">
        <is>
          <t>Reporting</t>
        </is>
      </c>
      <c r="H1256" t="inlineStr">
        <is>
          <t>Bug</t>
        </is>
      </c>
      <c r="I1256" t="inlineStr">
        <is>
          <t>Finance can't rely on the report export; totals don't match the screen. Our customer success lead flagged it while onboarding 29 new users. We need a fix before renewal.</t>
        </is>
      </c>
      <c r="J1256" t="inlineStr">
        <is>
          <t>Negative</t>
        </is>
      </c>
      <c r="K1256" t="inlineStr">
        <is>
          <t>High</t>
        </is>
      </c>
      <c r="L1256" t="inlineStr">
        <is>
          <t>Workflow Slowdown</t>
        </is>
      </c>
      <c r="M1256" t="inlineStr">
        <is>
          <t>rep_export</t>
        </is>
      </c>
      <c r="N1256" t="inlineStr">
        <is>
          <t>Broken report exports</t>
        </is>
      </c>
      <c r="O1256" t="inlineStr">
        <is>
          <t>2026-08</t>
        </is>
      </c>
    </row>
    <row r="1257">
      <c r="A1257" t="inlineStr">
        <is>
          <t>FB-01256</t>
        </is>
      </c>
      <c r="B1257" t="inlineStr">
        <is>
          <t>CUST-0371</t>
        </is>
      </c>
      <c r="C1257" s="11" t="n">
        <v>46247</v>
      </c>
      <c r="D1257" t="inlineStr">
        <is>
          <t>Support Ticket</t>
        </is>
      </c>
      <c r="E1257" t="inlineStr">
        <is>
          <t>Enterprise</t>
        </is>
      </c>
      <c r="F1257" t="inlineStr">
        <is>
          <t>Enterprise</t>
        </is>
      </c>
      <c r="G1257" t="inlineStr">
        <is>
          <t>Reporting</t>
        </is>
      </c>
      <c r="H1257" t="inlineStr">
        <is>
          <t>Feature Request</t>
        </is>
      </c>
      <c r="I1257" t="inlineStr">
        <is>
          <t>Requesting a custom report builder so leadership gets numbers without logging in. Our marketing ops owner flagged it while onboarding 21 new users.</t>
        </is>
      </c>
      <c r="J1257" t="inlineStr">
        <is>
          <t>Positive</t>
        </is>
      </c>
      <c r="K1257" t="inlineStr">
        <is>
          <t>Low</t>
        </is>
      </c>
      <c r="L1257" t="inlineStr">
        <is>
          <t>Blocks Key Task</t>
        </is>
      </c>
      <c r="M1257" t="inlineStr">
        <is>
          <t>rep_custom</t>
        </is>
      </c>
      <c r="N1257" t="inlineStr">
        <is>
          <t>Custom and scheduled reports</t>
        </is>
      </c>
      <c r="O1257" t="inlineStr">
        <is>
          <t>2026-08</t>
        </is>
      </c>
    </row>
    <row r="1258">
      <c r="A1258" t="inlineStr">
        <is>
          <t>FB-01257</t>
        </is>
      </c>
      <c r="B1258" t="inlineStr">
        <is>
          <t>CUST-0401</t>
        </is>
      </c>
      <c r="C1258" s="11" t="n">
        <v>46247</v>
      </c>
      <c r="D1258" t="inlineStr">
        <is>
          <t>Customer Survey</t>
        </is>
      </c>
      <c r="E1258" t="inlineStr">
        <is>
          <t>Professional</t>
        </is>
      </c>
      <c r="F1258" t="inlineStr">
        <is>
          <t>SMB</t>
        </is>
      </c>
      <c r="G1258" t="inlineStr">
        <is>
          <t>Contact Management</t>
        </is>
      </c>
      <c r="H1258" t="inlineStr">
        <is>
          <t>Feature Request</t>
        </is>
      </c>
      <c r="I1258" t="inlineStr">
        <is>
          <t>Our team keeps running into this. Requesting custom contact fields so account managers can see who reports to whom. So far 70 people on our side have reported it. Support suggested logging it here.</t>
        </is>
      </c>
      <c r="J1258" t="inlineStr">
        <is>
          <t>Negative</t>
        </is>
      </c>
      <c r="K1258" t="inlineStr">
        <is>
          <t>Low</t>
        </is>
      </c>
      <c r="L1258" t="inlineStr">
        <is>
          <t>Blocks Key Task</t>
        </is>
      </c>
      <c r="M1258" t="inlineStr">
        <is>
          <t>contact_custom</t>
        </is>
      </c>
      <c r="N1258" t="inlineStr">
        <is>
          <t>Custom fields and hierarchy</t>
        </is>
      </c>
      <c r="O1258" t="inlineStr">
        <is>
          <t>2026-08</t>
        </is>
      </c>
    </row>
    <row r="1259">
      <c r="A1259" t="inlineStr">
        <is>
          <t>FB-01258</t>
        </is>
      </c>
      <c r="B1259" t="inlineStr">
        <is>
          <t>CUST-0158</t>
        </is>
      </c>
      <c r="C1259" s="11" t="n">
        <v>46248</v>
      </c>
      <c r="D1259" t="inlineStr">
        <is>
          <t>Support Ticket</t>
        </is>
      </c>
      <c r="E1259" t="inlineStr">
        <is>
          <t>Starter</t>
        </is>
      </c>
      <c r="F1259" t="inlineStr">
        <is>
          <t>SMB</t>
        </is>
      </c>
      <c r="G1259" t="inlineStr">
        <is>
          <t>Lead Management</t>
        </is>
      </c>
      <c r="H1259" t="inlineStr">
        <is>
          <t>Bug</t>
        </is>
      </c>
      <c r="I1259" t="inlineStr">
        <is>
          <t>Web form submissions keep creating duplicated leads, and reps end up calling the same prospect twice.</t>
        </is>
      </c>
      <c r="J1259" t="inlineStr">
        <is>
          <t>Negative</t>
        </is>
      </c>
      <c r="K1259" t="inlineStr">
        <is>
          <t>Low</t>
        </is>
      </c>
      <c r="L1259" t="inlineStr">
        <is>
          <t>Minor Inconvenience</t>
        </is>
      </c>
      <c r="M1259" t="inlineStr">
        <is>
          <t>lead_dup</t>
        </is>
      </c>
      <c r="N1259" t="inlineStr">
        <is>
          <t>Duplicate leads created</t>
        </is>
      </c>
      <c r="O1259" t="inlineStr">
        <is>
          <t>2026-08</t>
        </is>
      </c>
    </row>
    <row r="1260">
      <c r="A1260" t="inlineStr">
        <is>
          <t>FB-01259</t>
        </is>
      </c>
      <c r="B1260" t="inlineStr">
        <is>
          <t>CUST-0382</t>
        </is>
      </c>
      <c r="C1260" s="11" t="n">
        <v>46248</v>
      </c>
      <c r="D1260" t="inlineStr">
        <is>
          <t>Customer Survey</t>
        </is>
      </c>
      <c r="E1260" t="inlineStr">
        <is>
          <t>Starter</t>
        </is>
      </c>
      <c r="F1260" t="inlineStr">
        <is>
          <t>SMB</t>
        </is>
      </c>
      <c r="G1260" t="inlineStr">
        <is>
          <t>User Interface</t>
        </is>
      </c>
      <c r="H1260" t="inlineStr">
        <is>
          <t>Feature Request</t>
        </is>
      </c>
      <c r="I1260" t="inlineStr">
        <is>
          <t>Quick note from our admin. Please prioritize mobile call logging; the mobile web view is hard to use. It happens about 2 times a week for our team of 86. Let us know if you need examples.</t>
        </is>
      </c>
      <c r="J1260" t="inlineStr">
        <is>
          <t>Neutral</t>
        </is>
      </c>
      <c r="K1260" t="inlineStr">
        <is>
          <t>Medium</t>
        </is>
      </c>
      <c r="L1260" t="inlineStr">
        <is>
          <t>Workflow Slowdown</t>
        </is>
      </c>
      <c r="M1260" t="inlineStr">
        <is>
          <t>ui_mobile</t>
        </is>
      </c>
      <c r="N1260" t="inlineStr">
        <is>
          <t>Mobile app</t>
        </is>
      </c>
      <c r="O1260" t="inlineStr">
        <is>
          <t>2026-08</t>
        </is>
      </c>
    </row>
    <row r="1261">
      <c r="A1261" t="inlineStr">
        <is>
          <t>FB-01260</t>
        </is>
      </c>
      <c r="B1261" t="inlineStr">
        <is>
          <t>CUST-0108</t>
        </is>
      </c>
      <c r="C1261" s="11" t="n">
        <v>46248</v>
      </c>
      <c r="D1261" t="inlineStr">
        <is>
          <t>Feature Request</t>
        </is>
      </c>
      <c r="E1261" t="inlineStr">
        <is>
          <t>Enterprise</t>
        </is>
      </c>
      <c r="F1261" t="inlineStr">
        <is>
          <t>Mid-Market</t>
        </is>
      </c>
      <c r="G1261" t="inlineStr">
        <is>
          <t>Lead Management</t>
        </is>
      </c>
      <c r="H1261" t="inlineStr">
        <is>
          <t>Feature Request</t>
        </is>
      </c>
      <c r="I1261" t="inlineStr">
        <is>
          <t>Happy with most of the product. Right now reps rank leads by gut feel; a lead score model would fix that. Thanks to the team.</t>
        </is>
      </c>
      <c r="J1261" t="inlineStr">
        <is>
          <t>Positive</t>
        </is>
      </c>
      <c r="K1261" t="inlineStr">
        <is>
          <t>Low</t>
        </is>
      </c>
      <c r="L1261" t="inlineStr">
        <is>
          <t>Minor Inconvenience</t>
        </is>
      </c>
      <c r="M1261" t="inlineStr">
        <is>
          <t>lead_score</t>
        </is>
      </c>
      <c r="N1261" t="inlineStr">
        <is>
          <t>Automated lead scoring</t>
        </is>
      </c>
      <c r="O1261" t="inlineStr">
        <is>
          <t>2026-08</t>
        </is>
      </c>
    </row>
    <row r="1262">
      <c r="A1262" t="inlineStr">
        <is>
          <t>FB-01261</t>
        </is>
      </c>
      <c r="B1262" t="inlineStr">
        <is>
          <t>CUST-0405</t>
        </is>
      </c>
      <c r="C1262" s="11" t="n">
        <v>46248</v>
      </c>
      <c r="D1262" t="inlineStr">
        <is>
          <t>Customer Survey</t>
        </is>
      </c>
      <c r="E1262" t="inlineStr">
        <is>
          <t>Starter</t>
        </is>
      </c>
      <c r="F1262" t="inlineStr">
        <is>
          <t>SMB</t>
        </is>
      </c>
      <c r="G1262" t="inlineStr">
        <is>
          <t>User Interface</t>
        </is>
      </c>
      <c r="H1262" t="inlineStr">
        <is>
          <t>Usability Issue</t>
        </is>
      </c>
      <c r="I1262" t="inlineStr">
        <is>
          <t>FYI for the product team. New hires get lost in the settings navigation; it takes weeks to learn. So far 83 people on our side have reported it.</t>
        </is>
      </c>
      <c r="J1262" t="inlineStr">
        <is>
          <t>Neutral</t>
        </is>
      </c>
      <c r="K1262" t="inlineStr">
        <is>
          <t>High</t>
        </is>
      </c>
      <c r="L1262" t="inlineStr">
        <is>
          <t>Blocks Key Task</t>
        </is>
      </c>
      <c r="M1262" t="inlineStr">
        <is>
          <t>ui_nav</t>
        </is>
      </c>
      <c r="N1262" t="inlineStr">
        <is>
          <t>Cluttered navigation</t>
        </is>
      </c>
      <c r="O1262" t="inlineStr">
        <is>
          <t>2026-08</t>
        </is>
      </c>
    </row>
    <row r="1263">
      <c r="A1263" t="inlineStr">
        <is>
          <t>FB-01262</t>
        </is>
      </c>
      <c r="B1263" t="inlineStr">
        <is>
          <t>CUST-0223</t>
        </is>
      </c>
      <c r="C1263" s="11" t="n">
        <v>46249</v>
      </c>
      <c r="D1263" t="inlineStr">
        <is>
          <t>In-App Feedback</t>
        </is>
      </c>
      <c r="E1263" t="inlineStr">
        <is>
          <t>Starter</t>
        </is>
      </c>
      <c r="F1263" t="inlineStr">
        <is>
          <t>SMB</t>
        </is>
      </c>
      <c r="G1263" t="inlineStr">
        <is>
          <t>Workflow Automation</t>
        </is>
      </c>
      <c r="H1263" t="inlineStr">
        <is>
          <t>Usability Issue</t>
        </is>
      </c>
      <c r="I1263" t="inlineStr">
        <is>
          <t>The workflow builder doesn't let us copy steps between flows.</t>
        </is>
      </c>
      <c r="J1263" t="inlineStr">
        <is>
          <t>Neutral</t>
        </is>
      </c>
      <c r="K1263" t="inlineStr">
        <is>
          <t>Medium</t>
        </is>
      </c>
      <c r="L1263" t="inlineStr">
        <is>
          <t>Workflow Slowdown</t>
        </is>
      </c>
      <c r="M1263" t="inlineStr">
        <is>
          <t>wf_builder</t>
        </is>
      </c>
      <c r="N1263" t="inlineStr">
        <is>
          <t>Confusing workflow builder</t>
        </is>
      </c>
      <c r="O1263" t="inlineStr">
        <is>
          <t>2026-08</t>
        </is>
      </c>
    </row>
    <row r="1264">
      <c r="A1264" t="inlineStr">
        <is>
          <t>FB-01263</t>
        </is>
      </c>
      <c r="B1264" t="inlineStr">
        <is>
          <t>CUST-0313</t>
        </is>
      </c>
      <c r="C1264" s="11" t="n">
        <v>46249</v>
      </c>
      <c r="D1264" t="inlineStr">
        <is>
          <t>Customer Survey</t>
        </is>
      </c>
      <c r="E1264" t="inlineStr">
        <is>
          <t>Starter</t>
        </is>
      </c>
      <c r="F1264" t="inlineStr">
        <is>
          <t>SMB</t>
        </is>
      </c>
      <c r="G1264" t="inlineStr">
        <is>
          <t>Integrations</t>
        </is>
      </c>
      <c r="H1264" t="inlineStr">
        <is>
          <t>Integration Issue</t>
        </is>
      </c>
      <c r="I1264" t="inlineStr">
        <is>
          <t>Not what we expected for the price. Reps no longer trust Outlook calendar sync, so they log activity by hand. Support suggested logging it here.</t>
        </is>
      </c>
      <c r="J1264" t="inlineStr">
        <is>
          <t>Negative</t>
        </is>
      </c>
      <c r="K1264" t="inlineStr">
        <is>
          <t>Medium</t>
        </is>
      </c>
      <c r="L1264" t="inlineStr">
        <is>
          <t>Workflow Slowdown</t>
        </is>
      </c>
      <c r="M1264" t="inlineStr">
        <is>
          <t>int_email</t>
        </is>
      </c>
      <c r="N1264" t="inlineStr">
        <is>
          <t>Email and calendar sync drops</t>
        </is>
      </c>
      <c r="O1264" t="inlineStr">
        <is>
          <t>2026-08</t>
        </is>
      </c>
    </row>
    <row r="1265">
      <c r="A1265" t="inlineStr">
        <is>
          <t>FB-01264</t>
        </is>
      </c>
      <c r="B1265" t="inlineStr">
        <is>
          <t>CUST-0299</t>
        </is>
      </c>
      <c r="C1265" s="11" t="n">
        <v>46249</v>
      </c>
      <c r="D1265" t="inlineStr">
        <is>
          <t>Customer Survey</t>
        </is>
      </c>
      <c r="E1265" t="inlineStr">
        <is>
          <t>Professional</t>
        </is>
      </c>
      <c r="F1265" t="inlineStr">
        <is>
          <t>Mid-Market</t>
        </is>
      </c>
      <c r="G1265" t="inlineStr">
        <is>
          <t>Lead Management</t>
        </is>
      </c>
      <c r="H1265" t="inlineStr">
        <is>
          <t>Feature Request</t>
        </is>
      </c>
      <c r="I1265" t="inlineStr">
        <is>
          <t>Sharing this from our team. Would love to see automated lead scoring that marketing and sales can both tune. We estimate we lose roughly 57 hours a month on this.</t>
        </is>
      </c>
      <c r="J1265" t="inlineStr">
        <is>
          <t>Neutral</t>
        </is>
      </c>
      <c r="K1265" t="inlineStr">
        <is>
          <t>Low</t>
        </is>
      </c>
      <c r="L1265" t="inlineStr">
        <is>
          <t>Workflow Slowdown</t>
        </is>
      </c>
      <c r="M1265" t="inlineStr">
        <is>
          <t>lead_score</t>
        </is>
      </c>
      <c r="N1265" t="inlineStr">
        <is>
          <t>Automated lead scoring</t>
        </is>
      </c>
      <c r="O1265" t="inlineStr">
        <is>
          <t>2026-08</t>
        </is>
      </c>
    </row>
    <row r="1266">
      <c r="A1266" t="inlineStr">
        <is>
          <t>FB-01265</t>
        </is>
      </c>
      <c r="B1266" t="inlineStr">
        <is>
          <t>CUST-0030</t>
        </is>
      </c>
      <c r="C1266" s="11" t="n">
        <v>46249</v>
      </c>
      <c r="D1266" t="inlineStr">
        <is>
          <t>Support Ticket</t>
        </is>
      </c>
      <c r="E1266" t="inlineStr">
        <is>
          <t>Professional</t>
        </is>
      </c>
      <c r="F1266" t="inlineStr">
        <is>
          <t>Mid-Market</t>
        </is>
      </c>
      <c r="G1266" t="inlineStr">
        <is>
          <t>Lead Management</t>
        </is>
      </c>
      <c r="H1266" t="inlineStr">
        <is>
          <t>Performance Issue</t>
        </is>
      </c>
      <c r="I1266" t="inlineStr">
        <is>
          <t>Complaint about lead view load times: the board freezes while cards render. It affects our quarterly planning process every cycle. Support suggested logging it here.</t>
        </is>
      </c>
      <c r="J1266" t="inlineStr">
        <is>
          <t>Negative</t>
        </is>
      </c>
      <c r="K1266" t="inlineStr">
        <is>
          <t>High</t>
        </is>
      </c>
      <c r="L1266" t="inlineStr">
        <is>
          <t>Workflow Slowdown</t>
        </is>
      </c>
      <c r="M1266" t="inlineStr">
        <is>
          <t>lead_slow</t>
        </is>
      </c>
      <c r="N1266" t="inlineStr">
        <is>
          <t>Slow lead lists and pipeline board</t>
        </is>
      </c>
      <c r="O1266" t="inlineStr">
        <is>
          <t>2026-08</t>
        </is>
      </c>
    </row>
    <row r="1267">
      <c r="A1267" t="inlineStr">
        <is>
          <t>FB-01266</t>
        </is>
      </c>
      <c r="B1267" t="inlineStr">
        <is>
          <t>CUST-0334</t>
        </is>
      </c>
      <c r="C1267" s="11" t="n">
        <v>46249</v>
      </c>
      <c r="D1267" t="inlineStr">
        <is>
          <t>In-App Feedback</t>
        </is>
      </c>
      <c r="E1267" t="inlineStr">
        <is>
          <t>Enterprise</t>
        </is>
      </c>
      <c r="F1267" t="inlineStr">
        <is>
          <t>SMB</t>
        </is>
      </c>
      <c r="G1267" t="inlineStr">
        <is>
          <t>Workflow Automation</t>
        </is>
      </c>
      <c r="H1267" t="inlineStr">
        <is>
          <t>Feature Request</t>
        </is>
      </c>
      <c r="I1267" t="inlineStr">
        <is>
          <t>Recent updates have been a nice improvement. Requesting a discount approval flow; today approvals happen over chat. Our sales manager flagged it while onboarding 59 new users.</t>
        </is>
      </c>
      <c r="J1267" t="inlineStr">
        <is>
          <t>Positive</t>
        </is>
      </c>
      <c r="K1267" t="inlineStr">
        <is>
          <t>Low</t>
        </is>
      </c>
      <c r="L1267" t="inlineStr">
        <is>
          <t>Minor Inconvenience</t>
        </is>
      </c>
      <c r="M1267" t="inlineStr">
        <is>
          <t>wf_approval</t>
        </is>
      </c>
      <c r="N1267" t="inlineStr">
        <is>
          <t>Approval steps in workflows</t>
        </is>
      </c>
      <c r="O1267" t="inlineStr">
        <is>
          <t>2026-08</t>
        </is>
      </c>
    </row>
    <row r="1268">
      <c r="A1268" t="inlineStr">
        <is>
          <t>FB-01267</t>
        </is>
      </c>
      <c r="B1268" t="inlineStr">
        <is>
          <t>CUST-0146</t>
        </is>
      </c>
      <c r="C1268" s="11" t="n">
        <v>46249</v>
      </c>
      <c r="D1268" t="inlineStr">
        <is>
          <t>Support Ticket</t>
        </is>
      </c>
      <c r="E1268" t="inlineStr">
        <is>
          <t>Starter</t>
        </is>
      </c>
      <c r="F1268" t="inlineStr">
        <is>
          <t>SMB</t>
        </is>
      </c>
      <c r="G1268" t="inlineStr">
        <is>
          <t>Lead Management</t>
        </is>
      </c>
      <c r="H1268" t="inlineStr">
        <is>
          <t>Performance Issue</t>
        </is>
      </c>
      <c r="I1268" t="inlineStr">
        <is>
          <t>Frustrated with this one. Our lead view load times regularly exceeds ten seconds on Monday mornings. Is there a workaround?</t>
        </is>
      </c>
      <c r="J1268" t="inlineStr">
        <is>
          <t>Negative</t>
        </is>
      </c>
      <c r="K1268" t="inlineStr">
        <is>
          <t>Medium</t>
        </is>
      </c>
      <c r="L1268" t="inlineStr">
        <is>
          <t>Workflow Slowdown</t>
        </is>
      </c>
      <c r="M1268" t="inlineStr">
        <is>
          <t>lead_slow</t>
        </is>
      </c>
      <c r="N1268" t="inlineStr">
        <is>
          <t>Slow lead lists and pipeline board</t>
        </is>
      </c>
      <c r="O1268" t="inlineStr">
        <is>
          <t>2026-08</t>
        </is>
      </c>
    </row>
    <row r="1269">
      <c r="A1269" t="inlineStr">
        <is>
          <t>FB-01268</t>
        </is>
      </c>
      <c r="B1269" t="inlineStr">
        <is>
          <t>CUST-0132</t>
        </is>
      </c>
      <c r="C1269" s="11" t="n">
        <v>46250</v>
      </c>
      <c r="D1269" t="inlineStr">
        <is>
          <t>Customer Survey</t>
        </is>
      </c>
      <c r="E1269" t="inlineStr">
        <is>
          <t>Starter</t>
        </is>
      </c>
      <c r="F1269" t="inlineStr">
        <is>
          <t>SMB</t>
        </is>
      </c>
      <c r="G1269" t="inlineStr">
        <is>
          <t>Reporting</t>
        </is>
      </c>
      <c r="H1269" t="inlineStr">
        <is>
          <t>Feature Request</t>
        </is>
      </c>
      <c r="I1269" t="inlineStr">
        <is>
          <t>Please add quota tracking; managers keep a separate spreadsheet. It affects our weekly pipeline review process every cycle. Let us know if you need examples.</t>
        </is>
      </c>
      <c r="J1269" t="inlineStr">
        <is>
          <t>Neutral</t>
        </is>
      </c>
      <c r="K1269" t="inlineStr">
        <is>
          <t>High</t>
        </is>
      </c>
      <c r="L1269" t="inlineStr">
        <is>
          <t>Workflow Slowdown</t>
        </is>
      </c>
      <c r="M1269" t="inlineStr">
        <is>
          <t>rep_forecast</t>
        </is>
      </c>
      <c r="N1269" t="inlineStr">
        <is>
          <t>Sales forecasting</t>
        </is>
      </c>
      <c r="O1269" t="inlineStr">
        <is>
          <t>2026-08</t>
        </is>
      </c>
    </row>
    <row r="1270">
      <c r="A1270" t="inlineStr">
        <is>
          <t>FB-01269</t>
        </is>
      </c>
      <c r="B1270" t="inlineStr">
        <is>
          <t>CUST-0080</t>
        </is>
      </c>
      <c r="C1270" s="11" t="n">
        <v>46250</v>
      </c>
      <c r="D1270" t="inlineStr">
        <is>
          <t>Support Ticket</t>
        </is>
      </c>
      <c r="E1270" t="inlineStr">
        <is>
          <t>Professional</t>
        </is>
      </c>
      <c r="F1270" t="inlineStr">
        <is>
          <t>Mid-Market</t>
        </is>
      </c>
      <c r="G1270" t="inlineStr">
        <is>
          <t>Contact Management</t>
        </is>
      </c>
      <c r="H1270" t="inlineStr">
        <is>
          <t>Feature Request</t>
        </is>
      </c>
      <c r="I1270" t="inlineStr">
        <is>
          <t>Recent updates have been a nice improvement. A bulk contact merge that keeps activity history would save our ops team hours.</t>
        </is>
      </c>
      <c r="J1270" t="inlineStr">
        <is>
          <t>Positive</t>
        </is>
      </c>
      <c r="K1270" t="inlineStr">
        <is>
          <t>High</t>
        </is>
      </c>
      <c r="L1270" t="inlineStr">
        <is>
          <t>Blocks Key Task</t>
        </is>
      </c>
      <c r="M1270" t="inlineStr">
        <is>
          <t>contact_dedupe</t>
        </is>
      </c>
      <c r="N1270" t="inlineStr">
        <is>
          <t>Bulk contact merge</t>
        </is>
      </c>
      <c r="O1270" t="inlineStr">
        <is>
          <t>2026-08</t>
        </is>
      </c>
    </row>
    <row r="1271">
      <c r="A1271" t="inlineStr">
        <is>
          <t>FB-01270</t>
        </is>
      </c>
      <c r="B1271" t="inlineStr">
        <is>
          <t>CUST-0048</t>
        </is>
      </c>
      <c r="C1271" s="11" t="n">
        <v>46250</v>
      </c>
      <c r="D1271" t="inlineStr">
        <is>
          <t>Feature Request</t>
        </is>
      </c>
      <c r="E1271" t="inlineStr">
        <is>
          <t>Starter</t>
        </is>
      </c>
      <c r="F1271" t="inlineStr">
        <is>
          <t>SMB</t>
        </is>
      </c>
      <c r="G1271" t="inlineStr">
        <is>
          <t>Contact Management</t>
        </is>
      </c>
      <c r="H1271" t="inlineStr">
        <is>
          <t>Feature Request</t>
        </is>
      </c>
      <c r="I1271" t="inlineStr">
        <is>
          <t>Feedback from our monthly review. A bulk contact merge that keeps activity history would save our ops team hours. So far 22 people on our side have reported it. Happy to join a feedback call.</t>
        </is>
      </c>
      <c r="J1271" t="inlineStr">
        <is>
          <t>Neutral</t>
        </is>
      </c>
      <c r="K1271" t="inlineStr">
        <is>
          <t>Low</t>
        </is>
      </c>
      <c r="L1271" t="inlineStr">
        <is>
          <t>Minor Inconvenience</t>
        </is>
      </c>
      <c r="M1271" t="inlineStr">
        <is>
          <t>contact_dedupe</t>
        </is>
      </c>
      <c r="N1271" t="inlineStr">
        <is>
          <t>Bulk contact merge</t>
        </is>
      </c>
      <c r="O1271" t="inlineStr">
        <is>
          <t>2026-08</t>
        </is>
      </c>
    </row>
    <row r="1272">
      <c r="A1272" t="inlineStr">
        <is>
          <t>FB-01271</t>
        </is>
      </c>
      <c r="B1272" t="inlineStr">
        <is>
          <t>CUST-0028</t>
        </is>
      </c>
      <c r="C1272" s="11" t="n">
        <v>46250</v>
      </c>
      <c r="D1272" t="inlineStr">
        <is>
          <t>Feature Request</t>
        </is>
      </c>
      <c r="E1272" t="inlineStr">
        <is>
          <t>Enterprise</t>
        </is>
      </c>
      <c r="F1272" t="inlineStr">
        <is>
          <t>Enterprise</t>
        </is>
      </c>
      <c r="G1272" t="inlineStr">
        <is>
          <t>Workflow Automation</t>
        </is>
      </c>
      <c r="H1272" t="inlineStr">
        <is>
          <t>Feature Request</t>
        </is>
      </c>
      <c r="I1272" t="inlineStr">
        <is>
          <t>Happy with most of the product. Requesting multi-level approvals; today approvals happen over chat. Our marketing ops owner flagged it while onboarding 50 new users.</t>
        </is>
      </c>
      <c r="J1272" t="inlineStr">
        <is>
          <t>Positive</t>
        </is>
      </c>
      <c r="K1272" t="inlineStr">
        <is>
          <t>Low</t>
        </is>
      </c>
      <c r="L1272" t="inlineStr">
        <is>
          <t>Workflow Slowdown</t>
        </is>
      </c>
      <c r="M1272" t="inlineStr">
        <is>
          <t>wf_approval</t>
        </is>
      </c>
      <c r="N1272" t="inlineStr">
        <is>
          <t>Approval steps in workflows</t>
        </is>
      </c>
      <c r="O1272" t="inlineStr">
        <is>
          <t>2026-08</t>
        </is>
      </c>
    </row>
    <row r="1273">
      <c r="A1273" t="inlineStr">
        <is>
          <t>FB-01272</t>
        </is>
      </c>
      <c r="B1273" t="inlineStr">
        <is>
          <t>CUST-0157</t>
        </is>
      </c>
      <c r="C1273" s="11" t="n">
        <v>46251</v>
      </c>
      <c r="D1273" t="inlineStr">
        <is>
          <t>Support Ticket</t>
        </is>
      </c>
      <c r="E1273" t="inlineStr">
        <is>
          <t>Starter</t>
        </is>
      </c>
      <c r="F1273" t="inlineStr">
        <is>
          <t>SMB</t>
        </is>
      </c>
      <c r="G1273" t="inlineStr">
        <is>
          <t>Reporting</t>
        </is>
      </c>
      <c r="H1273" t="inlineStr">
        <is>
          <t>Performance Issue</t>
        </is>
      </c>
      <c r="I1273" t="inlineStr">
        <is>
          <t>Raising this again after our last business review. The report load time is painfully slow with a full year of data. We estimate we lose roughly 22 hours a month on this. We need a fix before renewal.</t>
        </is>
      </c>
      <c r="J1273" t="inlineStr">
        <is>
          <t>Negative</t>
        </is>
      </c>
      <c r="K1273" t="inlineStr">
        <is>
          <t>High</t>
        </is>
      </c>
      <c r="L1273" t="inlineStr">
        <is>
          <t>Blocks Key Task</t>
        </is>
      </c>
      <c r="M1273" t="inlineStr">
        <is>
          <t>rep_slow</t>
        </is>
      </c>
      <c r="N1273" t="inlineStr">
        <is>
          <t>Slow dashboards</t>
        </is>
      </c>
      <c r="O1273" t="inlineStr">
        <is>
          <t>2026-08</t>
        </is>
      </c>
    </row>
    <row r="1274">
      <c r="A1274" t="inlineStr">
        <is>
          <t>FB-01273</t>
        </is>
      </c>
      <c r="B1274" t="inlineStr">
        <is>
          <t>CUST-0098</t>
        </is>
      </c>
      <c r="C1274" s="11" t="n">
        <v>46251</v>
      </c>
      <c r="D1274" t="inlineStr">
        <is>
          <t>Customer Survey</t>
        </is>
      </c>
      <c r="E1274" t="inlineStr">
        <is>
          <t>Professional</t>
        </is>
      </c>
      <c r="F1274" t="inlineStr">
        <is>
          <t>Enterprise</t>
        </is>
      </c>
      <c r="G1274" t="inlineStr">
        <is>
          <t>Workflow Automation</t>
        </is>
      </c>
      <c r="H1274" t="inlineStr">
        <is>
          <t>Usability Issue</t>
        </is>
      </c>
      <c r="I1274" t="inlineStr">
        <is>
          <t>Raising this again after our last business review. I can't tell what a branch does in the automation canvas without opening every node. We estimate we lose roughly 28 hours a month on this. Support suggested logging it here.</t>
        </is>
      </c>
      <c r="J1274" t="inlineStr">
        <is>
          <t>Negative</t>
        </is>
      </c>
      <c r="K1274" t="inlineStr">
        <is>
          <t>Low</t>
        </is>
      </c>
      <c r="L1274" t="inlineStr">
        <is>
          <t>Workflow Slowdown</t>
        </is>
      </c>
      <c r="M1274" t="inlineStr">
        <is>
          <t>wf_builder</t>
        </is>
      </c>
      <c r="N1274" t="inlineStr">
        <is>
          <t>Confusing workflow builder</t>
        </is>
      </c>
      <c r="O1274" t="inlineStr">
        <is>
          <t>2026-08</t>
        </is>
      </c>
    </row>
    <row r="1275">
      <c r="A1275" t="inlineStr">
        <is>
          <t>FB-01274</t>
        </is>
      </c>
      <c r="B1275" t="inlineStr">
        <is>
          <t>CUST-0117</t>
        </is>
      </c>
      <c r="C1275" s="11" t="n">
        <v>46252</v>
      </c>
      <c r="D1275" t="inlineStr">
        <is>
          <t>Support Ticket</t>
        </is>
      </c>
      <c r="E1275" t="inlineStr">
        <is>
          <t>Professional</t>
        </is>
      </c>
      <c r="F1275" t="inlineStr">
        <is>
          <t>Mid-Market</t>
        </is>
      </c>
      <c r="G1275" t="inlineStr">
        <is>
          <t>Reporting</t>
        </is>
      </c>
      <c r="H1275" t="inlineStr">
        <is>
          <t>Performance Issue</t>
        </is>
      </c>
      <c r="I1275" t="inlineStr">
        <is>
          <t>Feedback from our monthly review. The dashboard loading is painfully slow with a full year of data. Let us know if you need examples.</t>
        </is>
      </c>
      <c r="J1275" t="inlineStr">
        <is>
          <t>Neutral</t>
        </is>
      </c>
      <c r="K1275" t="inlineStr">
        <is>
          <t>Medium</t>
        </is>
      </c>
      <c r="L1275" t="inlineStr">
        <is>
          <t>Revenue/Operations Risk</t>
        </is>
      </c>
      <c r="M1275" t="inlineStr">
        <is>
          <t>rep_slow</t>
        </is>
      </c>
      <c r="N1275" t="inlineStr">
        <is>
          <t>Slow dashboards</t>
        </is>
      </c>
      <c r="O1275" t="inlineStr">
        <is>
          <t>2026-08</t>
        </is>
      </c>
    </row>
    <row r="1276">
      <c r="A1276" t="inlineStr">
        <is>
          <t>FB-01275</t>
        </is>
      </c>
      <c r="B1276" t="inlineStr">
        <is>
          <t>CUST-0015</t>
        </is>
      </c>
      <c r="C1276" s="11" t="n">
        <v>46252</v>
      </c>
      <c r="D1276" t="inlineStr">
        <is>
          <t>In-App Feedback</t>
        </is>
      </c>
      <c r="E1276" t="inlineStr">
        <is>
          <t>Professional</t>
        </is>
      </c>
      <c r="F1276" t="inlineStr">
        <is>
          <t>Mid-Market</t>
        </is>
      </c>
      <c r="G1276" t="inlineStr">
        <is>
          <t>User Interface</t>
        </is>
      </c>
      <c r="H1276" t="inlineStr">
        <is>
          <t>Performance Issue</t>
        </is>
      </c>
      <c r="I1276" t="inlineStr">
        <is>
          <t>Escalating on behalf of our ops lead. Page lag makes data entry frustrating during live calls. It affects our quarterly planning process every cycle. Please look into it soon.</t>
        </is>
      </c>
      <c r="J1276" t="inlineStr">
        <is>
          <t>Negative</t>
        </is>
      </c>
      <c r="K1276" t="inlineStr">
        <is>
          <t>High</t>
        </is>
      </c>
      <c r="L1276" t="inlineStr">
        <is>
          <t>Blocks Key Task</t>
        </is>
      </c>
      <c r="M1276" t="inlineStr">
        <is>
          <t>ui_perf</t>
        </is>
      </c>
      <c r="N1276" t="inlineStr">
        <is>
          <t>Laggy pages</t>
        </is>
      </c>
      <c r="O1276" t="inlineStr">
        <is>
          <t>2026-08</t>
        </is>
      </c>
    </row>
    <row r="1277">
      <c r="A1277" t="inlineStr">
        <is>
          <t>FB-01276</t>
        </is>
      </c>
      <c r="B1277" t="inlineStr">
        <is>
          <t>CUST-0020</t>
        </is>
      </c>
      <c r="C1277" s="11" t="n">
        <v>46252</v>
      </c>
      <c r="D1277" t="inlineStr">
        <is>
          <t>In-App Feedback</t>
        </is>
      </c>
      <c r="E1277" t="inlineStr">
        <is>
          <t>Starter</t>
        </is>
      </c>
      <c r="F1277" t="inlineStr">
        <is>
          <t>SMB</t>
        </is>
      </c>
      <c r="G1277" t="inlineStr">
        <is>
          <t>Contact Management</t>
        </is>
      </c>
      <c r="H1277" t="inlineStr">
        <is>
          <t>Bug</t>
        </is>
      </c>
      <c r="I1277" t="inlineStr">
        <is>
          <t>Raising this again after our last business review. Our spreadsheet import scrambles phone and email columns even after we map them correctly. It happens about 20 times a week for our team of 73. Support suggested logging it here.</t>
        </is>
      </c>
      <c r="J1277" t="inlineStr">
        <is>
          <t>Negative</t>
        </is>
      </c>
      <c r="K1277" t="inlineStr">
        <is>
          <t>Medium</t>
        </is>
      </c>
      <c r="L1277" t="inlineStr">
        <is>
          <t>Minor Inconvenience</t>
        </is>
      </c>
      <c r="M1277" t="inlineStr">
        <is>
          <t>contact_import</t>
        </is>
      </c>
      <c r="N1277" t="inlineStr">
        <is>
          <t>Unreliable contact imports</t>
        </is>
      </c>
      <c r="O1277" t="inlineStr">
        <is>
          <t>2026-08</t>
        </is>
      </c>
    </row>
    <row r="1278">
      <c r="A1278" t="inlineStr">
        <is>
          <t>FB-01277</t>
        </is>
      </c>
      <c r="B1278" t="inlineStr">
        <is>
          <t>CUST-0185</t>
        </is>
      </c>
      <c r="C1278" s="11" t="n">
        <v>46253</v>
      </c>
      <c r="D1278" t="inlineStr">
        <is>
          <t>Feature Request</t>
        </is>
      </c>
      <c r="E1278" t="inlineStr">
        <is>
          <t>Professional</t>
        </is>
      </c>
      <c r="F1278" t="inlineStr">
        <is>
          <t>Mid-Market</t>
        </is>
      </c>
      <c r="G1278" t="inlineStr">
        <is>
          <t>User Interface</t>
        </is>
      </c>
      <c r="H1278" t="inlineStr">
        <is>
          <t>Feature Request</t>
        </is>
      </c>
      <c r="I1278" t="inlineStr">
        <is>
          <t>Recent updates have been a nice improvement. We lose notes whenever reps are away from a desk without offline mobile access. Thanks to the team.</t>
        </is>
      </c>
      <c r="J1278" t="inlineStr">
        <is>
          <t>Positive</t>
        </is>
      </c>
      <c r="K1278" t="inlineStr">
        <is>
          <t>Low</t>
        </is>
      </c>
      <c r="L1278" t="inlineStr">
        <is>
          <t>Minor Inconvenience</t>
        </is>
      </c>
      <c r="M1278" t="inlineStr">
        <is>
          <t>ui_mobile</t>
        </is>
      </c>
      <c r="N1278" t="inlineStr">
        <is>
          <t>Mobile app</t>
        </is>
      </c>
      <c r="O1278" t="inlineStr">
        <is>
          <t>2026-08</t>
        </is>
      </c>
    </row>
    <row r="1279">
      <c r="A1279" t="inlineStr">
        <is>
          <t>FB-01278</t>
        </is>
      </c>
      <c r="B1279" t="inlineStr">
        <is>
          <t>CUST-0287</t>
        </is>
      </c>
      <c r="C1279" s="11" t="n">
        <v>46253</v>
      </c>
      <c r="D1279" t="inlineStr">
        <is>
          <t>Support Ticket</t>
        </is>
      </c>
      <c r="E1279" t="inlineStr">
        <is>
          <t>Professional</t>
        </is>
      </c>
      <c r="F1279" t="inlineStr">
        <is>
          <t>Mid-Market</t>
        </is>
      </c>
      <c r="G1279" t="inlineStr">
        <is>
          <t>Lead Management</t>
        </is>
      </c>
      <c r="H1279" t="inlineStr">
        <is>
          <t>Bug</t>
        </is>
      </c>
      <c r="I1279" t="inlineStr">
        <is>
          <t>Noting this during onboarding. Web form submissions keep creating lead de-duplication failures, and reps end up calling the same prospect twice. So far 29 people on our side have reported it.</t>
        </is>
      </c>
      <c r="J1279" t="inlineStr">
        <is>
          <t>Neutral</t>
        </is>
      </c>
      <c r="K1279" t="inlineStr">
        <is>
          <t>Critical</t>
        </is>
      </c>
      <c r="L1279" t="inlineStr">
        <is>
          <t>Revenue/Operations Risk</t>
        </is>
      </c>
      <c r="M1279" t="inlineStr">
        <is>
          <t>lead_dup</t>
        </is>
      </c>
      <c r="N1279" t="inlineStr">
        <is>
          <t>Duplicate leads created</t>
        </is>
      </c>
      <c r="O1279" t="inlineStr">
        <is>
          <t>2026-08</t>
        </is>
      </c>
    </row>
    <row r="1280">
      <c r="A1280" t="inlineStr">
        <is>
          <t>FB-01279</t>
        </is>
      </c>
      <c r="B1280" t="inlineStr">
        <is>
          <t>CUST-0099</t>
        </is>
      </c>
      <c r="C1280" s="11" t="n">
        <v>46254</v>
      </c>
      <c r="D1280" t="inlineStr">
        <is>
          <t>Customer Survey</t>
        </is>
      </c>
      <c r="E1280" t="inlineStr">
        <is>
          <t>Starter</t>
        </is>
      </c>
      <c r="F1280" t="inlineStr">
        <is>
          <t>Mid-Market</t>
        </is>
      </c>
      <c r="G1280" t="inlineStr">
        <is>
          <t>Integrations</t>
        </is>
      </c>
      <c r="H1280" t="inlineStr">
        <is>
          <t>Integration Issue</t>
        </is>
      </c>
      <c r="I1280" t="inlineStr">
        <is>
          <t>Quick note from our admin. Our email sync keeps disconnecting and activities are missing from the contact timeline. It happens about 34 times a week for our team of 28.</t>
        </is>
      </c>
      <c r="J1280" t="inlineStr">
        <is>
          <t>Neutral</t>
        </is>
      </c>
      <c r="K1280" t="inlineStr">
        <is>
          <t>Medium</t>
        </is>
      </c>
      <c r="L1280" t="inlineStr">
        <is>
          <t>Workflow Slowdown</t>
        </is>
      </c>
      <c r="M1280" t="inlineStr">
        <is>
          <t>int_email</t>
        </is>
      </c>
      <c r="N1280" t="inlineStr">
        <is>
          <t>Email and calendar sync drops</t>
        </is>
      </c>
      <c r="O1280" t="inlineStr">
        <is>
          <t>2026-08</t>
        </is>
      </c>
    </row>
    <row r="1281">
      <c r="A1281" t="inlineStr">
        <is>
          <t>FB-01280</t>
        </is>
      </c>
      <c r="B1281" t="inlineStr">
        <is>
          <t>CUST-0025</t>
        </is>
      </c>
      <c r="C1281" s="11" t="n">
        <v>46254</v>
      </c>
      <c r="D1281" t="inlineStr">
        <is>
          <t>Support Ticket</t>
        </is>
      </c>
      <c r="E1281" t="inlineStr">
        <is>
          <t>Enterprise</t>
        </is>
      </c>
      <c r="F1281" t="inlineStr">
        <is>
          <t>Enterprise</t>
        </is>
      </c>
      <c r="G1281" t="inlineStr">
        <is>
          <t>Contact Management</t>
        </is>
      </c>
      <c r="H1281" t="inlineStr">
        <is>
          <t>Bug</t>
        </is>
      </c>
      <c r="I1281" t="inlineStr">
        <is>
          <t>The contact CSV import rejects files with accented characters in names. So far 103 people on our side have reported it. Support suggested logging it here.</t>
        </is>
      </c>
      <c r="J1281" t="inlineStr">
        <is>
          <t>Negative</t>
        </is>
      </c>
      <c r="K1281" t="inlineStr">
        <is>
          <t>Critical</t>
        </is>
      </c>
      <c r="L1281" t="inlineStr">
        <is>
          <t>Revenue/Operations Risk</t>
        </is>
      </c>
      <c r="M1281" t="inlineStr">
        <is>
          <t>contact_import</t>
        </is>
      </c>
      <c r="N1281" t="inlineStr">
        <is>
          <t>Unreliable contact imports</t>
        </is>
      </c>
      <c r="O1281" t="inlineStr">
        <is>
          <t>2026-08</t>
        </is>
      </c>
    </row>
    <row r="1282">
      <c r="A1282" t="inlineStr">
        <is>
          <t>FB-01281</t>
        </is>
      </c>
      <c r="B1282" t="inlineStr">
        <is>
          <t>CUST-0206</t>
        </is>
      </c>
      <c r="C1282" s="11" t="n">
        <v>46254</v>
      </c>
      <c r="D1282" t="inlineStr">
        <is>
          <t>In-App Feedback</t>
        </is>
      </c>
      <c r="E1282" t="inlineStr">
        <is>
          <t>Professional</t>
        </is>
      </c>
      <c r="F1282" t="inlineStr">
        <is>
          <t>Mid-Market</t>
        </is>
      </c>
      <c r="G1282" t="inlineStr">
        <is>
          <t>Integrations</t>
        </is>
      </c>
      <c r="H1282" t="inlineStr">
        <is>
          <t>Feature Request</t>
        </is>
      </c>
      <c r="I1282" t="inlineStr">
        <is>
          <t>Quick note from our admin. Lack of a native accounting integration is a gap versus other CRMs we evaluated. It happens about 26 times a week for our team of 47.</t>
        </is>
      </c>
      <c r="J1282" t="inlineStr">
        <is>
          <t>Neutral</t>
        </is>
      </c>
      <c r="K1282" t="inlineStr">
        <is>
          <t>Low</t>
        </is>
      </c>
      <c r="L1282" t="inlineStr">
        <is>
          <t>Minor Inconvenience</t>
        </is>
      </c>
      <c r="M1282" t="inlineStr">
        <is>
          <t>int_native</t>
        </is>
      </c>
      <c r="N1282" t="inlineStr">
        <is>
          <t>Native integrations</t>
        </is>
      </c>
      <c r="O1282" t="inlineStr">
        <is>
          <t>2026-08</t>
        </is>
      </c>
    </row>
    <row r="1283">
      <c r="A1283" t="inlineStr">
        <is>
          <t>FB-01282</t>
        </is>
      </c>
      <c r="B1283" t="inlineStr">
        <is>
          <t>CUST-0229</t>
        </is>
      </c>
      <c r="C1283" s="11" t="n">
        <v>46254</v>
      </c>
      <c r="D1283" t="inlineStr">
        <is>
          <t>Feature Request</t>
        </is>
      </c>
      <c r="E1283" t="inlineStr">
        <is>
          <t>Starter</t>
        </is>
      </c>
      <c r="F1283" t="inlineStr">
        <is>
          <t>Mid-Market</t>
        </is>
      </c>
      <c r="G1283" t="inlineStr">
        <is>
          <t>Lead Management</t>
        </is>
      </c>
      <c r="H1283" t="inlineStr">
        <is>
          <t>Feature Request</t>
        </is>
      </c>
      <c r="I1283" t="inlineStr">
        <is>
          <t>Quick note from our admin. Would love to see a lead score model that marketing and sales can both tune. It happens about 18 times a week for our team of 73. Happy to join a feedback call.</t>
        </is>
      </c>
      <c r="J1283" t="inlineStr">
        <is>
          <t>Neutral</t>
        </is>
      </c>
      <c r="K1283" t="inlineStr">
        <is>
          <t>Low</t>
        </is>
      </c>
      <c r="L1283" t="inlineStr">
        <is>
          <t>Workflow Slowdown</t>
        </is>
      </c>
      <c r="M1283" t="inlineStr">
        <is>
          <t>lead_score</t>
        </is>
      </c>
      <c r="N1283" t="inlineStr">
        <is>
          <t>Automated lead scoring</t>
        </is>
      </c>
      <c r="O1283" t="inlineStr">
        <is>
          <t>2026-08</t>
        </is>
      </c>
    </row>
    <row r="1284">
      <c r="A1284" t="inlineStr">
        <is>
          <t>FB-01283</t>
        </is>
      </c>
      <c r="B1284" t="inlineStr">
        <is>
          <t>CUST-0091</t>
        </is>
      </c>
      <c r="C1284" s="11" t="n">
        <v>46254</v>
      </c>
      <c r="D1284" t="inlineStr">
        <is>
          <t>Feature Request</t>
        </is>
      </c>
      <c r="E1284" t="inlineStr">
        <is>
          <t>Professional</t>
        </is>
      </c>
      <c r="F1284" t="inlineStr">
        <is>
          <t>SMB</t>
        </is>
      </c>
      <c r="G1284" t="inlineStr">
        <is>
          <t>Reporting</t>
        </is>
      </c>
      <c r="H1284" t="inlineStr">
        <is>
          <t>Feature Request</t>
        </is>
      </c>
      <c r="I1284" t="inlineStr">
        <is>
          <t>Please add forecast rollups; managers keep a separate spreadsheet. It affects our weekly pipeline review process every cycle.</t>
        </is>
      </c>
      <c r="J1284" t="inlineStr">
        <is>
          <t>Positive</t>
        </is>
      </c>
      <c r="K1284" t="inlineStr">
        <is>
          <t>Low</t>
        </is>
      </c>
      <c r="L1284" t="inlineStr">
        <is>
          <t>Minor Inconvenience</t>
        </is>
      </c>
      <c r="M1284" t="inlineStr">
        <is>
          <t>rep_forecast</t>
        </is>
      </c>
      <c r="N1284" t="inlineStr">
        <is>
          <t>Sales forecasting</t>
        </is>
      </c>
      <c r="O1284" t="inlineStr">
        <is>
          <t>2026-08</t>
        </is>
      </c>
    </row>
    <row r="1285">
      <c r="A1285" t="inlineStr">
        <is>
          <t>FB-01284</t>
        </is>
      </c>
      <c r="B1285" t="inlineStr">
        <is>
          <t>CUST-0082</t>
        </is>
      </c>
      <c r="C1285" s="11" t="n">
        <v>46254</v>
      </c>
      <c r="D1285" t="inlineStr">
        <is>
          <t>Feature Request</t>
        </is>
      </c>
      <c r="E1285" t="inlineStr">
        <is>
          <t>Starter</t>
        </is>
      </c>
      <c r="F1285" t="inlineStr">
        <is>
          <t>SMB</t>
        </is>
      </c>
      <c r="G1285" t="inlineStr">
        <is>
          <t>Contact Management</t>
        </is>
      </c>
      <c r="H1285" t="inlineStr">
        <is>
          <t>Feature Request</t>
        </is>
      </c>
      <c r="I1285" t="inlineStr">
        <is>
          <t>Recent updates have been a nice improvement. We need a tool to merge duplicate contacts because our database has years of overlapping records. Keep up the good work.</t>
        </is>
      </c>
      <c r="J1285" t="inlineStr">
        <is>
          <t>Positive</t>
        </is>
      </c>
      <c r="K1285" t="inlineStr">
        <is>
          <t>Low</t>
        </is>
      </c>
      <c r="L1285" t="inlineStr">
        <is>
          <t>Minor Inconvenience</t>
        </is>
      </c>
      <c r="M1285" t="inlineStr">
        <is>
          <t>contact_dedupe</t>
        </is>
      </c>
      <c r="N1285" t="inlineStr">
        <is>
          <t>Bulk contact merge</t>
        </is>
      </c>
      <c r="O1285" t="inlineStr">
        <is>
          <t>2026-08</t>
        </is>
      </c>
    </row>
    <row r="1286">
      <c r="A1286" t="inlineStr">
        <is>
          <t>FB-01285</t>
        </is>
      </c>
      <c r="B1286" t="inlineStr">
        <is>
          <t>CUST-0006</t>
        </is>
      </c>
      <c r="C1286" s="11" t="n">
        <v>46254</v>
      </c>
      <c r="D1286" t="inlineStr">
        <is>
          <t>In-App Feedback</t>
        </is>
      </c>
      <c r="E1286" t="inlineStr">
        <is>
          <t>Starter</t>
        </is>
      </c>
      <c r="F1286" t="inlineStr">
        <is>
          <t>Mid-Market</t>
        </is>
      </c>
      <c r="G1286" t="inlineStr">
        <is>
          <t>Contact Management</t>
        </is>
      </c>
      <c r="H1286" t="inlineStr">
        <is>
          <t>Performance Issue</t>
        </is>
      </c>
      <c r="I1286" t="inlineStr">
        <is>
          <t>The contact list filtering times out on our largest accounts. So far 12 people on our side have reported it. Is there a workaround?</t>
        </is>
      </c>
      <c r="J1286" t="inlineStr">
        <is>
          <t>Negative</t>
        </is>
      </c>
      <c r="K1286" t="inlineStr">
        <is>
          <t>Critical</t>
        </is>
      </c>
      <c r="L1286" t="inlineStr">
        <is>
          <t>Workflow Slowdown</t>
        </is>
      </c>
      <c r="M1286" t="inlineStr">
        <is>
          <t>contact_search</t>
        </is>
      </c>
      <c r="N1286" t="inlineStr">
        <is>
          <t>Slow contact search</t>
        </is>
      </c>
      <c r="O1286" t="inlineStr">
        <is>
          <t>2026-08</t>
        </is>
      </c>
    </row>
    <row r="1287">
      <c r="A1287" t="inlineStr">
        <is>
          <t>FB-01286</t>
        </is>
      </c>
      <c r="B1287" t="inlineStr">
        <is>
          <t>CUST-0398</t>
        </is>
      </c>
      <c r="C1287" s="11" t="n">
        <v>46255</v>
      </c>
      <c r="D1287" t="inlineStr">
        <is>
          <t>Customer Survey</t>
        </is>
      </c>
      <c r="E1287" t="inlineStr">
        <is>
          <t>Enterprise</t>
        </is>
      </c>
      <c r="F1287" t="inlineStr">
        <is>
          <t>Enterprise</t>
        </is>
      </c>
      <c r="G1287" t="inlineStr">
        <is>
          <t>Lead Management</t>
        </is>
      </c>
      <c r="H1287" t="inlineStr">
        <is>
          <t>Usability Issue</t>
        </is>
      </c>
      <c r="I1287" t="inlineStr">
        <is>
          <t>Happy with most of the product. We can't combine region and deal size in the lead routing rules. Happy to beta test.</t>
        </is>
      </c>
      <c r="J1287" t="inlineStr">
        <is>
          <t>Positive</t>
        </is>
      </c>
      <c r="K1287" t="inlineStr">
        <is>
          <t>High</t>
        </is>
      </c>
      <c r="L1287" t="inlineStr">
        <is>
          <t>Blocks Key Task</t>
        </is>
      </c>
      <c r="M1287" t="inlineStr">
        <is>
          <t>lead_assign</t>
        </is>
      </c>
      <c r="N1287" t="inlineStr">
        <is>
          <t>Lead routing is inflexible</t>
        </is>
      </c>
      <c r="O1287" t="inlineStr">
        <is>
          <t>2026-08</t>
        </is>
      </c>
    </row>
    <row r="1288">
      <c r="A1288" t="inlineStr">
        <is>
          <t>FB-01287</t>
        </is>
      </c>
      <c r="B1288" t="inlineStr">
        <is>
          <t>CUST-0370</t>
        </is>
      </c>
      <c r="C1288" s="11" t="n">
        <v>46255</v>
      </c>
      <c r="D1288" t="inlineStr">
        <is>
          <t>Feature Request</t>
        </is>
      </c>
      <c r="E1288" t="inlineStr">
        <is>
          <t>Starter</t>
        </is>
      </c>
      <c r="F1288" t="inlineStr">
        <is>
          <t>SMB</t>
        </is>
      </c>
      <c r="G1288" t="inlineStr">
        <is>
          <t>Lead Management</t>
        </is>
      </c>
      <c r="H1288" t="inlineStr">
        <is>
          <t>Feature Request</t>
        </is>
      </c>
      <c r="I1288" t="inlineStr">
        <is>
          <t>FYI for the product team. Right now reps rank leads by gut feel; automated lead scoring would fix that. It affects our lead handoff process every cycle.</t>
        </is>
      </c>
      <c r="J1288" t="inlineStr">
        <is>
          <t>Neutral</t>
        </is>
      </c>
      <c r="K1288" t="inlineStr">
        <is>
          <t>Low</t>
        </is>
      </c>
      <c r="L1288" t="inlineStr">
        <is>
          <t>Minor Inconvenience</t>
        </is>
      </c>
      <c r="M1288" t="inlineStr">
        <is>
          <t>lead_score</t>
        </is>
      </c>
      <c r="N1288" t="inlineStr">
        <is>
          <t>Automated lead scoring</t>
        </is>
      </c>
      <c r="O1288" t="inlineStr">
        <is>
          <t>2026-08</t>
        </is>
      </c>
    </row>
    <row r="1289">
      <c r="A1289" t="inlineStr">
        <is>
          <t>FB-01288</t>
        </is>
      </c>
      <c r="B1289" t="inlineStr">
        <is>
          <t>CUST-0203</t>
        </is>
      </c>
      <c r="C1289" s="11" t="n">
        <v>46255</v>
      </c>
      <c r="D1289" t="inlineStr">
        <is>
          <t>Support Ticket</t>
        </is>
      </c>
      <c r="E1289" t="inlineStr">
        <is>
          <t>Professional</t>
        </is>
      </c>
      <c r="F1289" t="inlineStr">
        <is>
          <t>Mid-Market</t>
        </is>
      </c>
      <c r="G1289" t="inlineStr">
        <is>
          <t>Reporting</t>
        </is>
      </c>
      <c r="H1289" t="inlineStr">
        <is>
          <t>Bug</t>
        </is>
      </c>
      <c r="I1289" t="inlineStr">
        <is>
          <t>Noting this during onboarding. The Excel export cuts off rows after a few thousand records.</t>
        </is>
      </c>
      <c r="J1289" t="inlineStr">
        <is>
          <t>Neutral</t>
        </is>
      </c>
      <c r="K1289" t="inlineStr">
        <is>
          <t>Medium</t>
        </is>
      </c>
      <c r="L1289" t="inlineStr">
        <is>
          <t>Workflow Slowdown</t>
        </is>
      </c>
      <c r="M1289" t="inlineStr">
        <is>
          <t>rep_export</t>
        </is>
      </c>
      <c r="N1289" t="inlineStr">
        <is>
          <t>Broken report exports</t>
        </is>
      </c>
      <c r="O1289" t="inlineStr">
        <is>
          <t>2026-08</t>
        </is>
      </c>
    </row>
    <row r="1290">
      <c r="A1290" t="inlineStr">
        <is>
          <t>FB-01289</t>
        </is>
      </c>
      <c r="B1290" t="inlineStr">
        <is>
          <t>CUST-0338</t>
        </is>
      </c>
      <c r="C1290" s="11" t="n">
        <v>46255</v>
      </c>
      <c r="D1290" t="inlineStr">
        <is>
          <t>Customer Survey</t>
        </is>
      </c>
      <c r="E1290" t="inlineStr">
        <is>
          <t>Professional</t>
        </is>
      </c>
      <c r="F1290" t="inlineStr">
        <is>
          <t>Mid-Market</t>
        </is>
      </c>
      <c r="G1290" t="inlineStr">
        <is>
          <t>Contact Management</t>
        </is>
      </c>
      <c r="H1290" t="inlineStr">
        <is>
          <t>Bug</t>
        </is>
      </c>
      <c r="I1290" t="inlineStr">
        <is>
          <t>Not what we expected for the price. The import field mapping silently skipped rows and we only noticed days later. Our sales manager flagged it while onboarding 65 new users. Please look into it soon.</t>
        </is>
      </c>
      <c r="J1290" t="inlineStr">
        <is>
          <t>Negative</t>
        </is>
      </c>
      <c r="K1290" t="inlineStr">
        <is>
          <t>Low</t>
        </is>
      </c>
      <c r="L1290" t="inlineStr">
        <is>
          <t>Minor Inconvenience</t>
        </is>
      </c>
      <c r="M1290" t="inlineStr">
        <is>
          <t>contact_import</t>
        </is>
      </c>
      <c r="N1290" t="inlineStr">
        <is>
          <t>Unreliable contact imports</t>
        </is>
      </c>
      <c r="O1290" t="inlineStr">
        <is>
          <t>2026-08</t>
        </is>
      </c>
    </row>
    <row r="1291">
      <c r="A1291" t="inlineStr">
        <is>
          <t>FB-01290</t>
        </is>
      </c>
      <c r="B1291" t="inlineStr">
        <is>
          <t>CUST-0055</t>
        </is>
      </c>
      <c r="C1291" s="11" t="n">
        <v>46255</v>
      </c>
      <c r="D1291" t="inlineStr">
        <is>
          <t>Customer Survey</t>
        </is>
      </c>
      <c r="E1291" t="inlineStr">
        <is>
          <t>Professional</t>
        </is>
      </c>
      <c r="F1291" t="inlineStr">
        <is>
          <t>Mid-Market</t>
        </is>
      </c>
      <c r="G1291" t="inlineStr">
        <is>
          <t>Integrations</t>
        </is>
      </c>
      <c r="H1291" t="inlineStr">
        <is>
          <t>Integration Issue</t>
        </is>
      </c>
      <c r="I1291" t="inlineStr">
        <is>
          <t>Our email sync keeps disconnecting and activities are missing from the contact timeline.</t>
        </is>
      </c>
      <c r="J1291" t="inlineStr">
        <is>
          <t>Negative</t>
        </is>
      </c>
      <c r="K1291" t="inlineStr">
        <is>
          <t>Medium</t>
        </is>
      </c>
      <c r="L1291" t="inlineStr">
        <is>
          <t>Workflow Slowdown</t>
        </is>
      </c>
      <c r="M1291" t="inlineStr">
        <is>
          <t>int_email</t>
        </is>
      </c>
      <c r="N1291" t="inlineStr">
        <is>
          <t>Email and calendar sync drops</t>
        </is>
      </c>
      <c r="O1291" t="inlineStr">
        <is>
          <t>2026-08</t>
        </is>
      </c>
    </row>
    <row r="1292">
      <c r="A1292" t="inlineStr">
        <is>
          <t>FB-01291</t>
        </is>
      </c>
      <c r="B1292" t="inlineStr">
        <is>
          <t>CUST-0157</t>
        </is>
      </c>
      <c r="C1292" s="11" t="n">
        <v>46256</v>
      </c>
      <c r="D1292" t="inlineStr">
        <is>
          <t>Customer Survey</t>
        </is>
      </c>
      <c r="E1292" t="inlineStr">
        <is>
          <t>Starter</t>
        </is>
      </c>
      <c r="F1292" t="inlineStr">
        <is>
          <t>SMB</t>
        </is>
      </c>
      <c r="G1292" t="inlineStr">
        <is>
          <t>Integrations</t>
        </is>
      </c>
      <c r="H1292" t="inlineStr">
        <is>
          <t>Feature Request</t>
        </is>
      </c>
      <c r="I1292" t="inlineStr">
        <is>
          <t>Recent updates have been a nice improvement. Lack of a native accounting integration is a gap versus other CRMs we evaluated. It happens about 34 times a week for our team of 96.</t>
        </is>
      </c>
      <c r="J1292" t="inlineStr">
        <is>
          <t>Positive</t>
        </is>
      </c>
      <c r="K1292" t="inlineStr">
        <is>
          <t>Low</t>
        </is>
      </c>
      <c r="L1292" t="inlineStr">
        <is>
          <t>Minor Inconvenience</t>
        </is>
      </c>
      <c r="M1292" t="inlineStr">
        <is>
          <t>int_native</t>
        </is>
      </c>
      <c r="N1292" t="inlineStr">
        <is>
          <t>Native integrations</t>
        </is>
      </c>
      <c r="O1292" t="inlineStr">
        <is>
          <t>2026-08</t>
        </is>
      </c>
    </row>
    <row r="1293">
      <c r="A1293" t="inlineStr">
        <is>
          <t>FB-01292</t>
        </is>
      </c>
      <c r="B1293" t="inlineStr">
        <is>
          <t>CUST-0173</t>
        </is>
      </c>
      <c r="C1293" s="11" t="n">
        <v>46256</v>
      </c>
      <c r="D1293" t="inlineStr">
        <is>
          <t>Feature Request</t>
        </is>
      </c>
      <c r="E1293" t="inlineStr">
        <is>
          <t>Starter</t>
        </is>
      </c>
      <c r="F1293" t="inlineStr">
        <is>
          <t>SMB</t>
        </is>
      </c>
      <c r="G1293" t="inlineStr">
        <is>
          <t>User Interface</t>
        </is>
      </c>
      <c r="H1293" t="inlineStr">
        <is>
          <t>Feature Request</t>
        </is>
      </c>
      <c r="I1293" t="inlineStr">
        <is>
          <t>Happy with most of the product. Requesting multi-select actions across every list view.</t>
        </is>
      </c>
      <c r="J1293" t="inlineStr">
        <is>
          <t>Positive</t>
        </is>
      </c>
      <c r="K1293" t="inlineStr">
        <is>
          <t>Medium</t>
        </is>
      </c>
      <c r="L1293" t="inlineStr">
        <is>
          <t>Blocks Key Task</t>
        </is>
      </c>
      <c r="M1293" t="inlineStr">
        <is>
          <t>ui_bulk</t>
        </is>
      </c>
      <c r="N1293" t="inlineStr">
        <is>
          <t>Bulk actions</t>
        </is>
      </c>
      <c r="O1293" t="inlineStr">
        <is>
          <t>2026-08</t>
        </is>
      </c>
    </row>
    <row r="1294">
      <c r="A1294" t="inlineStr">
        <is>
          <t>FB-01293</t>
        </is>
      </c>
      <c r="B1294" t="inlineStr">
        <is>
          <t>CUST-0091</t>
        </is>
      </c>
      <c r="C1294" s="11" t="n">
        <v>46256</v>
      </c>
      <c r="D1294" t="inlineStr">
        <is>
          <t>In-App Feedback</t>
        </is>
      </c>
      <c r="E1294" t="inlineStr">
        <is>
          <t>Professional</t>
        </is>
      </c>
      <c r="F1294" t="inlineStr">
        <is>
          <t>SMB</t>
        </is>
      </c>
      <c r="G1294" t="inlineStr">
        <is>
          <t>Lead Management</t>
        </is>
      </c>
      <c r="H1294" t="inlineStr">
        <is>
          <t>Performance Issue</t>
        </is>
      </c>
      <c r="I1294" t="inlineStr">
        <is>
          <t>This has been a recurring problem for us. The pipeline board loading gets very slow once we pass a few thousand open leads. It affects our lead handoff process every cycle. Please look into it soon.</t>
        </is>
      </c>
      <c r="J1294" t="inlineStr">
        <is>
          <t>Negative</t>
        </is>
      </c>
      <c r="K1294" t="inlineStr">
        <is>
          <t>Medium</t>
        </is>
      </c>
      <c r="L1294" t="inlineStr">
        <is>
          <t>Blocks Key Task</t>
        </is>
      </c>
      <c r="M1294" t="inlineStr">
        <is>
          <t>lead_slow</t>
        </is>
      </c>
      <c r="N1294" t="inlineStr">
        <is>
          <t>Slow lead lists and pipeline board</t>
        </is>
      </c>
      <c r="O1294" t="inlineStr">
        <is>
          <t>2026-08</t>
        </is>
      </c>
    </row>
    <row r="1295">
      <c r="A1295" t="inlineStr">
        <is>
          <t>FB-01294</t>
        </is>
      </c>
      <c r="B1295" t="inlineStr">
        <is>
          <t>CUST-0372</t>
        </is>
      </c>
      <c r="C1295" s="11" t="n">
        <v>46256</v>
      </c>
      <c r="D1295" t="inlineStr">
        <is>
          <t>Feature Request</t>
        </is>
      </c>
      <c r="E1295" t="inlineStr">
        <is>
          <t>Starter</t>
        </is>
      </c>
      <c r="F1295" t="inlineStr">
        <is>
          <t>SMB</t>
        </is>
      </c>
      <c r="G1295" t="inlineStr">
        <is>
          <t>Workflow Automation</t>
        </is>
      </c>
      <c r="H1295" t="inlineStr">
        <is>
          <t>Feature Request</t>
        </is>
      </c>
      <c r="I1295" t="inlineStr">
        <is>
          <t>FYI for the product team. A library of workflow templates would cut our setup time. We estimate we lose roughly 37 hours a month on this.</t>
        </is>
      </c>
      <c r="J1295" t="inlineStr">
        <is>
          <t>Neutral</t>
        </is>
      </c>
      <c r="K1295" t="inlineStr">
        <is>
          <t>Medium</t>
        </is>
      </c>
      <c r="L1295" t="inlineStr">
        <is>
          <t>Workflow Slowdown</t>
        </is>
      </c>
      <c r="M1295" t="inlineStr">
        <is>
          <t>wf_templates</t>
        </is>
      </c>
      <c r="N1295" t="inlineStr">
        <is>
          <t>Workflow templates</t>
        </is>
      </c>
      <c r="O1295" t="inlineStr">
        <is>
          <t>2026-08</t>
        </is>
      </c>
    </row>
    <row r="1296">
      <c r="A1296" t="inlineStr">
        <is>
          <t>FB-01295</t>
        </is>
      </c>
      <c r="B1296" t="inlineStr">
        <is>
          <t>CUST-0367</t>
        </is>
      </c>
      <c r="C1296" s="11" t="n">
        <v>46256</v>
      </c>
      <c r="D1296" t="inlineStr">
        <is>
          <t>In-App Feedback</t>
        </is>
      </c>
      <c r="E1296" t="inlineStr">
        <is>
          <t>Enterprise</t>
        </is>
      </c>
      <c r="F1296" t="inlineStr">
        <is>
          <t>Mid-Market</t>
        </is>
      </c>
      <c r="G1296" t="inlineStr">
        <is>
          <t>Reporting</t>
        </is>
      </c>
      <c r="H1296" t="inlineStr">
        <is>
          <t>Performance Issue</t>
        </is>
      </c>
      <c r="I1296" t="inlineStr">
        <is>
          <t>FYI for the product team. Dashboard loading got noticeably worse over the last few months.</t>
        </is>
      </c>
      <c r="J1296" t="inlineStr">
        <is>
          <t>Neutral</t>
        </is>
      </c>
      <c r="K1296" t="inlineStr">
        <is>
          <t>Critical</t>
        </is>
      </c>
      <c r="L1296" t="inlineStr">
        <is>
          <t>Blocks Key Task</t>
        </is>
      </c>
      <c r="M1296" t="inlineStr">
        <is>
          <t>rep_slow</t>
        </is>
      </c>
      <c r="N1296" t="inlineStr">
        <is>
          <t>Slow dashboards</t>
        </is>
      </c>
      <c r="O1296" t="inlineStr">
        <is>
          <t>2026-08</t>
        </is>
      </c>
    </row>
    <row r="1297">
      <c r="A1297" t="inlineStr">
        <is>
          <t>FB-01296</t>
        </is>
      </c>
      <c r="B1297" t="inlineStr">
        <is>
          <t>CUST-0330</t>
        </is>
      </c>
      <c r="C1297" s="11" t="n">
        <v>46256</v>
      </c>
      <c r="D1297" t="inlineStr">
        <is>
          <t>Feature Request</t>
        </is>
      </c>
      <c r="E1297" t="inlineStr">
        <is>
          <t>Professional</t>
        </is>
      </c>
      <c r="F1297" t="inlineStr">
        <is>
          <t>Mid-Market</t>
        </is>
      </c>
      <c r="G1297" t="inlineStr">
        <is>
          <t>Integrations</t>
        </is>
      </c>
      <c r="H1297" t="inlineStr">
        <is>
          <t>Feature Request</t>
        </is>
      </c>
      <c r="I1297" t="inlineStr">
        <is>
          <t>Noting this during onboarding. Lack of a native accounting integration is a gap versus other CRMs we evaluated. Our sales manager flagged it while onboarding 119 new users.</t>
        </is>
      </c>
      <c r="J1297" t="inlineStr">
        <is>
          <t>Neutral</t>
        </is>
      </c>
      <c r="K1297" t="inlineStr">
        <is>
          <t>Low</t>
        </is>
      </c>
      <c r="L1297" t="inlineStr">
        <is>
          <t>Minor Inconvenience</t>
        </is>
      </c>
      <c r="M1297" t="inlineStr">
        <is>
          <t>int_native</t>
        </is>
      </c>
      <c r="N1297" t="inlineStr">
        <is>
          <t>Native integrations</t>
        </is>
      </c>
      <c r="O1297" t="inlineStr">
        <is>
          <t>2026-08</t>
        </is>
      </c>
    </row>
    <row r="1298">
      <c r="A1298" t="inlineStr">
        <is>
          <t>FB-01297</t>
        </is>
      </c>
      <c r="B1298" t="inlineStr">
        <is>
          <t>CUST-0372</t>
        </is>
      </c>
      <c r="C1298" s="11" t="n">
        <v>46256</v>
      </c>
      <c r="D1298" t="inlineStr">
        <is>
          <t>Customer Survey</t>
        </is>
      </c>
      <c r="E1298" t="inlineStr">
        <is>
          <t>Starter</t>
        </is>
      </c>
      <c r="F1298" t="inlineStr">
        <is>
          <t>SMB</t>
        </is>
      </c>
      <c r="G1298" t="inlineStr">
        <is>
          <t>Workflow Automation</t>
        </is>
      </c>
      <c r="H1298" t="inlineStr">
        <is>
          <t>Usability Issue</t>
        </is>
      </c>
      <c r="I1298" t="inlineStr">
        <is>
          <t>Raising this again after our last business review. I can't tell what a branch does in the workflow editor without opening every node. We estimate we lose roughly 50 hours a month on this.</t>
        </is>
      </c>
      <c r="J1298" t="inlineStr">
        <is>
          <t>Negative</t>
        </is>
      </c>
      <c r="K1298" t="inlineStr">
        <is>
          <t>Low</t>
        </is>
      </c>
      <c r="L1298" t="inlineStr">
        <is>
          <t>Minor Inconvenience</t>
        </is>
      </c>
      <c r="M1298" t="inlineStr">
        <is>
          <t>wf_builder</t>
        </is>
      </c>
      <c r="N1298" t="inlineStr">
        <is>
          <t>Confusing workflow builder</t>
        </is>
      </c>
      <c r="O1298" t="inlineStr">
        <is>
          <t>2026-08</t>
        </is>
      </c>
    </row>
    <row r="1299">
      <c r="A1299" t="inlineStr">
        <is>
          <t>FB-01298</t>
        </is>
      </c>
      <c r="B1299" t="inlineStr">
        <is>
          <t>CUST-0105</t>
        </is>
      </c>
      <c r="C1299" s="11" t="n">
        <v>46256</v>
      </c>
      <c r="D1299" t="inlineStr">
        <is>
          <t>In-App Feedback</t>
        </is>
      </c>
      <c r="E1299" t="inlineStr">
        <is>
          <t>Professional</t>
        </is>
      </c>
      <c r="F1299" t="inlineStr">
        <is>
          <t>Mid-Market</t>
        </is>
      </c>
      <c r="G1299" t="inlineStr">
        <is>
          <t>Workflow Automation</t>
        </is>
      </c>
      <c r="H1299" t="inlineStr">
        <is>
          <t>Usability Issue</t>
        </is>
      </c>
      <c r="I1299" t="inlineStr">
        <is>
          <t>Noting this during onboarding. Our new admins struggle with the workflow builder; there is no guidance or validation.</t>
        </is>
      </c>
      <c r="J1299" t="inlineStr">
        <is>
          <t>Neutral</t>
        </is>
      </c>
      <c r="K1299" t="inlineStr">
        <is>
          <t>Low</t>
        </is>
      </c>
      <c r="L1299" t="inlineStr">
        <is>
          <t>Minor Inconvenience</t>
        </is>
      </c>
      <c r="M1299" t="inlineStr">
        <is>
          <t>wf_builder</t>
        </is>
      </c>
      <c r="N1299" t="inlineStr">
        <is>
          <t>Confusing workflow builder</t>
        </is>
      </c>
      <c r="O1299" t="inlineStr">
        <is>
          <t>2026-08</t>
        </is>
      </c>
    </row>
    <row r="1300">
      <c r="A1300" t="inlineStr">
        <is>
          <t>FB-01299</t>
        </is>
      </c>
      <c r="B1300" t="inlineStr">
        <is>
          <t>CUST-0224</t>
        </is>
      </c>
      <c r="C1300" s="11" t="n">
        <v>46256</v>
      </c>
      <c r="D1300" t="inlineStr">
        <is>
          <t>Feature Request</t>
        </is>
      </c>
      <c r="E1300" t="inlineStr">
        <is>
          <t>Enterprise</t>
        </is>
      </c>
      <c r="F1300" t="inlineStr">
        <is>
          <t>Mid-Market</t>
        </is>
      </c>
      <c r="G1300" t="inlineStr">
        <is>
          <t>Integrations</t>
        </is>
      </c>
      <c r="H1300" t="inlineStr">
        <is>
          <t>Feature Request</t>
        </is>
      </c>
      <c r="I1300" t="inlineStr">
        <is>
          <t>Sharing this from our team. Please add SAML login; managing users by hand does not scale. We estimate we lose roughly 28 hours a month on this. Let us know if you need examples.</t>
        </is>
      </c>
      <c r="J1300" t="inlineStr">
        <is>
          <t>Neutral</t>
        </is>
      </c>
      <c r="K1300" t="inlineStr">
        <is>
          <t>Low</t>
        </is>
      </c>
      <c r="L1300" t="inlineStr">
        <is>
          <t>Minor Inconvenience</t>
        </is>
      </c>
      <c r="M1300" t="inlineStr">
        <is>
          <t>int_sso</t>
        </is>
      </c>
      <c r="N1300" t="inlineStr">
        <is>
          <t>SSO and provisioning</t>
        </is>
      </c>
      <c r="O1300" t="inlineStr">
        <is>
          <t>2026-08</t>
        </is>
      </c>
    </row>
    <row r="1301">
      <c r="A1301" t="inlineStr">
        <is>
          <t>FB-01300</t>
        </is>
      </c>
      <c r="B1301" t="inlineStr">
        <is>
          <t>CUST-0315</t>
        </is>
      </c>
      <c r="C1301" s="11" t="n">
        <v>46256</v>
      </c>
      <c r="D1301" t="inlineStr">
        <is>
          <t>Customer Survey</t>
        </is>
      </c>
      <c r="E1301" t="inlineStr">
        <is>
          <t>Professional</t>
        </is>
      </c>
      <c r="F1301" t="inlineStr">
        <is>
          <t>SMB</t>
        </is>
      </c>
      <c r="G1301" t="inlineStr">
        <is>
          <t>Lead Management</t>
        </is>
      </c>
      <c r="H1301" t="inlineStr">
        <is>
          <t>Feature Request</t>
        </is>
      </c>
      <c r="I1301" t="inlineStr">
        <is>
          <t>Noting this during onboarding. Would love to see lead scoring rules that marketing and sales can both tune. It happens about 24 times a week for our team of 91.</t>
        </is>
      </c>
      <c r="J1301" t="inlineStr">
        <is>
          <t>Neutral</t>
        </is>
      </c>
      <c r="K1301" t="inlineStr">
        <is>
          <t>Medium</t>
        </is>
      </c>
      <c r="L1301" t="inlineStr">
        <is>
          <t>Workflow Slowdown</t>
        </is>
      </c>
      <c r="M1301" t="inlineStr">
        <is>
          <t>lead_score</t>
        </is>
      </c>
      <c r="N1301" t="inlineStr">
        <is>
          <t>Automated lead scoring</t>
        </is>
      </c>
      <c r="O1301" t="inlineStr">
        <is>
          <t>2026-08</t>
        </is>
      </c>
    </row>
    <row r="1302">
      <c r="A1302" t="inlineStr">
        <is>
          <t>FB-01301</t>
        </is>
      </c>
      <c r="B1302" t="inlineStr">
        <is>
          <t>CUST-0108</t>
        </is>
      </c>
      <c r="C1302" s="11" t="n">
        <v>46257</v>
      </c>
      <c r="D1302" t="inlineStr">
        <is>
          <t>Feature Request</t>
        </is>
      </c>
      <c r="E1302" t="inlineStr">
        <is>
          <t>Enterprise</t>
        </is>
      </c>
      <c r="F1302" t="inlineStr">
        <is>
          <t>Mid-Market</t>
        </is>
      </c>
      <c r="G1302" t="inlineStr">
        <is>
          <t>Workflow Automation</t>
        </is>
      </c>
      <c r="H1302" t="inlineStr">
        <is>
          <t>Feature Request</t>
        </is>
      </c>
      <c r="I1302" t="inlineStr">
        <is>
          <t>Happy with most of the product. Requesting approval steps; today approvals happen over chat. Keep up the good work.</t>
        </is>
      </c>
      <c r="J1302" t="inlineStr">
        <is>
          <t>Positive</t>
        </is>
      </c>
      <c r="K1302" t="inlineStr">
        <is>
          <t>Low</t>
        </is>
      </c>
      <c r="L1302" t="inlineStr">
        <is>
          <t>Minor Inconvenience</t>
        </is>
      </c>
      <c r="M1302" t="inlineStr">
        <is>
          <t>wf_approval</t>
        </is>
      </c>
      <c r="N1302" t="inlineStr">
        <is>
          <t>Approval steps in workflows</t>
        </is>
      </c>
      <c r="O1302" t="inlineStr">
        <is>
          <t>2026-08</t>
        </is>
      </c>
    </row>
    <row r="1303">
      <c r="A1303" t="inlineStr">
        <is>
          <t>FB-01302</t>
        </is>
      </c>
      <c r="B1303" t="inlineStr">
        <is>
          <t>CUST-0180</t>
        </is>
      </c>
      <c r="C1303" s="11" t="n">
        <v>46257</v>
      </c>
      <c r="D1303" t="inlineStr">
        <is>
          <t>Customer Survey</t>
        </is>
      </c>
      <c r="E1303" t="inlineStr">
        <is>
          <t>Enterprise</t>
        </is>
      </c>
      <c r="F1303" t="inlineStr">
        <is>
          <t>Enterprise</t>
        </is>
      </c>
      <c r="G1303" t="inlineStr">
        <is>
          <t>Contact Management</t>
        </is>
      </c>
      <c r="H1303" t="inlineStr">
        <is>
          <t>Feature Request</t>
        </is>
      </c>
      <c r="I1303" t="inlineStr">
        <is>
          <t>Overall we like the product. Is there any plan for contact de-duplication tooling? Merging one record at a time is not realistic. So far 86 people on our side have reported it.</t>
        </is>
      </c>
      <c r="J1303" t="inlineStr">
        <is>
          <t>Positive</t>
        </is>
      </c>
      <c r="K1303" t="inlineStr">
        <is>
          <t>Low</t>
        </is>
      </c>
      <c r="L1303" t="inlineStr">
        <is>
          <t>Minor Inconvenience</t>
        </is>
      </c>
      <c r="M1303" t="inlineStr">
        <is>
          <t>contact_dedupe</t>
        </is>
      </c>
      <c r="N1303" t="inlineStr">
        <is>
          <t>Bulk contact merge</t>
        </is>
      </c>
      <c r="O1303" t="inlineStr">
        <is>
          <t>2026-08</t>
        </is>
      </c>
    </row>
    <row r="1304">
      <c r="A1304" t="inlineStr">
        <is>
          <t>FB-01303</t>
        </is>
      </c>
      <c r="B1304" t="inlineStr">
        <is>
          <t>CUST-0002</t>
        </is>
      </c>
      <c r="C1304" s="11" t="n">
        <v>46257</v>
      </c>
      <c r="D1304" t="inlineStr">
        <is>
          <t>Customer Survey</t>
        </is>
      </c>
      <c r="E1304" t="inlineStr">
        <is>
          <t>Starter</t>
        </is>
      </c>
      <c r="F1304" t="inlineStr">
        <is>
          <t>SMB</t>
        </is>
      </c>
      <c r="G1304" t="inlineStr">
        <is>
          <t>User Interface</t>
        </is>
      </c>
      <c r="H1304" t="inlineStr">
        <is>
          <t>Performance Issue</t>
        </is>
      </c>
      <c r="I1304" t="inlineStr">
        <is>
          <t>We notice page lag whenever more than a few tabs are open. It happens about 10 times a week for our team of 113. Is there a workaround?</t>
        </is>
      </c>
      <c r="J1304" t="inlineStr">
        <is>
          <t>Negative</t>
        </is>
      </c>
      <c r="K1304" t="inlineStr">
        <is>
          <t>Medium</t>
        </is>
      </c>
      <c r="L1304" t="inlineStr">
        <is>
          <t>Minor Inconvenience</t>
        </is>
      </c>
      <c r="M1304" t="inlineStr">
        <is>
          <t>ui_perf</t>
        </is>
      </c>
      <c r="N1304" t="inlineStr">
        <is>
          <t>Laggy pages</t>
        </is>
      </c>
      <c r="O1304" t="inlineStr">
        <is>
          <t>2026-08</t>
        </is>
      </c>
    </row>
    <row r="1305">
      <c r="A1305" t="inlineStr">
        <is>
          <t>FB-01304</t>
        </is>
      </c>
      <c r="B1305" t="inlineStr">
        <is>
          <t>CUST-0179</t>
        </is>
      </c>
      <c r="C1305" s="11" t="n">
        <v>46257</v>
      </c>
      <c r="D1305" t="inlineStr">
        <is>
          <t>Customer Survey</t>
        </is>
      </c>
      <c r="E1305" t="inlineStr">
        <is>
          <t>Enterprise</t>
        </is>
      </c>
      <c r="F1305" t="inlineStr">
        <is>
          <t>Enterprise</t>
        </is>
      </c>
      <c r="G1305" t="inlineStr">
        <is>
          <t>Reporting</t>
        </is>
      </c>
      <c r="H1305" t="inlineStr">
        <is>
          <t>Feature Request</t>
        </is>
      </c>
      <c r="I1305" t="inlineStr">
        <is>
          <t>Quick note from our admin. We need forecast rollups by team and region for quarterly planning.</t>
        </is>
      </c>
      <c r="J1305" t="inlineStr">
        <is>
          <t>Neutral</t>
        </is>
      </c>
      <c r="K1305" t="inlineStr">
        <is>
          <t>Medium</t>
        </is>
      </c>
      <c r="L1305" t="inlineStr">
        <is>
          <t>Workflow Slowdown</t>
        </is>
      </c>
      <c r="M1305" t="inlineStr">
        <is>
          <t>rep_forecast</t>
        </is>
      </c>
      <c r="N1305" t="inlineStr">
        <is>
          <t>Sales forecasting</t>
        </is>
      </c>
      <c r="O1305" t="inlineStr">
        <is>
          <t>2026-08</t>
        </is>
      </c>
    </row>
    <row r="1306">
      <c r="A1306" t="inlineStr">
        <is>
          <t>FB-01305</t>
        </is>
      </c>
      <c r="B1306" t="inlineStr">
        <is>
          <t>CUST-0214</t>
        </is>
      </c>
      <c r="C1306" s="11" t="n">
        <v>46257</v>
      </c>
      <c r="D1306" t="inlineStr">
        <is>
          <t>Customer Survey</t>
        </is>
      </c>
      <c r="E1306" t="inlineStr">
        <is>
          <t>Starter</t>
        </is>
      </c>
      <c r="F1306" t="inlineStr">
        <is>
          <t>SMB</t>
        </is>
      </c>
      <c r="G1306" t="inlineStr">
        <is>
          <t>User Interface</t>
        </is>
      </c>
      <c r="H1306" t="inlineStr">
        <is>
          <t>Feature Request</t>
        </is>
      </c>
      <c r="I1306" t="inlineStr">
        <is>
          <t>FYI for the product team. Our field reps need mobile call logging to update deals between visits. It affects our weekly pipeline review process every cycle. Happy to join a feedback call.</t>
        </is>
      </c>
      <c r="J1306" t="inlineStr">
        <is>
          <t>Neutral</t>
        </is>
      </c>
      <c r="K1306" t="inlineStr">
        <is>
          <t>Low</t>
        </is>
      </c>
      <c r="L1306" t="inlineStr">
        <is>
          <t>Minor Inconvenience</t>
        </is>
      </c>
      <c r="M1306" t="inlineStr">
        <is>
          <t>ui_mobile</t>
        </is>
      </c>
      <c r="N1306" t="inlineStr">
        <is>
          <t>Mobile app</t>
        </is>
      </c>
      <c r="O1306" t="inlineStr">
        <is>
          <t>2026-08</t>
        </is>
      </c>
    </row>
    <row r="1307">
      <c r="A1307" t="inlineStr">
        <is>
          <t>FB-01306</t>
        </is>
      </c>
      <c r="B1307" t="inlineStr">
        <is>
          <t>CUST-0073</t>
        </is>
      </c>
      <c r="C1307" s="11" t="n">
        <v>46257</v>
      </c>
      <c r="D1307" t="inlineStr">
        <is>
          <t>Customer Survey</t>
        </is>
      </c>
      <c r="E1307" t="inlineStr">
        <is>
          <t>Starter</t>
        </is>
      </c>
      <c r="F1307" t="inlineStr">
        <is>
          <t>SMB</t>
        </is>
      </c>
      <c r="G1307" t="inlineStr">
        <is>
          <t>Lead Management</t>
        </is>
      </c>
      <c r="H1307" t="inlineStr">
        <is>
          <t>Performance Issue</t>
        </is>
      </c>
      <c r="I1307" t="inlineStr">
        <is>
          <t>Feedback from our monthly review. Complaint about lead view load times: the board freezes while cards render. Let us know if you need examples.</t>
        </is>
      </c>
      <c r="J1307" t="inlineStr">
        <is>
          <t>Neutral</t>
        </is>
      </c>
      <c r="K1307" t="inlineStr">
        <is>
          <t>Low</t>
        </is>
      </c>
      <c r="L1307" t="inlineStr">
        <is>
          <t>Blocks Key Task</t>
        </is>
      </c>
      <c r="M1307" t="inlineStr">
        <is>
          <t>lead_slow</t>
        </is>
      </c>
      <c r="N1307" t="inlineStr">
        <is>
          <t>Slow lead lists and pipeline board</t>
        </is>
      </c>
      <c r="O1307" t="inlineStr">
        <is>
          <t>2026-08</t>
        </is>
      </c>
    </row>
    <row r="1308">
      <c r="A1308" t="inlineStr">
        <is>
          <t>FB-01307</t>
        </is>
      </c>
      <c r="B1308" t="inlineStr">
        <is>
          <t>CUST-0208</t>
        </is>
      </c>
      <c r="C1308" s="11" t="n">
        <v>46257</v>
      </c>
      <c r="D1308" t="inlineStr">
        <is>
          <t>Support Ticket</t>
        </is>
      </c>
      <c r="E1308" t="inlineStr">
        <is>
          <t>Starter</t>
        </is>
      </c>
      <c r="F1308" t="inlineStr">
        <is>
          <t>SMB</t>
        </is>
      </c>
      <c r="G1308" t="inlineStr">
        <is>
          <t>User Interface</t>
        </is>
      </c>
      <c r="H1308" t="inlineStr">
        <is>
          <t>Feature Request</t>
        </is>
      </c>
      <c r="I1308" t="inlineStr">
        <is>
          <t>We need multi-select actions to update owners and stages for many records at once. We estimate we lose roughly 55 hours a month on this.</t>
        </is>
      </c>
      <c r="J1308" t="inlineStr">
        <is>
          <t>Neutral</t>
        </is>
      </c>
      <c r="K1308" t="inlineStr">
        <is>
          <t>Low</t>
        </is>
      </c>
      <c r="L1308" t="inlineStr">
        <is>
          <t>Minor Inconvenience</t>
        </is>
      </c>
      <c r="M1308" t="inlineStr">
        <is>
          <t>ui_bulk</t>
        </is>
      </c>
      <c r="N1308" t="inlineStr">
        <is>
          <t>Bulk actions</t>
        </is>
      </c>
      <c r="O1308" t="inlineStr">
        <is>
          <t>2026-08</t>
        </is>
      </c>
    </row>
    <row r="1309">
      <c r="A1309" t="inlineStr">
        <is>
          <t>FB-01308</t>
        </is>
      </c>
      <c r="B1309" t="inlineStr">
        <is>
          <t>CUST-0108</t>
        </is>
      </c>
      <c r="C1309" s="11" t="n">
        <v>46258</v>
      </c>
      <c r="D1309" t="inlineStr">
        <is>
          <t>In-App Feedback</t>
        </is>
      </c>
      <c r="E1309" t="inlineStr">
        <is>
          <t>Enterprise</t>
        </is>
      </c>
      <c r="F1309" t="inlineStr">
        <is>
          <t>Mid-Market</t>
        </is>
      </c>
      <c r="G1309" t="inlineStr">
        <is>
          <t>Reporting</t>
        </is>
      </c>
      <c r="H1309" t="inlineStr">
        <is>
          <t>Bug</t>
        </is>
      </c>
      <c r="I1309" t="inlineStr">
        <is>
          <t>Not what we expected for the price. The Excel export cuts off rows after a few thousand records. So far 53 people on our side have reported it. Please look into it soon.</t>
        </is>
      </c>
      <c r="J1309" t="inlineStr">
        <is>
          <t>Negative</t>
        </is>
      </c>
      <c r="K1309" t="inlineStr">
        <is>
          <t>High</t>
        </is>
      </c>
      <c r="L1309" t="inlineStr">
        <is>
          <t>Unknown</t>
        </is>
      </c>
      <c r="M1309" t="inlineStr">
        <is>
          <t>rep_export</t>
        </is>
      </c>
      <c r="N1309" t="inlineStr">
        <is>
          <t>Broken report exports</t>
        </is>
      </c>
      <c r="O1309" t="inlineStr">
        <is>
          <t>2026-08</t>
        </is>
      </c>
    </row>
    <row r="1310">
      <c r="A1310" t="inlineStr">
        <is>
          <t>FB-01309</t>
        </is>
      </c>
      <c r="B1310" t="inlineStr">
        <is>
          <t>CUST-0313</t>
        </is>
      </c>
      <c r="C1310" s="11" t="n">
        <v>46258</v>
      </c>
      <c r="D1310" t="inlineStr">
        <is>
          <t>Support Ticket</t>
        </is>
      </c>
      <c r="E1310" t="inlineStr">
        <is>
          <t>Starter</t>
        </is>
      </c>
      <c r="F1310" t="inlineStr">
        <is>
          <t>SMB</t>
        </is>
      </c>
      <c r="G1310" t="inlineStr">
        <is>
          <t>Contact Management</t>
        </is>
      </c>
      <c r="H1310" t="inlineStr">
        <is>
          <t>Bug</t>
        </is>
      </c>
      <c r="I1310" t="inlineStr">
        <is>
          <t>Our spreadsheet import scrambles phone and email columns even after we map them correctly. So far 113 people on our side have reported it. Happy to join a feedback call.</t>
        </is>
      </c>
      <c r="J1310" t="inlineStr">
        <is>
          <t>Neutral</t>
        </is>
      </c>
      <c r="K1310" t="inlineStr">
        <is>
          <t>Medium</t>
        </is>
      </c>
      <c r="L1310" t="inlineStr">
        <is>
          <t>Workflow Slowdown</t>
        </is>
      </c>
      <c r="M1310" t="inlineStr">
        <is>
          <t>contact_import</t>
        </is>
      </c>
      <c r="N1310" t="inlineStr">
        <is>
          <t>Unreliable contact imports</t>
        </is>
      </c>
      <c r="O1310" t="inlineStr">
        <is>
          <t>2026-08</t>
        </is>
      </c>
    </row>
    <row r="1311">
      <c r="A1311" t="inlineStr">
        <is>
          <t>FB-01310</t>
        </is>
      </c>
      <c r="B1311" t="inlineStr">
        <is>
          <t>CUST-0201</t>
        </is>
      </c>
      <c r="C1311" s="11" t="n">
        <v>46258</v>
      </c>
      <c r="D1311" t="inlineStr">
        <is>
          <t>Support Ticket</t>
        </is>
      </c>
      <c r="E1311" t="inlineStr">
        <is>
          <t>Starter</t>
        </is>
      </c>
      <c r="F1311" t="inlineStr">
        <is>
          <t>SMB</t>
        </is>
      </c>
      <c r="G1311" t="inlineStr">
        <is>
          <t>Workflow Automation</t>
        </is>
      </c>
      <c r="H1311" t="inlineStr">
        <is>
          <t>Usability Issue</t>
        </is>
      </c>
      <c r="I1311" t="inlineStr">
        <is>
          <t>Our new admins struggle with the workflow editor; there is no guidance or validation. We estimate we lose roughly 26 hours a month on this.</t>
        </is>
      </c>
      <c r="J1311" t="inlineStr">
        <is>
          <t>Neutral</t>
        </is>
      </c>
      <c r="K1311" t="inlineStr">
        <is>
          <t>Medium</t>
        </is>
      </c>
      <c r="L1311" t="inlineStr">
        <is>
          <t>Revenue/Operations Risk</t>
        </is>
      </c>
      <c r="M1311" t="inlineStr">
        <is>
          <t>wf_builder</t>
        </is>
      </c>
      <c r="N1311" t="inlineStr">
        <is>
          <t>Confusing workflow builder</t>
        </is>
      </c>
      <c r="O1311" t="inlineStr">
        <is>
          <t>2026-08</t>
        </is>
      </c>
    </row>
    <row r="1312">
      <c r="A1312" t="inlineStr">
        <is>
          <t>FB-01311</t>
        </is>
      </c>
      <c r="B1312" t="inlineStr">
        <is>
          <t>CUST-0123</t>
        </is>
      </c>
      <c r="C1312" s="11" t="n">
        <v>46259</v>
      </c>
      <c r="D1312" t="inlineStr">
        <is>
          <t>Support Ticket</t>
        </is>
      </c>
      <c r="E1312" t="inlineStr">
        <is>
          <t>Professional</t>
        </is>
      </c>
      <c r="F1312" t="inlineStr">
        <is>
          <t>Mid-Market</t>
        </is>
      </c>
      <c r="G1312" t="inlineStr">
        <is>
          <t>Contact Management</t>
        </is>
      </c>
      <c r="H1312" t="inlineStr">
        <is>
          <t>Bug</t>
        </is>
      </c>
      <c r="I1312" t="inlineStr">
        <is>
          <t>Raising this again after our last business review. Our contact CSV import scrambles phone and email columns even after we map them correctly. So far 50 people on our side have reported it. Please look into it soon.</t>
        </is>
      </c>
      <c r="J1312" t="inlineStr">
        <is>
          <t>Negative</t>
        </is>
      </c>
      <c r="K1312" t="inlineStr">
        <is>
          <t>Low</t>
        </is>
      </c>
      <c r="L1312" t="inlineStr">
        <is>
          <t>Minor Inconvenience</t>
        </is>
      </c>
      <c r="M1312" t="inlineStr">
        <is>
          <t>contact_import</t>
        </is>
      </c>
      <c r="N1312" t="inlineStr">
        <is>
          <t>Unreliable contact imports</t>
        </is>
      </c>
      <c r="O1312" t="inlineStr">
        <is>
          <t>2026-08</t>
        </is>
      </c>
    </row>
    <row r="1313">
      <c r="A1313" t="inlineStr">
        <is>
          <t>FB-01312</t>
        </is>
      </c>
      <c r="B1313" t="inlineStr">
        <is>
          <t>CUST-0249</t>
        </is>
      </c>
      <c r="C1313" s="11" t="n">
        <v>46259</v>
      </c>
      <c r="D1313" t="inlineStr">
        <is>
          <t>Support Ticket</t>
        </is>
      </c>
      <c r="E1313" t="inlineStr">
        <is>
          <t>Starter</t>
        </is>
      </c>
      <c r="F1313" t="inlineStr">
        <is>
          <t>SMB</t>
        </is>
      </c>
      <c r="G1313" t="inlineStr">
        <is>
          <t>User Interface</t>
        </is>
      </c>
      <c r="H1313" t="inlineStr">
        <is>
          <t>Performance Issue</t>
        </is>
      </c>
      <c r="I1313" t="inlineStr">
        <is>
          <t>We notice page lag whenever more than a few tabs are open. Please look into it soon.</t>
        </is>
      </c>
      <c r="J1313" t="inlineStr">
        <is>
          <t>Negative</t>
        </is>
      </c>
      <c r="K1313" t="inlineStr">
        <is>
          <t>High</t>
        </is>
      </c>
      <c r="L1313" t="inlineStr">
        <is>
          <t>Blocks Key Task</t>
        </is>
      </c>
      <c r="M1313" t="inlineStr">
        <is>
          <t>ui_perf</t>
        </is>
      </c>
      <c r="N1313" t="inlineStr">
        <is>
          <t>Laggy pages</t>
        </is>
      </c>
      <c r="O1313" t="inlineStr">
        <is>
          <t>2026-08</t>
        </is>
      </c>
    </row>
    <row r="1314">
      <c r="A1314" t="inlineStr">
        <is>
          <t>FB-01313</t>
        </is>
      </c>
      <c r="B1314" t="inlineStr">
        <is>
          <t>CUST-0234</t>
        </is>
      </c>
      <c r="C1314" s="11" t="n">
        <v>46259</v>
      </c>
      <c r="D1314" t="inlineStr">
        <is>
          <t>Customer Survey</t>
        </is>
      </c>
      <c r="E1314" t="inlineStr">
        <is>
          <t>Enterprise</t>
        </is>
      </c>
      <c r="F1314" t="inlineStr">
        <is>
          <t>SMB</t>
        </is>
      </c>
      <c r="G1314" t="inlineStr">
        <is>
          <t>Integrations</t>
        </is>
      </c>
      <c r="H1314" t="inlineStr">
        <is>
          <t>Feature Request</t>
        </is>
      </c>
      <c r="I1314" t="inlineStr">
        <is>
          <t>Noting this during onboarding. Our security team requires SAML login before we can expand seats. We estimate we lose roughly 28 hours a month on this. Happy to join a feedback call.</t>
        </is>
      </c>
      <c r="J1314" t="inlineStr">
        <is>
          <t>Neutral</t>
        </is>
      </c>
      <c r="K1314" t="inlineStr">
        <is>
          <t>Medium</t>
        </is>
      </c>
      <c r="L1314" t="inlineStr">
        <is>
          <t>Blocks Key Task</t>
        </is>
      </c>
      <c r="M1314" t="inlineStr">
        <is>
          <t>int_sso</t>
        </is>
      </c>
      <c r="N1314" t="inlineStr">
        <is>
          <t>SSO and provisioning</t>
        </is>
      </c>
      <c r="O1314" t="inlineStr">
        <is>
          <t>2026-08</t>
        </is>
      </c>
    </row>
    <row r="1315">
      <c r="A1315" t="inlineStr">
        <is>
          <t>FB-01314</t>
        </is>
      </c>
      <c r="B1315" t="inlineStr">
        <is>
          <t>CUST-0229</t>
        </is>
      </c>
      <c r="C1315" s="11" t="n">
        <v>46259</v>
      </c>
      <c r="D1315" t="inlineStr">
        <is>
          <t>Customer Survey</t>
        </is>
      </c>
      <c r="E1315" t="inlineStr">
        <is>
          <t>Starter</t>
        </is>
      </c>
      <c r="F1315" t="inlineStr">
        <is>
          <t>Mid-Market</t>
        </is>
      </c>
      <c r="G1315" t="inlineStr">
        <is>
          <t>Reporting</t>
        </is>
      </c>
      <c r="H1315" t="inlineStr">
        <is>
          <t>Feature Request</t>
        </is>
      </c>
      <c r="I1315" t="inlineStr">
        <is>
          <t>Noting this during onboarding. Please add scheduled report emails; today an analyst rebuilds the same report every week. It happens about 21 times a week for our team of 69.</t>
        </is>
      </c>
      <c r="J1315" t="inlineStr">
        <is>
          <t>Neutral</t>
        </is>
      </c>
      <c r="K1315" t="inlineStr">
        <is>
          <t>Medium</t>
        </is>
      </c>
      <c r="L1315" t="inlineStr">
        <is>
          <t>Minor Inconvenience</t>
        </is>
      </c>
      <c r="M1315" t="inlineStr">
        <is>
          <t>rep_custom</t>
        </is>
      </c>
      <c r="N1315" t="inlineStr">
        <is>
          <t>Custom and scheduled reports</t>
        </is>
      </c>
      <c r="O1315" t="inlineStr">
        <is>
          <t>2026-08</t>
        </is>
      </c>
    </row>
    <row r="1316">
      <c r="A1316" t="inlineStr">
        <is>
          <t>FB-01315</t>
        </is>
      </c>
      <c r="B1316" t="inlineStr">
        <is>
          <t>CUST-0117</t>
        </is>
      </c>
      <c r="C1316" s="11" t="n">
        <v>46259</v>
      </c>
      <c r="D1316" t="inlineStr">
        <is>
          <t>Customer Survey</t>
        </is>
      </c>
      <c r="E1316" t="inlineStr">
        <is>
          <t>Professional</t>
        </is>
      </c>
      <c r="F1316" t="inlineStr">
        <is>
          <t>Mid-Market</t>
        </is>
      </c>
      <c r="G1316" t="inlineStr">
        <is>
          <t>Workflow Automation</t>
        </is>
      </c>
      <c r="H1316" t="inlineStr">
        <is>
          <t>Bug</t>
        </is>
      </c>
      <c r="I1316" t="inlineStr">
        <is>
          <t>Frustrated with this one. We found automation misfires only because a customer complained. So far 36 people on our side have reported it.</t>
        </is>
      </c>
      <c r="J1316" t="inlineStr">
        <is>
          <t>Negative</t>
        </is>
      </c>
      <c r="K1316" t="inlineStr">
        <is>
          <t>Low</t>
        </is>
      </c>
      <c r="L1316" t="inlineStr">
        <is>
          <t>Blocks Key Task</t>
        </is>
      </c>
      <c r="M1316" t="inlineStr">
        <is>
          <t>wf_fail</t>
        </is>
      </c>
      <c r="N1316" t="inlineStr">
        <is>
          <t>Workflows failing silently</t>
        </is>
      </c>
      <c r="O1316" t="inlineStr">
        <is>
          <t>2026-08</t>
        </is>
      </c>
    </row>
    <row r="1317">
      <c r="A1317" t="inlineStr">
        <is>
          <t>FB-01316</t>
        </is>
      </c>
      <c r="B1317" t="inlineStr">
        <is>
          <t>CUST-0189</t>
        </is>
      </c>
      <c r="C1317" s="11" t="n">
        <v>46259</v>
      </c>
      <c r="D1317" t="inlineStr">
        <is>
          <t>In-App Feedback</t>
        </is>
      </c>
      <c r="E1317" t="inlineStr">
        <is>
          <t>Starter</t>
        </is>
      </c>
      <c r="F1317" t="inlineStr">
        <is>
          <t>SMB</t>
        </is>
      </c>
      <c r="G1317" t="inlineStr">
        <is>
          <t>Reporting</t>
        </is>
      </c>
      <c r="H1317" t="inlineStr">
        <is>
          <t>Feature Request</t>
        </is>
      </c>
      <c r="I1317" t="inlineStr">
        <is>
          <t>Feedback from our monthly review. Requesting sales forecasting that updates as deal stages change. It affects our lead handoff process every cycle. Let us know if you need examples.</t>
        </is>
      </c>
      <c r="J1317" t="inlineStr">
        <is>
          <t>Neutral</t>
        </is>
      </c>
      <c r="K1317" t="inlineStr">
        <is>
          <t>High</t>
        </is>
      </c>
      <c r="L1317" t="inlineStr">
        <is>
          <t>Revenue/Operations Risk</t>
        </is>
      </c>
      <c r="M1317" t="inlineStr">
        <is>
          <t>rep_forecast</t>
        </is>
      </c>
      <c r="N1317" t="inlineStr">
        <is>
          <t>Sales forecasting</t>
        </is>
      </c>
      <c r="O1317" t="inlineStr">
        <is>
          <t>2026-08</t>
        </is>
      </c>
    </row>
    <row r="1318">
      <c r="A1318" t="inlineStr">
        <is>
          <t>FB-01317</t>
        </is>
      </c>
      <c r="B1318" t="inlineStr">
        <is>
          <t>CUST-0140</t>
        </is>
      </c>
      <c r="C1318" s="11" t="n">
        <v>46259</v>
      </c>
      <c r="D1318" t="inlineStr">
        <is>
          <t>Feature Request</t>
        </is>
      </c>
      <c r="E1318" t="inlineStr">
        <is>
          <t>Professional</t>
        </is>
      </c>
      <c r="F1318" t="inlineStr">
        <is>
          <t>Mid-Market</t>
        </is>
      </c>
      <c r="G1318" t="inlineStr">
        <is>
          <t>Contact Management</t>
        </is>
      </c>
      <c r="H1318" t="inlineStr">
        <is>
          <t>Feature Request</t>
        </is>
      </c>
      <c r="I1318" t="inlineStr">
        <is>
          <t>Our team keeps running into this. Please extend an account hierarchy view; the current limit is too small for our use case. It happens about 5 times a week for our team of 6.</t>
        </is>
      </c>
      <c r="J1318" t="inlineStr">
        <is>
          <t>Negative</t>
        </is>
      </c>
      <c r="K1318" t="inlineStr">
        <is>
          <t>Low</t>
        </is>
      </c>
      <c r="L1318" t="inlineStr">
        <is>
          <t>Minor Inconvenience</t>
        </is>
      </c>
      <c r="M1318" t="inlineStr">
        <is>
          <t>contact_custom</t>
        </is>
      </c>
      <c r="N1318" t="inlineStr">
        <is>
          <t>Custom fields and hierarchy</t>
        </is>
      </c>
      <c r="O1318" t="inlineStr">
        <is>
          <t>2026-08</t>
        </is>
      </c>
    </row>
    <row r="1319">
      <c r="A1319" t="inlineStr">
        <is>
          <t>FB-01318</t>
        </is>
      </c>
      <c r="B1319" t="inlineStr">
        <is>
          <t>CUST-0378</t>
        </is>
      </c>
      <c r="C1319" s="11" t="n">
        <v>46260</v>
      </c>
      <c r="D1319" t="inlineStr">
        <is>
          <t>Support Ticket</t>
        </is>
      </c>
      <c r="E1319" t="inlineStr">
        <is>
          <t>Starter</t>
        </is>
      </c>
      <c r="F1319" t="inlineStr">
        <is>
          <t>SMB</t>
        </is>
      </c>
      <c r="G1319" t="inlineStr">
        <is>
          <t>User Interface</t>
        </is>
      </c>
      <c r="H1319" t="inlineStr">
        <is>
          <t>Performance Issue</t>
        </is>
      </c>
      <c r="I1319" t="inlineStr">
        <is>
          <t>Slow page transitions makes data entry frustrating during live calls. We estimate we lose roughly 48 hours a month on this.</t>
        </is>
      </c>
      <c r="J1319" t="inlineStr">
        <is>
          <t>Neutral</t>
        </is>
      </c>
      <c r="K1319" t="inlineStr">
        <is>
          <t>Low</t>
        </is>
      </c>
      <c r="L1319" t="inlineStr">
        <is>
          <t>Blocks Key Task</t>
        </is>
      </c>
      <c r="M1319" t="inlineStr">
        <is>
          <t>ui_perf</t>
        </is>
      </c>
      <c r="N1319" t="inlineStr">
        <is>
          <t>Laggy pages</t>
        </is>
      </c>
      <c r="O1319" t="inlineStr">
        <is>
          <t>2026-08</t>
        </is>
      </c>
    </row>
    <row r="1320">
      <c r="A1320" t="inlineStr">
        <is>
          <t>FB-01319</t>
        </is>
      </c>
      <c r="B1320" t="inlineStr">
        <is>
          <t>CUST-0406</t>
        </is>
      </c>
      <c r="C1320" s="11" t="n">
        <v>46260</v>
      </c>
      <c r="D1320" t="inlineStr">
        <is>
          <t>In-App Feedback</t>
        </is>
      </c>
      <c r="E1320" t="inlineStr">
        <is>
          <t>Professional</t>
        </is>
      </c>
      <c r="F1320" t="inlineStr">
        <is>
          <t>Mid-Market</t>
        </is>
      </c>
      <c r="G1320" t="inlineStr">
        <is>
          <t>User Interface</t>
        </is>
      </c>
      <c r="H1320" t="inlineStr">
        <is>
          <t>Feature Request</t>
        </is>
      </c>
      <c r="I1320" t="inlineStr">
        <is>
          <t>Feedback from our monthly review. Our field reps need a mobile app to update deals between visits.</t>
        </is>
      </c>
      <c r="J1320" t="inlineStr">
        <is>
          <t>Neutral</t>
        </is>
      </c>
      <c r="K1320" t="inlineStr">
        <is>
          <t>Critical</t>
        </is>
      </c>
      <c r="L1320" t="inlineStr">
        <is>
          <t>Blocks Key Task</t>
        </is>
      </c>
      <c r="M1320" t="inlineStr">
        <is>
          <t>ui_mobile</t>
        </is>
      </c>
      <c r="N1320" t="inlineStr">
        <is>
          <t>Mobile app</t>
        </is>
      </c>
      <c r="O1320" t="inlineStr">
        <is>
          <t>2026-08</t>
        </is>
      </c>
    </row>
    <row r="1321">
      <c r="A1321" t="inlineStr">
        <is>
          <t>FB-01320</t>
        </is>
      </c>
      <c r="B1321" t="inlineStr">
        <is>
          <t>CUST-0036</t>
        </is>
      </c>
      <c r="C1321" s="11" t="n">
        <v>46260</v>
      </c>
      <c r="D1321" t="inlineStr">
        <is>
          <t>Feature Request</t>
        </is>
      </c>
      <c r="E1321" t="inlineStr">
        <is>
          <t>Starter</t>
        </is>
      </c>
      <c r="F1321" t="inlineStr">
        <is>
          <t>SMB</t>
        </is>
      </c>
      <c r="G1321" t="inlineStr">
        <is>
          <t>Reporting</t>
        </is>
      </c>
      <c r="H1321" t="inlineStr">
        <is>
          <t>Feature Request</t>
        </is>
      </c>
      <c r="I1321" t="inlineStr">
        <is>
          <t>Noting this during onboarding. We need report scheduling so non-technical managers can create their own views. We estimate we lose roughly 20 hours a month on this. Happy to join a feedback call.</t>
        </is>
      </c>
      <c r="J1321" t="inlineStr">
        <is>
          <t>Neutral</t>
        </is>
      </c>
      <c r="K1321" t="inlineStr">
        <is>
          <t>Medium</t>
        </is>
      </c>
      <c r="L1321" t="inlineStr">
        <is>
          <t>Workflow Slowdown</t>
        </is>
      </c>
      <c r="M1321" t="inlineStr">
        <is>
          <t>rep_custom</t>
        </is>
      </c>
      <c r="N1321" t="inlineStr">
        <is>
          <t>Custom and scheduled reports</t>
        </is>
      </c>
      <c r="O1321" t="inlineStr">
        <is>
          <t>2026-08</t>
        </is>
      </c>
    </row>
    <row r="1322">
      <c r="A1322" t="inlineStr">
        <is>
          <t>FB-01321</t>
        </is>
      </c>
      <c r="B1322" t="inlineStr">
        <is>
          <t>CUST-0037</t>
        </is>
      </c>
      <c r="C1322" s="11" t="n">
        <v>46260</v>
      </c>
      <c r="D1322" t="inlineStr">
        <is>
          <t>Support Ticket</t>
        </is>
      </c>
      <c r="E1322" t="inlineStr">
        <is>
          <t>Enterprise</t>
        </is>
      </c>
      <c r="F1322" t="inlineStr">
        <is>
          <t>Enterprise</t>
        </is>
      </c>
      <c r="G1322" t="inlineStr">
        <is>
          <t>Workflow Automation</t>
        </is>
      </c>
      <c r="H1322" t="inlineStr">
        <is>
          <t>Bug</t>
        </is>
      </c>
      <c r="I1322" t="inlineStr">
        <is>
          <t>Our team keeps running into this. Since the last release we've had automation misfires and tasks are being created twice. Is there a workaround?</t>
        </is>
      </c>
      <c r="J1322" t="inlineStr">
        <is>
          <t>Negative</t>
        </is>
      </c>
      <c r="K1322" t="inlineStr">
        <is>
          <t>Medium</t>
        </is>
      </c>
      <c r="L1322" t="inlineStr">
        <is>
          <t>Workflow Slowdown</t>
        </is>
      </c>
      <c r="M1322" t="inlineStr">
        <is>
          <t>wf_fail</t>
        </is>
      </c>
      <c r="N1322" t="inlineStr">
        <is>
          <t>Workflows failing silently</t>
        </is>
      </c>
      <c r="O1322" t="inlineStr">
        <is>
          <t>2026-08</t>
        </is>
      </c>
    </row>
    <row r="1323">
      <c r="A1323" t="inlineStr">
        <is>
          <t>FB-01322</t>
        </is>
      </c>
      <c r="B1323" t="inlineStr">
        <is>
          <t>CUST-0091</t>
        </is>
      </c>
      <c r="C1323" s="11" t="n">
        <v>46260</v>
      </c>
      <c r="D1323" t="inlineStr">
        <is>
          <t>Feature Request</t>
        </is>
      </c>
      <c r="E1323" t="inlineStr">
        <is>
          <t>Professional</t>
        </is>
      </c>
      <c r="F1323" t="inlineStr">
        <is>
          <t>SMB</t>
        </is>
      </c>
      <c r="G1323" t="inlineStr">
        <is>
          <t>Workflow Automation</t>
        </is>
      </c>
      <c r="H1323" t="inlineStr">
        <is>
          <t>Usability Issue</t>
        </is>
      </c>
      <c r="I1323" t="inlineStr">
        <is>
          <t>Raising this again after our last business review. The automation canvas doesn't let us copy steps between flows. It affects our lead handoff process every cycle.</t>
        </is>
      </c>
      <c r="J1323" t="inlineStr">
        <is>
          <t>Negative</t>
        </is>
      </c>
      <c r="K1323" t="inlineStr">
        <is>
          <t>Medium</t>
        </is>
      </c>
      <c r="L1323" t="inlineStr">
        <is>
          <t>Workflow Slowdown</t>
        </is>
      </c>
      <c r="M1323" t="inlineStr">
        <is>
          <t>wf_builder</t>
        </is>
      </c>
      <c r="N1323" t="inlineStr">
        <is>
          <t>Confusing workflow builder</t>
        </is>
      </c>
      <c r="O1323" t="inlineStr">
        <is>
          <t>2026-08</t>
        </is>
      </c>
    </row>
    <row r="1324">
      <c r="A1324" t="inlineStr">
        <is>
          <t>FB-01323</t>
        </is>
      </c>
      <c r="B1324" t="inlineStr">
        <is>
          <t>CUST-0276</t>
        </is>
      </c>
      <c r="C1324" s="11" t="n">
        <v>46261</v>
      </c>
      <c r="D1324" t="inlineStr">
        <is>
          <t>Feature Request</t>
        </is>
      </c>
      <c r="E1324" t="inlineStr">
        <is>
          <t>Professional</t>
        </is>
      </c>
      <c r="F1324" t="inlineStr">
        <is>
          <t>SMB</t>
        </is>
      </c>
      <c r="G1324" t="inlineStr">
        <is>
          <t>Integrations</t>
        </is>
      </c>
      <c r="H1324" t="inlineStr">
        <is>
          <t>Feature Request</t>
        </is>
      </c>
      <c r="I1324" t="inlineStr">
        <is>
          <t>Overall we like the product. Requesting a marketing automation connector to remove manual re-entry. Happy to beta test.</t>
        </is>
      </c>
      <c r="J1324" t="inlineStr">
        <is>
          <t>Positive</t>
        </is>
      </c>
      <c r="K1324" t="inlineStr">
        <is>
          <t>Low</t>
        </is>
      </c>
      <c r="L1324" t="inlineStr">
        <is>
          <t>Minor Inconvenience</t>
        </is>
      </c>
      <c r="M1324" t="inlineStr">
        <is>
          <t>int_native</t>
        </is>
      </c>
      <c r="N1324" t="inlineStr">
        <is>
          <t>Native integrations</t>
        </is>
      </c>
      <c r="O1324" t="inlineStr">
        <is>
          <t>2026-08</t>
        </is>
      </c>
    </row>
    <row r="1325">
      <c r="A1325" t="inlineStr">
        <is>
          <t>FB-01324</t>
        </is>
      </c>
      <c r="B1325" t="inlineStr">
        <is>
          <t>CUST-0216</t>
        </is>
      </c>
      <c r="C1325" s="11" t="n">
        <v>46261</v>
      </c>
      <c r="D1325" t="inlineStr">
        <is>
          <t>In-App Feedback</t>
        </is>
      </c>
      <c r="E1325" t="inlineStr">
        <is>
          <t>Starter</t>
        </is>
      </c>
      <c r="F1325" t="inlineStr">
        <is>
          <t>Mid-Market</t>
        </is>
      </c>
      <c r="G1325" t="inlineStr">
        <is>
          <t>Contact Management</t>
        </is>
      </c>
      <c r="H1325" t="inlineStr">
        <is>
          <t>Bug</t>
        </is>
      </c>
      <c r="I1325" t="inlineStr">
        <is>
          <t>Our spreadsheet import scrambles phone and email columns even after we map them correctly. We estimate we lose roughly 28 hours a month on this.</t>
        </is>
      </c>
      <c r="J1325" t="inlineStr">
        <is>
          <t>Positive</t>
        </is>
      </c>
      <c r="K1325" t="inlineStr">
        <is>
          <t>Medium</t>
        </is>
      </c>
      <c r="L1325" t="inlineStr">
        <is>
          <t>Workflow Slowdown</t>
        </is>
      </c>
      <c r="M1325" t="inlineStr">
        <is>
          <t>contact_import</t>
        </is>
      </c>
      <c r="N1325" t="inlineStr">
        <is>
          <t>Unreliable contact imports</t>
        </is>
      </c>
      <c r="O1325" t="inlineStr">
        <is>
          <t>2026-08</t>
        </is>
      </c>
    </row>
    <row r="1326">
      <c r="A1326" t="inlineStr">
        <is>
          <t>FB-01325</t>
        </is>
      </c>
      <c r="B1326" t="inlineStr">
        <is>
          <t>CUST-0168</t>
        </is>
      </c>
      <c r="C1326" s="11" t="n">
        <v>46261</v>
      </c>
      <c r="D1326" t="inlineStr">
        <is>
          <t>Feature Request</t>
        </is>
      </c>
      <c r="E1326" t="inlineStr">
        <is>
          <t>Professional</t>
        </is>
      </c>
      <c r="F1326" t="inlineStr">
        <is>
          <t>Mid-Market</t>
        </is>
      </c>
      <c r="G1326" t="inlineStr">
        <is>
          <t>Integrations</t>
        </is>
      </c>
      <c r="H1326" t="inlineStr">
        <is>
          <t>Feature Request</t>
        </is>
      </c>
      <c r="I1326" t="inlineStr">
        <is>
          <t>Requesting a marketing automation connector to remove manual re-entry.</t>
        </is>
      </c>
      <c r="J1326" t="inlineStr">
        <is>
          <t>Neutral</t>
        </is>
      </c>
      <c r="K1326" t="inlineStr">
        <is>
          <t>High</t>
        </is>
      </c>
      <c r="L1326" t="inlineStr">
        <is>
          <t>Workflow Slowdown</t>
        </is>
      </c>
      <c r="M1326" t="inlineStr">
        <is>
          <t>int_native</t>
        </is>
      </c>
      <c r="N1326" t="inlineStr">
        <is>
          <t>Native integrations</t>
        </is>
      </c>
      <c r="O1326" t="inlineStr">
        <is>
          <t>2026-08</t>
        </is>
      </c>
    </row>
    <row r="1327">
      <c r="A1327" t="inlineStr">
        <is>
          <t>FB-01326</t>
        </is>
      </c>
      <c r="B1327" t="inlineStr">
        <is>
          <t>CUST-0324</t>
        </is>
      </c>
      <c r="C1327" s="11" t="n">
        <v>46261</v>
      </c>
      <c r="D1327" t="inlineStr">
        <is>
          <t>In-App Feedback</t>
        </is>
      </c>
      <c r="E1327" t="inlineStr">
        <is>
          <t>Starter</t>
        </is>
      </c>
      <c r="F1327" t="inlineStr">
        <is>
          <t>SMB</t>
        </is>
      </c>
      <c r="G1327" t="inlineStr">
        <is>
          <t>Lead Management</t>
        </is>
      </c>
      <c r="H1327" t="inlineStr">
        <is>
          <t>Performance Issue</t>
        </is>
      </c>
      <c r="I1327" t="inlineStr">
        <is>
          <t>Reps have stopped using the board because of lead list loading. It affects our onboarding process every cycle.</t>
        </is>
      </c>
      <c r="J1327" t="inlineStr">
        <is>
          <t>Negative</t>
        </is>
      </c>
      <c r="K1327" t="inlineStr">
        <is>
          <t>Medium</t>
        </is>
      </c>
      <c r="L1327" t="inlineStr">
        <is>
          <t>Workflow Slowdown</t>
        </is>
      </c>
      <c r="M1327" t="inlineStr">
        <is>
          <t>lead_slow</t>
        </is>
      </c>
      <c r="N1327" t="inlineStr">
        <is>
          <t>Slow lead lists and pipeline board</t>
        </is>
      </c>
      <c r="O1327" t="inlineStr">
        <is>
          <t>2026-08</t>
        </is>
      </c>
    </row>
    <row r="1328">
      <c r="A1328" t="inlineStr">
        <is>
          <t>FB-01327</t>
        </is>
      </c>
      <c r="B1328" t="inlineStr">
        <is>
          <t>CUST-0398</t>
        </is>
      </c>
      <c r="C1328" s="11" t="n">
        <v>46262</v>
      </c>
      <c r="D1328" t="inlineStr">
        <is>
          <t>Support Ticket</t>
        </is>
      </c>
      <c r="E1328" t="inlineStr">
        <is>
          <t>Enterprise</t>
        </is>
      </c>
      <c r="F1328" t="inlineStr">
        <is>
          <t>Enterprise</t>
        </is>
      </c>
      <c r="G1328" t="inlineStr">
        <is>
          <t>Workflow Automation</t>
        </is>
      </c>
      <c r="H1328" t="inlineStr">
        <is>
          <t>Bug</t>
        </is>
      </c>
      <c r="I1328" t="inlineStr">
        <is>
          <t>Since the last release we've had workflow failures and tasks are being created twice. So far 103 people on our side have reported it. Support suggested logging it here.</t>
        </is>
      </c>
      <c r="J1328" t="inlineStr">
        <is>
          <t>Negative</t>
        </is>
      </c>
      <c r="K1328" t="inlineStr">
        <is>
          <t>Low</t>
        </is>
      </c>
      <c r="L1328" t="inlineStr">
        <is>
          <t>Minor Inconvenience</t>
        </is>
      </c>
      <c r="M1328" t="inlineStr">
        <is>
          <t>wf_fail</t>
        </is>
      </c>
      <c r="N1328" t="inlineStr">
        <is>
          <t>Workflows failing silently</t>
        </is>
      </c>
      <c r="O1328" t="inlineStr">
        <is>
          <t>2026-08</t>
        </is>
      </c>
    </row>
    <row r="1329">
      <c r="A1329" t="inlineStr">
        <is>
          <t>FB-01328</t>
        </is>
      </c>
      <c r="B1329" t="inlineStr">
        <is>
          <t>CUST-0062</t>
        </is>
      </c>
      <c r="C1329" s="11" t="n">
        <v>46262</v>
      </c>
      <c r="D1329" t="inlineStr">
        <is>
          <t>Support Ticket</t>
        </is>
      </c>
      <c r="E1329" t="inlineStr">
        <is>
          <t>Professional</t>
        </is>
      </c>
      <c r="F1329" t="inlineStr">
        <is>
          <t>Mid-Market</t>
        </is>
      </c>
      <c r="G1329" t="inlineStr">
        <is>
          <t>Workflow Automation</t>
        </is>
      </c>
      <c r="H1329" t="inlineStr">
        <is>
          <t>Bug</t>
        </is>
      </c>
      <c r="I1329" t="inlineStr">
        <is>
          <t>We are hitting workflow failures: emails don't send and nobody gets notified. So far 110 people on our side have reported it.</t>
        </is>
      </c>
      <c r="J1329" t="inlineStr">
        <is>
          <t>Negative</t>
        </is>
      </c>
      <c r="K1329" t="inlineStr">
        <is>
          <t>High</t>
        </is>
      </c>
      <c r="L1329" t="inlineStr">
        <is>
          <t>Blocks Key Task</t>
        </is>
      </c>
      <c r="M1329" t="inlineStr">
        <is>
          <t>wf_fail</t>
        </is>
      </c>
      <c r="N1329" t="inlineStr">
        <is>
          <t>Workflows failing silently</t>
        </is>
      </c>
      <c r="O1329" t="inlineStr">
        <is>
          <t>2026-08</t>
        </is>
      </c>
    </row>
    <row r="1330">
      <c r="A1330" t="inlineStr">
        <is>
          <t>FB-01329</t>
        </is>
      </c>
      <c r="B1330" t="inlineStr">
        <is>
          <t>CUST-0108</t>
        </is>
      </c>
      <c r="C1330" s="11" t="n">
        <v>46262</v>
      </c>
      <c r="D1330" t="inlineStr">
        <is>
          <t>In-App Feedback</t>
        </is>
      </c>
      <c r="E1330" t="inlineStr">
        <is>
          <t>Enterprise</t>
        </is>
      </c>
      <c r="F1330" t="inlineStr">
        <is>
          <t>Mid-Market</t>
        </is>
      </c>
      <c r="G1330" t="inlineStr">
        <is>
          <t>Workflow Automation</t>
        </is>
      </c>
      <c r="H1330" t="inlineStr">
        <is>
          <t>Feature Request</t>
        </is>
      </c>
      <c r="I1330" t="inlineStr">
        <is>
          <t>We need a discount approval flow in workflows so managers can sign off on discounts. It affects our onboarding process every cycle.</t>
        </is>
      </c>
      <c r="J1330" t="inlineStr">
        <is>
          <t>Positive</t>
        </is>
      </c>
      <c r="K1330" t="inlineStr">
        <is>
          <t>Low</t>
        </is>
      </c>
      <c r="L1330" t="inlineStr">
        <is>
          <t>Workflow Slowdown</t>
        </is>
      </c>
      <c r="M1330" t="inlineStr">
        <is>
          <t>wf_approval</t>
        </is>
      </c>
      <c r="N1330" t="inlineStr">
        <is>
          <t>Approval steps in workflows</t>
        </is>
      </c>
      <c r="O1330" t="inlineStr">
        <is>
          <t>2026-08</t>
        </is>
      </c>
    </row>
    <row r="1331">
      <c r="A1331" t="inlineStr">
        <is>
          <t>FB-01330</t>
        </is>
      </c>
      <c r="B1331" t="inlineStr">
        <is>
          <t>CUST-0147</t>
        </is>
      </c>
      <c r="C1331" s="11" t="n">
        <v>46262</v>
      </c>
      <c r="D1331" t="inlineStr">
        <is>
          <t>Feature Request</t>
        </is>
      </c>
      <c r="E1331" t="inlineStr">
        <is>
          <t>Enterprise</t>
        </is>
      </c>
      <c r="F1331" t="inlineStr">
        <is>
          <t>Enterprise</t>
        </is>
      </c>
      <c r="G1331" t="inlineStr">
        <is>
          <t>User Interface</t>
        </is>
      </c>
      <c r="H1331" t="inlineStr">
        <is>
          <t>Usability Issue</t>
        </is>
      </c>
      <c r="I1331" t="inlineStr">
        <is>
          <t>Not what we expected for the price. The page layout is cluttered and I can never find the setting I need. Our customer success lead flagged it while onboarding 107 new users.</t>
        </is>
      </c>
      <c r="J1331" t="inlineStr">
        <is>
          <t>Negative</t>
        </is>
      </c>
      <c r="K1331" t="inlineStr">
        <is>
          <t>High</t>
        </is>
      </c>
      <c r="L1331" t="inlineStr">
        <is>
          <t>Revenue/Operations Risk</t>
        </is>
      </c>
      <c r="M1331" t="inlineStr">
        <is>
          <t>ui_nav</t>
        </is>
      </c>
      <c r="N1331" t="inlineStr">
        <is>
          <t>Cluttered navigation</t>
        </is>
      </c>
      <c r="O1331" t="inlineStr">
        <is>
          <t>2026-08</t>
        </is>
      </c>
    </row>
    <row r="1332">
      <c r="A1332" t="inlineStr">
        <is>
          <t>FB-01331</t>
        </is>
      </c>
      <c r="B1332" t="inlineStr">
        <is>
          <t>CUST-0136</t>
        </is>
      </c>
      <c r="C1332" s="11" t="n">
        <v>46262</v>
      </c>
      <c r="D1332" t="inlineStr">
        <is>
          <t>Support Ticket</t>
        </is>
      </c>
      <c r="E1332" t="inlineStr">
        <is>
          <t>Starter</t>
        </is>
      </c>
      <c r="F1332" t="inlineStr">
        <is>
          <t>SMB</t>
        </is>
      </c>
      <c r="G1332" t="inlineStr">
        <is>
          <t>Integrations</t>
        </is>
      </c>
      <c r="H1332" t="inlineStr">
        <is>
          <t>Integration Issue</t>
        </is>
      </c>
      <c r="I1332" t="inlineStr">
        <is>
          <t>Our team keeps running into this. The Outlook calendar sync duplicates meetings and misses replies. So far 49 people on our side have reported it.</t>
        </is>
      </c>
      <c r="J1332" t="inlineStr">
        <is>
          <t>Negative</t>
        </is>
      </c>
      <c r="K1332" t="inlineStr">
        <is>
          <t>Medium</t>
        </is>
      </c>
      <c r="L1332" t="inlineStr">
        <is>
          <t>Minor Inconvenience</t>
        </is>
      </c>
      <c r="M1332" t="inlineStr">
        <is>
          <t>int_email</t>
        </is>
      </c>
      <c r="N1332" t="inlineStr">
        <is>
          <t>Email and calendar sync drops</t>
        </is>
      </c>
      <c r="O1332" t="inlineStr">
        <is>
          <t>2026-08</t>
        </is>
      </c>
    </row>
    <row r="1333">
      <c r="A1333" t="inlineStr">
        <is>
          <t>FB-01332</t>
        </is>
      </c>
      <c r="B1333" t="inlineStr">
        <is>
          <t>CUST-0325</t>
        </is>
      </c>
      <c r="C1333" s="11" t="n">
        <v>46263</v>
      </c>
      <c r="D1333" t="inlineStr">
        <is>
          <t>Support Ticket</t>
        </is>
      </c>
      <c r="E1333" t="inlineStr">
        <is>
          <t>Starter</t>
        </is>
      </c>
      <c r="F1333" t="inlineStr">
        <is>
          <t>SMB</t>
        </is>
      </c>
      <c r="G1333" t="inlineStr">
        <is>
          <t>Workflow Automation</t>
        </is>
      </c>
      <c r="H1333" t="inlineStr">
        <is>
          <t>Bug</t>
        </is>
      </c>
      <c r="I1333" t="inlineStr">
        <is>
          <t>This has been a recurring problem for us. Several workflow runs failing silently left deals stuck in the wrong stage. We estimate we lose roughly 58 hours a month on this.</t>
        </is>
      </c>
      <c r="J1333" t="inlineStr">
        <is>
          <t>Negative</t>
        </is>
      </c>
      <c r="K1333" t="inlineStr">
        <is>
          <t>Low</t>
        </is>
      </c>
      <c r="L1333" t="inlineStr">
        <is>
          <t>Minor Inconvenience</t>
        </is>
      </c>
      <c r="M1333" t="inlineStr">
        <is>
          <t>wf_fail</t>
        </is>
      </c>
      <c r="N1333" t="inlineStr">
        <is>
          <t>Workflows failing silently</t>
        </is>
      </c>
      <c r="O1333" t="inlineStr">
        <is>
          <t>2026-08</t>
        </is>
      </c>
    </row>
    <row r="1334">
      <c r="A1334" t="inlineStr">
        <is>
          <t>FB-01333</t>
        </is>
      </c>
      <c r="B1334" t="inlineStr">
        <is>
          <t>CUST-0168</t>
        </is>
      </c>
      <c r="C1334" s="11" t="n">
        <v>46263</v>
      </c>
      <c r="D1334" t="inlineStr">
        <is>
          <t>In-App Feedback</t>
        </is>
      </c>
      <c r="E1334" t="inlineStr">
        <is>
          <t>Professional</t>
        </is>
      </c>
      <c r="F1334" t="inlineStr">
        <is>
          <t>Mid-Market</t>
        </is>
      </c>
      <c r="G1334" t="inlineStr">
        <is>
          <t>Lead Management</t>
        </is>
      </c>
      <c r="H1334" t="inlineStr">
        <is>
          <t>Bug</t>
        </is>
      </c>
      <c r="I1334" t="inlineStr">
        <is>
          <t>Frustrated with this one. Web form submissions keep creating lead de-duplication failures, and reps end up calling the same prospect twice. It happens about 11 times a week for our team of 23.</t>
        </is>
      </c>
      <c r="J1334" t="inlineStr">
        <is>
          <t>Negative</t>
        </is>
      </c>
      <c r="K1334" t="inlineStr">
        <is>
          <t>High</t>
        </is>
      </c>
      <c r="L1334" t="inlineStr">
        <is>
          <t>Blocks Key Task</t>
        </is>
      </c>
      <c r="M1334" t="inlineStr">
        <is>
          <t>lead_dup</t>
        </is>
      </c>
      <c r="N1334" t="inlineStr">
        <is>
          <t>Duplicate leads created</t>
        </is>
      </c>
      <c r="O1334" t="inlineStr">
        <is>
          <t>2026-08</t>
        </is>
      </c>
    </row>
    <row r="1335">
      <c r="A1335" t="inlineStr">
        <is>
          <t>FB-01334</t>
        </is>
      </c>
      <c r="B1335" t="inlineStr">
        <is>
          <t>CUST-0330</t>
        </is>
      </c>
      <c r="C1335" s="11" t="n">
        <v>46263</v>
      </c>
      <c r="D1335" t="inlineStr">
        <is>
          <t>Customer Survey</t>
        </is>
      </c>
      <c r="E1335" t="inlineStr">
        <is>
          <t>Professional</t>
        </is>
      </c>
      <c r="F1335" t="inlineStr">
        <is>
          <t>Mid-Market</t>
        </is>
      </c>
      <c r="G1335" t="inlineStr">
        <is>
          <t>Workflow Automation</t>
        </is>
      </c>
      <c r="H1335" t="inlineStr">
        <is>
          <t>Feature Request</t>
        </is>
      </c>
      <c r="I1335" t="inlineStr">
        <is>
          <t>Noting this during onboarding. Adding a discount approval flow is a blocker for our finance team. We estimate we lose roughly 4 hours a month on this.</t>
        </is>
      </c>
      <c r="J1335" t="inlineStr">
        <is>
          <t>Neutral</t>
        </is>
      </c>
      <c r="K1335" t="inlineStr">
        <is>
          <t>Critical</t>
        </is>
      </c>
      <c r="L1335" t="inlineStr">
        <is>
          <t>Workflow Slowdown</t>
        </is>
      </c>
      <c r="M1335" t="inlineStr">
        <is>
          <t>wf_approval</t>
        </is>
      </c>
      <c r="N1335" t="inlineStr">
        <is>
          <t>Approval steps in workflows</t>
        </is>
      </c>
      <c r="O1335" t="inlineStr">
        <is>
          <t>2026-08</t>
        </is>
      </c>
    </row>
    <row r="1336">
      <c r="A1336" t="inlineStr">
        <is>
          <t>FB-01335</t>
        </is>
      </c>
      <c r="B1336" t="inlineStr">
        <is>
          <t>CUST-0074</t>
        </is>
      </c>
      <c r="C1336" s="11" t="n">
        <v>46263</v>
      </c>
      <c r="D1336" t="inlineStr">
        <is>
          <t>Customer Survey</t>
        </is>
      </c>
      <c r="E1336" t="inlineStr">
        <is>
          <t>Enterprise</t>
        </is>
      </c>
      <c r="F1336" t="inlineStr">
        <is>
          <t>Mid-Market</t>
        </is>
      </c>
      <c r="G1336" t="inlineStr">
        <is>
          <t>Contact Management</t>
        </is>
      </c>
      <c r="H1336" t="inlineStr">
        <is>
          <t>Performance Issue</t>
        </is>
      </c>
      <c r="I1336" t="inlineStr">
        <is>
          <t>The contact search times out on our largest accounts.</t>
        </is>
      </c>
      <c r="J1336" t="inlineStr">
        <is>
          <t>Negative</t>
        </is>
      </c>
      <c r="K1336" t="inlineStr">
        <is>
          <t>High</t>
        </is>
      </c>
      <c r="L1336" t="inlineStr">
        <is>
          <t>Blocks Key Task</t>
        </is>
      </c>
      <c r="M1336" t="inlineStr">
        <is>
          <t>contact_search</t>
        </is>
      </c>
      <c r="N1336" t="inlineStr">
        <is>
          <t>Slow contact search</t>
        </is>
      </c>
      <c r="O1336" t="inlineStr">
        <is>
          <t>2026-08</t>
        </is>
      </c>
    </row>
    <row r="1337">
      <c r="A1337" t="inlineStr">
        <is>
          <t>FB-01336</t>
        </is>
      </c>
      <c r="B1337" t="inlineStr">
        <is>
          <t>CUST-0135</t>
        </is>
      </c>
      <c r="C1337" s="11" t="n">
        <v>46263</v>
      </c>
      <c r="D1337" t="inlineStr">
        <is>
          <t>In-App Feedback</t>
        </is>
      </c>
      <c r="E1337" t="inlineStr">
        <is>
          <t>Starter</t>
        </is>
      </c>
      <c r="F1337" t="inlineStr">
        <is>
          <t>Mid-Market</t>
        </is>
      </c>
      <c r="G1337" t="inlineStr">
        <is>
          <t>Lead Management</t>
        </is>
      </c>
      <c r="H1337" t="inlineStr">
        <is>
          <t>Usability Issue</t>
        </is>
      </c>
      <c r="I1337" t="inlineStr">
        <is>
          <t>It is hard to understand how round-robin lead assignment decide who owns a lead. It affects our lead handoff process every cycle.</t>
        </is>
      </c>
      <c r="J1337" t="inlineStr">
        <is>
          <t>Negative</t>
        </is>
      </c>
      <c r="K1337" t="inlineStr">
        <is>
          <t>Medium</t>
        </is>
      </c>
      <c r="L1337" t="inlineStr">
        <is>
          <t>Workflow Slowdown</t>
        </is>
      </c>
      <c r="M1337" t="inlineStr">
        <is>
          <t>lead_assign</t>
        </is>
      </c>
      <c r="N1337" t="inlineStr">
        <is>
          <t>Lead routing is inflexible</t>
        </is>
      </c>
      <c r="O1337" t="inlineStr">
        <is>
          <t>2026-08</t>
        </is>
      </c>
    </row>
    <row r="1338">
      <c r="A1338" t="inlineStr">
        <is>
          <t>FB-01337</t>
        </is>
      </c>
      <c r="B1338" t="inlineStr">
        <is>
          <t>CUST-0165</t>
        </is>
      </c>
      <c r="C1338" s="11" t="n">
        <v>46263</v>
      </c>
      <c r="D1338" t="inlineStr">
        <is>
          <t>Feature Request</t>
        </is>
      </c>
      <c r="E1338" t="inlineStr">
        <is>
          <t>Enterprise</t>
        </is>
      </c>
      <c r="F1338" t="inlineStr">
        <is>
          <t>Mid-Market</t>
        </is>
      </c>
      <c r="G1338" t="inlineStr">
        <is>
          <t>Contact Management</t>
        </is>
      </c>
      <c r="H1338" t="inlineStr">
        <is>
          <t>Feature Request</t>
        </is>
      </c>
      <c r="I1338" t="inlineStr">
        <is>
          <t>Requesting a contact relationship hierarchy so account managers can see who reports to whom. It happens about 22 times a week for our team of 92.</t>
        </is>
      </c>
      <c r="J1338" t="inlineStr">
        <is>
          <t>Neutral</t>
        </is>
      </c>
      <c r="K1338" t="inlineStr">
        <is>
          <t>Low</t>
        </is>
      </c>
      <c r="L1338" t="inlineStr">
        <is>
          <t>Minor Inconvenience</t>
        </is>
      </c>
      <c r="M1338" t="inlineStr">
        <is>
          <t>contact_custom</t>
        </is>
      </c>
      <c r="N1338" t="inlineStr">
        <is>
          <t>Custom fields and hierarchy</t>
        </is>
      </c>
      <c r="O1338" t="inlineStr">
        <is>
          <t>2026-08</t>
        </is>
      </c>
    </row>
    <row r="1339">
      <c r="A1339" t="inlineStr">
        <is>
          <t>FB-01338</t>
        </is>
      </c>
      <c r="B1339" t="inlineStr">
        <is>
          <t>CUST-0102</t>
        </is>
      </c>
      <c r="C1339" s="11" t="n">
        <v>46263</v>
      </c>
      <c r="D1339" t="inlineStr">
        <is>
          <t>Feature Request</t>
        </is>
      </c>
      <c r="E1339" t="inlineStr">
        <is>
          <t>Professional</t>
        </is>
      </c>
      <c r="F1339" t="inlineStr">
        <is>
          <t>Mid-Market</t>
        </is>
      </c>
      <c r="G1339" t="inlineStr">
        <is>
          <t>Contact Management</t>
        </is>
      </c>
      <c r="H1339" t="inlineStr">
        <is>
          <t>Feature Request</t>
        </is>
      </c>
      <c r="I1339" t="inlineStr">
        <is>
          <t>Escalating on behalf of our ops lead. Lacking an account hierarchy view forces us to keep a parallel spreadsheet. It happens about 16 times a week for our team of 89. Please look into it soon.</t>
        </is>
      </c>
      <c r="J1339" t="inlineStr">
        <is>
          <t>Negative</t>
        </is>
      </c>
      <c r="K1339" t="inlineStr">
        <is>
          <t>High</t>
        </is>
      </c>
      <c r="L1339" t="inlineStr">
        <is>
          <t>Blocks Key Task</t>
        </is>
      </c>
      <c r="M1339" t="inlineStr">
        <is>
          <t>contact_custom</t>
        </is>
      </c>
      <c r="N1339" t="inlineStr">
        <is>
          <t>Custom fields and hierarchy</t>
        </is>
      </c>
      <c r="O1339" t="inlineStr">
        <is>
          <t>2026-08</t>
        </is>
      </c>
    </row>
    <row r="1340">
      <c r="A1340" t="inlineStr">
        <is>
          <t>FB-01339</t>
        </is>
      </c>
      <c r="B1340" t="inlineStr">
        <is>
          <t>CUST-0250</t>
        </is>
      </c>
      <c r="C1340" s="11" t="n">
        <v>46263</v>
      </c>
      <c r="D1340" t="inlineStr">
        <is>
          <t>Support Ticket</t>
        </is>
      </c>
      <c r="E1340" t="inlineStr">
        <is>
          <t>Professional</t>
        </is>
      </c>
      <c r="F1340" t="inlineStr">
        <is>
          <t>Mid-Market</t>
        </is>
      </c>
      <c r="G1340" t="inlineStr">
        <is>
          <t>Contact Management</t>
        </is>
      </c>
      <c r="H1340" t="inlineStr">
        <is>
          <t>Bug</t>
        </is>
      </c>
      <c r="I1340" t="inlineStr">
        <is>
          <t>The contact CSV import fails halfway through with a generic error and no row-level detail. It happens about 29 times a week for our team of 9.</t>
        </is>
      </c>
      <c r="J1340" t="inlineStr">
        <is>
          <t>Positive</t>
        </is>
      </c>
      <c r="K1340" t="inlineStr">
        <is>
          <t>Medium</t>
        </is>
      </c>
      <c r="L1340" t="inlineStr">
        <is>
          <t>Minor Inconvenience</t>
        </is>
      </c>
      <c r="M1340" t="inlineStr">
        <is>
          <t>contact_import</t>
        </is>
      </c>
      <c r="N1340" t="inlineStr">
        <is>
          <t>Unreliable contact imports</t>
        </is>
      </c>
      <c r="O1340" t="inlineStr">
        <is>
          <t>2026-08</t>
        </is>
      </c>
    </row>
    <row r="1341">
      <c r="A1341" t="inlineStr">
        <is>
          <t>FB-01340</t>
        </is>
      </c>
      <c r="B1341" t="inlineStr">
        <is>
          <t>CUST-0078</t>
        </is>
      </c>
      <c r="C1341" s="11" t="n">
        <v>46264</v>
      </c>
      <c r="D1341" t="inlineStr">
        <is>
          <t>Support Ticket</t>
        </is>
      </c>
      <c r="E1341" t="inlineStr">
        <is>
          <t>Professional</t>
        </is>
      </c>
      <c r="F1341" t="inlineStr">
        <is>
          <t>SMB</t>
        </is>
      </c>
      <c r="G1341" t="inlineStr">
        <is>
          <t>Contact Management</t>
        </is>
      </c>
      <c r="H1341" t="inlineStr">
        <is>
          <t>Bug</t>
        </is>
      </c>
      <c r="I1341" t="inlineStr">
        <is>
          <t>The import field mapping silently skipped rows and we only noticed days later.</t>
        </is>
      </c>
      <c r="J1341" t="inlineStr">
        <is>
          <t>Negative</t>
        </is>
      </c>
      <c r="K1341" t="inlineStr">
        <is>
          <t>Medium</t>
        </is>
      </c>
      <c r="L1341" t="inlineStr">
        <is>
          <t>Workflow Slowdown</t>
        </is>
      </c>
      <c r="M1341" t="inlineStr">
        <is>
          <t>contact_import</t>
        </is>
      </c>
      <c r="N1341" t="inlineStr">
        <is>
          <t>Unreliable contact imports</t>
        </is>
      </c>
      <c r="O1341" t="inlineStr">
        <is>
          <t>2026-08</t>
        </is>
      </c>
    </row>
    <row r="1342">
      <c r="A1342" t="inlineStr">
        <is>
          <t>FB-01341</t>
        </is>
      </c>
      <c r="B1342" t="inlineStr">
        <is>
          <t>CUST-0220</t>
        </is>
      </c>
      <c r="C1342" s="11" t="n">
        <v>46264</v>
      </c>
      <c r="D1342" t="inlineStr">
        <is>
          <t>In-App Feedback</t>
        </is>
      </c>
      <c r="E1342" t="inlineStr">
        <is>
          <t>Professional</t>
        </is>
      </c>
      <c r="F1342" t="inlineStr">
        <is>
          <t>Mid-Market</t>
        </is>
      </c>
      <c r="G1342" t="inlineStr">
        <is>
          <t>Contact Management</t>
        </is>
      </c>
      <c r="H1342" t="inlineStr">
        <is>
          <t>Bug</t>
        </is>
      </c>
      <c r="I1342" t="inlineStr">
        <is>
          <t>The contact CSV import fails halfway through with a generic error and no row-level detail. We estimate we lose roughly 26 hours a month on this.</t>
        </is>
      </c>
      <c r="J1342" t="inlineStr">
        <is>
          <t>Negative</t>
        </is>
      </c>
      <c r="K1342" t="inlineStr">
        <is>
          <t>Low</t>
        </is>
      </c>
      <c r="L1342" t="inlineStr">
        <is>
          <t>Minor Inconvenience</t>
        </is>
      </c>
      <c r="M1342" t="inlineStr">
        <is>
          <t>contact_import</t>
        </is>
      </c>
      <c r="N1342" t="inlineStr">
        <is>
          <t>Unreliable contact imports</t>
        </is>
      </c>
      <c r="O1342" t="inlineStr">
        <is>
          <t>2026-08</t>
        </is>
      </c>
    </row>
    <row r="1343">
      <c r="A1343" t="inlineStr">
        <is>
          <t>FB-01342</t>
        </is>
      </c>
      <c r="B1343" t="inlineStr">
        <is>
          <t>CUST-0232</t>
        </is>
      </c>
      <c r="C1343" s="11" t="n">
        <v>46264</v>
      </c>
      <c r="D1343" t="inlineStr">
        <is>
          <t>Support Ticket</t>
        </is>
      </c>
      <c r="E1343" t="inlineStr">
        <is>
          <t>Enterprise</t>
        </is>
      </c>
      <c r="F1343" t="inlineStr">
        <is>
          <t>Mid-Market</t>
        </is>
      </c>
      <c r="G1343" t="inlineStr">
        <is>
          <t>Integrations</t>
        </is>
      </c>
      <c r="H1343" t="inlineStr">
        <is>
          <t>Integration Issue</t>
        </is>
      </c>
      <c r="I1343" t="inlineStr">
        <is>
          <t>Not what we expected for the price. API timeouts is unreliable and there is no retry or log we can inspect. It affects our renewal process every cycle. Please look into it soon.</t>
        </is>
      </c>
      <c r="J1343" t="inlineStr">
        <is>
          <t>Negative</t>
        </is>
      </c>
      <c r="K1343" t="inlineStr">
        <is>
          <t>Medium</t>
        </is>
      </c>
      <c r="L1343" t="inlineStr">
        <is>
          <t>Workflow Slowdown</t>
        </is>
      </c>
      <c r="M1343" t="inlineStr">
        <is>
          <t>int_api</t>
        </is>
      </c>
      <c r="N1343" t="inlineStr">
        <is>
          <t>API limits and webhook failures</t>
        </is>
      </c>
      <c r="O1343" t="inlineStr">
        <is>
          <t>2026-08</t>
        </is>
      </c>
    </row>
    <row r="1344">
      <c r="A1344" t="inlineStr">
        <is>
          <t>FB-01343</t>
        </is>
      </c>
      <c r="B1344" t="inlineStr">
        <is>
          <t>CUST-0158</t>
        </is>
      </c>
      <c r="C1344" s="11" t="n">
        <v>46265</v>
      </c>
      <c r="D1344" t="inlineStr">
        <is>
          <t>Support Ticket</t>
        </is>
      </c>
      <c r="E1344" t="inlineStr">
        <is>
          <t>Starter</t>
        </is>
      </c>
      <c r="F1344" t="inlineStr">
        <is>
          <t>SMB</t>
        </is>
      </c>
      <c r="G1344" t="inlineStr">
        <is>
          <t>Workflow Automation</t>
        </is>
      </c>
      <c r="H1344" t="inlineStr">
        <is>
          <t>Usability Issue</t>
        </is>
      </c>
      <c r="I1344" t="inlineStr">
        <is>
          <t>Frustrated with this one. Our new admins struggle with the automation canvas; there is no guidance or validation. Please look into it soon.</t>
        </is>
      </c>
      <c r="J1344" t="inlineStr">
        <is>
          <t>Negative</t>
        </is>
      </c>
      <c r="K1344" t="inlineStr">
        <is>
          <t>Low</t>
        </is>
      </c>
      <c r="L1344" t="inlineStr">
        <is>
          <t>Workflow Slowdown</t>
        </is>
      </c>
      <c r="M1344" t="inlineStr">
        <is>
          <t>wf_builder</t>
        </is>
      </c>
      <c r="N1344" t="inlineStr">
        <is>
          <t>Confusing workflow builder</t>
        </is>
      </c>
      <c r="O1344" t="inlineStr">
        <is>
          <t>2026-08</t>
        </is>
      </c>
    </row>
    <row r="1345">
      <c r="A1345" t="inlineStr">
        <is>
          <t>FB-01344</t>
        </is>
      </c>
      <c r="B1345" t="inlineStr">
        <is>
          <t>CUST-0265</t>
        </is>
      </c>
      <c r="C1345" s="11" t="n">
        <v>46265</v>
      </c>
      <c r="D1345" t="inlineStr">
        <is>
          <t>Feature Request</t>
        </is>
      </c>
      <c r="E1345" t="inlineStr">
        <is>
          <t>Starter</t>
        </is>
      </c>
      <c r="F1345" t="inlineStr">
        <is>
          <t>SMB</t>
        </is>
      </c>
      <c r="G1345" t="inlineStr">
        <is>
          <t>User Interface</t>
        </is>
      </c>
      <c r="H1345" t="inlineStr">
        <is>
          <t>Feature Request</t>
        </is>
      </c>
      <c r="I1345" t="inlineStr">
        <is>
          <t>We need bulk edit actions to update owners and stages for many records at once. It affects our month-end reporting process every cycle. Keep up the good work.</t>
        </is>
      </c>
      <c r="J1345" t="inlineStr">
        <is>
          <t>Positive</t>
        </is>
      </c>
      <c r="K1345" t="inlineStr">
        <is>
          <t>Low</t>
        </is>
      </c>
      <c r="L1345" t="inlineStr">
        <is>
          <t>Workflow Slowdown</t>
        </is>
      </c>
      <c r="M1345" t="inlineStr">
        <is>
          <t>ui_bulk</t>
        </is>
      </c>
      <c r="N1345" t="inlineStr">
        <is>
          <t>Bulk actions</t>
        </is>
      </c>
      <c r="O1345" t="inlineStr">
        <is>
          <t>2026-08</t>
        </is>
      </c>
    </row>
    <row r="1346">
      <c r="A1346" t="inlineStr">
        <is>
          <t>FB-01345</t>
        </is>
      </c>
      <c r="B1346" t="inlineStr">
        <is>
          <t>CUST-0131</t>
        </is>
      </c>
      <c r="C1346" s="11" t="n">
        <v>46265</v>
      </c>
      <c r="D1346" t="inlineStr">
        <is>
          <t>Support Ticket</t>
        </is>
      </c>
      <c r="E1346" t="inlineStr">
        <is>
          <t>Starter</t>
        </is>
      </c>
      <c r="F1346" t="inlineStr">
        <is>
          <t>SMB</t>
        </is>
      </c>
      <c r="G1346" t="inlineStr">
        <is>
          <t>Workflow Automation</t>
        </is>
      </c>
      <c r="H1346" t="inlineStr">
        <is>
          <t>Bug</t>
        </is>
      </c>
      <c r="I1346" t="inlineStr">
        <is>
          <t>FYI for the product team. We are hitting workflow failures: emails don't send and nobody gets notified. So far 100 people on our side have reported it.</t>
        </is>
      </c>
      <c r="J1346" t="inlineStr">
        <is>
          <t>Neutral</t>
        </is>
      </c>
      <c r="K1346" t="inlineStr">
        <is>
          <t>Low</t>
        </is>
      </c>
      <c r="L1346" t="inlineStr">
        <is>
          <t>Workflow Slowdown</t>
        </is>
      </c>
      <c r="M1346" t="inlineStr">
        <is>
          <t>wf_fail</t>
        </is>
      </c>
      <c r="N1346" t="inlineStr">
        <is>
          <t>Workflows failing silently</t>
        </is>
      </c>
      <c r="O1346" t="inlineStr">
        <is>
          <t>2026-08</t>
        </is>
      </c>
    </row>
    <row r="1347">
      <c r="A1347" t="inlineStr">
        <is>
          <t>FB-01346</t>
        </is>
      </c>
      <c r="B1347" t="inlineStr">
        <is>
          <t>CUST-0409</t>
        </is>
      </c>
      <c r="C1347" s="11" t="n">
        <v>46265</v>
      </c>
      <c r="D1347" t="inlineStr">
        <is>
          <t>In-App Feedback</t>
        </is>
      </c>
      <c r="E1347" t="inlineStr">
        <is>
          <t>Starter</t>
        </is>
      </c>
      <c r="F1347" t="inlineStr">
        <is>
          <t>SMB</t>
        </is>
      </c>
      <c r="G1347" t="inlineStr">
        <is>
          <t>User Interface</t>
        </is>
      </c>
      <c r="H1347" t="inlineStr">
        <is>
          <t>Feature Request</t>
        </is>
      </c>
      <c r="I1347" t="inlineStr">
        <is>
          <t>Please prioritize offline mobile access; the mobile web view is hard to use. So far 119 people on our side have reported it. Happy to join a feedback call.</t>
        </is>
      </c>
      <c r="J1347" t="inlineStr">
        <is>
          <t>Neutral</t>
        </is>
      </c>
      <c r="K1347" t="inlineStr">
        <is>
          <t>Low</t>
        </is>
      </c>
      <c r="L1347" t="inlineStr">
        <is>
          <t>Unknown</t>
        </is>
      </c>
      <c r="M1347" t="inlineStr">
        <is>
          <t>ui_mobile</t>
        </is>
      </c>
      <c r="N1347" t="inlineStr">
        <is>
          <t>Mobile app</t>
        </is>
      </c>
      <c r="O1347" t="inlineStr">
        <is>
          <t>2026-08</t>
        </is>
      </c>
    </row>
    <row r="1348">
      <c r="A1348" t="inlineStr">
        <is>
          <t>FB-01347</t>
        </is>
      </c>
      <c r="B1348" t="inlineStr">
        <is>
          <t>CUST-0204</t>
        </is>
      </c>
      <c r="C1348" s="11" t="n">
        <v>46265</v>
      </c>
      <c r="D1348" t="inlineStr">
        <is>
          <t>Customer Survey</t>
        </is>
      </c>
      <c r="E1348" t="inlineStr">
        <is>
          <t>Enterprise</t>
        </is>
      </c>
      <c r="F1348" t="inlineStr">
        <is>
          <t>Enterprise</t>
        </is>
      </c>
      <c r="G1348" t="inlineStr">
        <is>
          <t>Integrations</t>
        </is>
      </c>
      <c r="H1348" t="inlineStr">
        <is>
          <t>Integration Issue</t>
        </is>
      </c>
      <c r="I1348" t="inlineStr">
        <is>
          <t>Not what we expected for the price. Our Outlook calendar sync keeps disconnecting and activities are missing from the contact timeline. Support suggested logging it here.</t>
        </is>
      </c>
      <c r="J1348" t="inlineStr">
        <is>
          <t>Negative</t>
        </is>
      </c>
      <c r="K1348" t="inlineStr">
        <is>
          <t>High</t>
        </is>
      </c>
      <c r="L1348" t="inlineStr">
        <is>
          <t>Blocks Key Task</t>
        </is>
      </c>
      <c r="M1348" t="inlineStr">
        <is>
          <t>int_email</t>
        </is>
      </c>
      <c r="N1348" t="inlineStr">
        <is>
          <t>Email and calendar sync drops</t>
        </is>
      </c>
      <c r="O1348" t="inlineStr">
        <is>
          <t>2026-08</t>
        </is>
      </c>
    </row>
    <row r="1349">
      <c r="A1349" t="inlineStr">
        <is>
          <t>FB-01348</t>
        </is>
      </c>
      <c r="B1349" t="inlineStr">
        <is>
          <t>CUST-0175</t>
        </is>
      </c>
      <c r="C1349" s="11" t="n">
        <v>46265</v>
      </c>
      <c r="D1349" t="inlineStr">
        <is>
          <t>Feature Request</t>
        </is>
      </c>
      <c r="E1349" t="inlineStr">
        <is>
          <t>Professional</t>
        </is>
      </c>
      <c r="F1349" t="inlineStr">
        <is>
          <t>Mid-Market</t>
        </is>
      </c>
      <c r="G1349" t="inlineStr">
        <is>
          <t>User Interface</t>
        </is>
      </c>
      <c r="H1349" t="inlineStr">
        <is>
          <t>Feature Request</t>
        </is>
      </c>
      <c r="I1349" t="inlineStr">
        <is>
          <t>Sharing this from our team. Please prioritize mobile call logging; the mobile web view is hard to use. Our admin flagged it while onboarding 44 new users. Happy to join a feedback call.</t>
        </is>
      </c>
      <c r="J1349" t="inlineStr">
        <is>
          <t>Neutral</t>
        </is>
      </c>
      <c r="K1349" t="inlineStr">
        <is>
          <t>High</t>
        </is>
      </c>
      <c r="L1349" t="inlineStr">
        <is>
          <t>Workflow Slowdown</t>
        </is>
      </c>
      <c r="M1349" t="inlineStr">
        <is>
          <t>ui_mobile</t>
        </is>
      </c>
      <c r="N1349" t="inlineStr">
        <is>
          <t>Mobile app</t>
        </is>
      </c>
      <c r="O1349" t="inlineStr">
        <is>
          <t>2026-08</t>
        </is>
      </c>
    </row>
    <row r="1350">
      <c r="A1350" t="inlineStr">
        <is>
          <t>FB-01349</t>
        </is>
      </c>
      <c r="B1350" t="inlineStr">
        <is>
          <t>CUST-0021</t>
        </is>
      </c>
      <c r="C1350" s="11" t="n">
        <v>46265</v>
      </c>
      <c r="D1350" t="inlineStr">
        <is>
          <t>Feature Request</t>
        </is>
      </c>
      <c r="E1350" t="inlineStr">
        <is>
          <t>Professional</t>
        </is>
      </c>
      <c r="F1350" t="inlineStr">
        <is>
          <t>Mid-Market</t>
        </is>
      </c>
      <c r="G1350" t="inlineStr">
        <is>
          <t>Workflow Automation</t>
        </is>
      </c>
      <c r="H1350" t="inlineStr">
        <is>
          <t>Feature Request</t>
        </is>
      </c>
      <c r="I1350" t="inlineStr">
        <is>
          <t>A library of automation recipes would cut our setup time.</t>
        </is>
      </c>
      <c r="J1350" t="inlineStr">
        <is>
          <t>Neutral</t>
        </is>
      </c>
      <c r="K1350" t="inlineStr">
        <is>
          <t>Low</t>
        </is>
      </c>
      <c r="L1350" t="inlineStr">
        <is>
          <t>Minor Inconvenience</t>
        </is>
      </c>
      <c r="M1350" t="inlineStr">
        <is>
          <t>wf_templates</t>
        </is>
      </c>
      <c r="N1350" t="inlineStr">
        <is>
          <t>Workflow templates</t>
        </is>
      </c>
      <c r="O1350" t="inlineStr">
        <is>
          <t>2026-08</t>
        </is>
      </c>
    </row>
    <row r="1351">
      <c r="A1351" t="inlineStr">
        <is>
          <t>FB-01350</t>
        </is>
      </c>
      <c r="B1351" t="inlineStr">
        <is>
          <t>CUST-0108</t>
        </is>
      </c>
      <c r="C1351" s="11" t="n">
        <v>46266</v>
      </c>
      <c r="D1351" t="inlineStr">
        <is>
          <t>In-App Feedback</t>
        </is>
      </c>
      <c r="E1351" t="inlineStr">
        <is>
          <t>Enterprise</t>
        </is>
      </c>
      <c r="F1351" t="inlineStr">
        <is>
          <t>Mid-Market</t>
        </is>
      </c>
      <c r="G1351" t="inlineStr">
        <is>
          <t>Lead Management</t>
        </is>
      </c>
      <c r="H1351" t="inlineStr">
        <is>
          <t>Bug</t>
        </is>
      </c>
      <c r="I1351" t="inlineStr">
        <is>
          <t>After every list import we find lead de-duplication failures that have to be cleaned up by hand.</t>
        </is>
      </c>
      <c r="J1351" t="inlineStr">
        <is>
          <t>Positive</t>
        </is>
      </c>
      <c r="K1351" t="inlineStr">
        <is>
          <t>Medium</t>
        </is>
      </c>
      <c r="L1351" t="inlineStr">
        <is>
          <t>Minor Inconvenience</t>
        </is>
      </c>
      <c r="M1351" t="inlineStr">
        <is>
          <t>lead_dup</t>
        </is>
      </c>
      <c r="N1351" t="inlineStr">
        <is>
          <t>Duplicate leads created</t>
        </is>
      </c>
      <c r="O1351" t="inlineStr">
        <is>
          <t>2026-09</t>
        </is>
      </c>
    </row>
    <row r="1352">
      <c r="A1352" t="inlineStr">
        <is>
          <t>FB-01351</t>
        </is>
      </c>
      <c r="B1352" t="inlineStr">
        <is>
          <t>CUST-0387</t>
        </is>
      </c>
      <c r="C1352" s="11" t="n">
        <v>46266</v>
      </c>
      <c r="D1352" t="inlineStr">
        <is>
          <t>Customer Survey</t>
        </is>
      </c>
      <c r="E1352" t="inlineStr">
        <is>
          <t>Starter</t>
        </is>
      </c>
      <c r="F1352" t="inlineStr">
        <is>
          <t>SMB</t>
        </is>
      </c>
      <c r="G1352" t="inlineStr">
        <is>
          <t>Workflow Automation</t>
        </is>
      </c>
      <c r="H1352" t="inlineStr">
        <is>
          <t>Feature Request</t>
        </is>
      </c>
      <c r="I1352" t="inlineStr">
        <is>
          <t>Our team keeps running into this. Adding approval steps is a blocker for our finance team. Our marketing ops owner flagged it while onboarding 108 new users. We need a fix before renewal.</t>
        </is>
      </c>
      <c r="J1352" t="inlineStr">
        <is>
          <t>Negative</t>
        </is>
      </c>
      <c r="K1352" t="inlineStr">
        <is>
          <t>Low</t>
        </is>
      </c>
      <c r="L1352" t="inlineStr">
        <is>
          <t>Minor Inconvenience</t>
        </is>
      </c>
      <c r="M1352" t="inlineStr">
        <is>
          <t>wf_approval</t>
        </is>
      </c>
      <c r="N1352" t="inlineStr">
        <is>
          <t>Approval steps in workflows</t>
        </is>
      </c>
      <c r="O1352" t="inlineStr">
        <is>
          <t>2026-09</t>
        </is>
      </c>
    </row>
    <row r="1353">
      <c r="A1353" t="inlineStr">
        <is>
          <t>FB-01352</t>
        </is>
      </c>
      <c r="B1353" t="inlineStr">
        <is>
          <t>CUST-0049</t>
        </is>
      </c>
      <c r="C1353" s="11" t="n">
        <v>46266</v>
      </c>
      <c r="D1353" t="inlineStr">
        <is>
          <t>In-App Feedback</t>
        </is>
      </c>
      <c r="E1353" t="inlineStr">
        <is>
          <t>Starter</t>
        </is>
      </c>
      <c r="F1353" t="inlineStr">
        <is>
          <t>SMB</t>
        </is>
      </c>
      <c r="G1353" t="inlineStr">
        <is>
          <t>Lead Management</t>
        </is>
      </c>
      <c r="H1353" t="inlineStr">
        <is>
          <t>Performance Issue</t>
        </is>
      </c>
      <c r="I1353" t="inlineStr">
        <is>
          <t>Not what we expected for the price. Reps have stopped using the board because of lead list loading. Our finance analyst flagged it while onboarding 23 new users.</t>
        </is>
      </c>
      <c r="J1353" t="inlineStr">
        <is>
          <t>Negative</t>
        </is>
      </c>
      <c r="K1353" t="inlineStr">
        <is>
          <t>High</t>
        </is>
      </c>
      <c r="L1353" t="inlineStr">
        <is>
          <t>Blocks Key Task</t>
        </is>
      </c>
      <c r="M1353" t="inlineStr">
        <is>
          <t>lead_slow</t>
        </is>
      </c>
      <c r="N1353" t="inlineStr">
        <is>
          <t>Slow lead lists and pipeline board</t>
        </is>
      </c>
      <c r="O1353" t="inlineStr">
        <is>
          <t>2026-09</t>
        </is>
      </c>
    </row>
    <row r="1354">
      <c r="A1354" t="inlineStr">
        <is>
          <t>FB-01353</t>
        </is>
      </c>
      <c r="B1354" t="inlineStr">
        <is>
          <t>CUST-0397</t>
        </is>
      </c>
      <c r="C1354" s="11" t="n">
        <v>46266</v>
      </c>
      <c r="D1354" t="inlineStr">
        <is>
          <t>Customer Survey</t>
        </is>
      </c>
      <c r="E1354" t="inlineStr">
        <is>
          <t>Starter</t>
        </is>
      </c>
      <c r="F1354" t="inlineStr">
        <is>
          <t>Mid-Market</t>
        </is>
      </c>
      <c r="G1354" t="inlineStr">
        <is>
          <t>Lead Management</t>
        </is>
      </c>
      <c r="H1354" t="inlineStr">
        <is>
          <t>Usability Issue</t>
        </is>
      </c>
      <c r="I1354" t="inlineStr">
        <is>
          <t>Noting this during onboarding. We can't combine region and deal size in the lead routing rules. It happens about 29 times a week for our team of 98.</t>
        </is>
      </c>
      <c r="J1354" t="inlineStr">
        <is>
          <t>Neutral</t>
        </is>
      </c>
      <c r="K1354" t="inlineStr">
        <is>
          <t>Low</t>
        </is>
      </c>
      <c r="L1354" t="inlineStr">
        <is>
          <t>Minor Inconvenience</t>
        </is>
      </c>
      <c r="M1354" t="inlineStr">
        <is>
          <t>lead_assign</t>
        </is>
      </c>
      <c r="N1354" t="inlineStr">
        <is>
          <t>Lead routing is inflexible</t>
        </is>
      </c>
      <c r="O1354" t="inlineStr">
        <is>
          <t>2026-09</t>
        </is>
      </c>
    </row>
    <row r="1355">
      <c r="A1355" t="inlineStr">
        <is>
          <t>FB-01354</t>
        </is>
      </c>
      <c r="B1355" t="inlineStr">
        <is>
          <t>CUST-0226</t>
        </is>
      </c>
      <c r="C1355" s="11" t="n">
        <v>46266</v>
      </c>
      <c r="D1355" t="inlineStr">
        <is>
          <t>Support Ticket</t>
        </is>
      </c>
      <c r="E1355" t="inlineStr">
        <is>
          <t>Professional</t>
        </is>
      </c>
      <c r="F1355" t="inlineStr">
        <is>
          <t>Enterprise</t>
        </is>
      </c>
      <c r="G1355" t="inlineStr">
        <is>
          <t>Reporting</t>
        </is>
      </c>
      <c r="H1355" t="inlineStr">
        <is>
          <t>Bug</t>
        </is>
      </c>
      <c r="I1355" t="inlineStr">
        <is>
          <t>The CSV export of reports times out for date ranges longer than a quarter. Our admin flagged it while onboarding 35 new users.</t>
        </is>
      </c>
      <c r="J1355" t="inlineStr">
        <is>
          <t>Negative</t>
        </is>
      </c>
      <c r="K1355" t="inlineStr">
        <is>
          <t>High</t>
        </is>
      </c>
      <c r="L1355" t="inlineStr">
        <is>
          <t>Revenue/Operations Risk</t>
        </is>
      </c>
      <c r="M1355" t="inlineStr">
        <is>
          <t>rep_export</t>
        </is>
      </c>
      <c r="N1355" t="inlineStr">
        <is>
          <t>Broken report exports</t>
        </is>
      </c>
      <c r="O1355" t="inlineStr">
        <is>
          <t>2026-09</t>
        </is>
      </c>
    </row>
    <row r="1356">
      <c r="A1356" t="inlineStr">
        <is>
          <t>FB-01355</t>
        </is>
      </c>
      <c r="B1356" t="inlineStr">
        <is>
          <t>CUST-0322</t>
        </is>
      </c>
      <c r="C1356" s="11" t="n">
        <v>46267</v>
      </c>
      <c r="D1356" t="inlineStr">
        <is>
          <t>Feature Request</t>
        </is>
      </c>
      <c r="E1356" t="inlineStr">
        <is>
          <t>Starter</t>
        </is>
      </c>
      <c r="F1356" t="inlineStr">
        <is>
          <t>SMB</t>
        </is>
      </c>
      <c r="G1356" t="inlineStr">
        <is>
          <t>User Interface</t>
        </is>
      </c>
      <c r="H1356" t="inlineStr">
        <is>
          <t>Feature Request</t>
        </is>
      </c>
      <c r="I1356" t="inlineStr">
        <is>
          <t>Recent updates have been a nice improvement. Please prioritize offline mobile access; the mobile web view is hard to use. So far 113 people on our side have reported it. Keep up the good work.</t>
        </is>
      </c>
      <c r="J1356" t="inlineStr">
        <is>
          <t>Positive</t>
        </is>
      </c>
      <c r="K1356" t="inlineStr">
        <is>
          <t>Low</t>
        </is>
      </c>
      <c r="L1356" t="inlineStr">
        <is>
          <t>Workflow Slowdown</t>
        </is>
      </c>
      <c r="M1356" t="inlineStr">
        <is>
          <t>ui_mobile</t>
        </is>
      </c>
      <c r="N1356" t="inlineStr">
        <is>
          <t>Mobile app</t>
        </is>
      </c>
      <c r="O1356" t="inlineStr">
        <is>
          <t>2026-09</t>
        </is>
      </c>
    </row>
    <row r="1357">
      <c r="A1357" t="inlineStr">
        <is>
          <t>FB-01356</t>
        </is>
      </c>
      <c r="B1357" t="inlineStr">
        <is>
          <t>CUST-0210</t>
        </is>
      </c>
      <c r="C1357" s="11" t="n">
        <v>46267</v>
      </c>
      <c r="D1357" t="inlineStr">
        <is>
          <t>Customer Survey</t>
        </is>
      </c>
      <c r="E1357" t="inlineStr">
        <is>
          <t>Professional</t>
        </is>
      </c>
      <c r="F1357" t="inlineStr">
        <is>
          <t>Mid-Market</t>
        </is>
      </c>
      <c r="G1357" t="inlineStr">
        <is>
          <t>Integrations</t>
        </is>
      </c>
      <c r="H1357" t="inlineStr">
        <is>
          <t>Feature Request</t>
        </is>
      </c>
      <c r="I1357" t="inlineStr">
        <is>
          <t>Sharing this from our team. Our security team requires SSO support before we can expand seats. We estimate we lose roughly 14 hours a month on this. Happy to join a feedback call.</t>
        </is>
      </c>
      <c r="J1357" t="inlineStr">
        <is>
          <t>Neutral</t>
        </is>
      </c>
      <c r="K1357" t="inlineStr">
        <is>
          <t>Medium</t>
        </is>
      </c>
      <c r="L1357" t="inlineStr">
        <is>
          <t>Minor Inconvenience</t>
        </is>
      </c>
      <c r="M1357" t="inlineStr">
        <is>
          <t>int_sso</t>
        </is>
      </c>
      <c r="N1357" t="inlineStr">
        <is>
          <t>SSO and provisioning</t>
        </is>
      </c>
      <c r="O1357" t="inlineStr">
        <is>
          <t>2026-09</t>
        </is>
      </c>
    </row>
    <row r="1358">
      <c r="A1358" t="inlineStr">
        <is>
          <t>FB-01357</t>
        </is>
      </c>
      <c r="B1358" t="inlineStr">
        <is>
          <t>CUST-0367</t>
        </is>
      </c>
      <c r="C1358" s="11" t="n">
        <v>46268</v>
      </c>
      <c r="D1358" t="inlineStr">
        <is>
          <t>Customer Survey</t>
        </is>
      </c>
      <c r="E1358" t="inlineStr">
        <is>
          <t>Enterprise</t>
        </is>
      </c>
      <c r="F1358" t="inlineStr">
        <is>
          <t>Mid-Market</t>
        </is>
      </c>
      <c r="G1358" t="inlineStr">
        <is>
          <t>Workflow Automation</t>
        </is>
      </c>
      <c r="H1358" t="inlineStr">
        <is>
          <t>Feature Request</t>
        </is>
      </c>
      <c r="I1358" t="inlineStr">
        <is>
          <t>Adding approval steps is a blocker for our finance team. Our admin flagged it while onboarding 80 new users.</t>
        </is>
      </c>
      <c r="J1358" t="inlineStr">
        <is>
          <t>Positive</t>
        </is>
      </c>
      <c r="K1358" t="inlineStr">
        <is>
          <t>Low</t>
        </is>
      </c>
      <c r="L1358" t="inlineStr">
        <is>
          <t>Minor Inconvenience</t>
        </is>
      </c>
      <c r="M1358" t="inlineStr">
        <is>
          <t>wf_approval</t>
        </is>
      </c>
      <c r="N1358" t="inlineStr">
        <is>
          <t>Approval steps in workflows</t>
        </is>
      </c>
      <c r="O1358" t="inlineStr">
        <is>
          <t>2026-09</t>
        </is>
      </c>
    </row>
    <row r="1359">
      <c r="A1359" t="inlineStr">
        <is>
          <t>FB-01358</t>
        </is>
      </c>
      <c r="B1359" t="inlineStr">
        <is>
          <t>CUST-0196</t>
        </is>
      </c>
      <c r="C1359" s="11" t="n">
        <v>46268</v>
      </c>
      <c r="D1359" t="inlineStr">
        <is>
          <t>Support Ticket</t>
        </is>
      </c>
      <c r="E1359" t="inlineStr">
        <is>
          <t>Enterprise</t>
        </is>
      </c>
      <c r="F1359" t="inlineStr">
        <is>
          <t>Enterprise</t>
        </is>
      </c>
      <c r="G1359" t="inlineStr">
        <is>
          <t>User Interface</t>
        </is>
      </c>
      <c r="H1359" t="inlineStr">
        <is>
          <t>Feature Request</t>
        </is>
      </c>
      <c r="I1359" t="inlineStr">
        <is>
          <t>We lose notes whenever reps are away from a desk without offline mobile access. It affects our month-end reporting process every cycle.</t>
        </is>
      </c>
      <c r="J1359" t="inlineStr">
        <is>
          <t>Neutral</t>
        </is>
      </c>
      <c r="K1359" t="inlineStr">
        <is>
          <t>Critical</t>
        </is>
      </c>
      <c r="L1359" t="inlineStr">
        <is>
          <t>Blocks Key Task</t>
        </is>
      </c>
      <c r="M1359" t="inlineStr">
        <is>
          <t>ui_mobile</t>
        </is>
      </c>
      <c r="N1359" t="inlineStr">
        <is>
          <t>Mobile app</t>
        </is>
      </c>
      <c r="O1359" t="inlineStr">
        <is>
          <t>2026-09</t>
        </is>
      </c>
    </row>
    <row r="1360">
      <c r="A1360" t="inlineStr">
        <is>
          <t>FB-01359</t>
        </is>
      </c>
      <c r="B1360" t="inlineStr">
        <is>
          <t>CUST-0309</t>
        </is>
      </c>
      <c r="C1360" s="11" t="n">
        <v>46268</v>
      </c>
      <c r="D1360" t="inlineStr">
        <is>
          <t>Support Ticket</t>
        </is>
      </c>
      <c r="E1360" t="inlineStr">
        <is>
          <t>Starter</t>
        </is>
      </c>
      <c r="F1360" t="inlineStr">
        <is>
          <t>SMB</t>
        </is>
      </c>
      <c r="G1360" t="inlineStr">
        <is>
          <t>Contact Management</t>
        </is>
      </c>
      <c r="H1360" t="inlineStr">
        <is>
          <t>Bug</t>
        </is>
      </c>
      <c r="I1360" t="inlineStr">
        <is>
          <t>Our team keeps running into this. The spreadsheet import rejects files with accented characters in names. So far 96 people on our side have reported it. Please look into it soon.</t>
        </is>
      </c>
      <c r="J1360" t="inlineStr">
        <is>
          <t>Negative</t>
        </is>
      </c>
      <c r="K1360" t="inlineStr">
        <is>
          <t>High</t>
        </is>
      </c>
      <c r="L1360" t="inlineStr">
        <is>
          <t>Revenue/Operations Risk</t>
        </is>
      </c>
      <c r="M1360" t="inlineStr">
        <is>
          <t>contact_import</t>
        </is>
      </c>
      <c r="N1360" t="inlineStr">
        <is>
          <t>Unreliable contact imports</t>
        </is>
      </c>
      <c r="O1360" t="inlineStr">
        <is>
          <t>2026-09</t>
        </is>
      </c>
    </row>
    <row r="1361">
      <c r="A1361" t="inlineStr">
        <is>
          <t>FB-01360</t>
        </is>
      </c>
      <c r="B1361" t="inlineStr">
        <is>
          <t>CUST-0176</t>
        </is>
      </c>
      <c r="C1361" s="11" t="n">
        <v>46269</v>
      </c>
      <c r="D1361" t="inlineStr">
        <is>
          <t>Support Ticket</t>
        </is>
      </c>
      <c r="E1361" t="inlineStr">
        <is>
          <t>Starter</t>
        </is>
      </c>
      <c r="F1361" t="inlineStr">
        <is>
          <t>SMB</t>
        </is>
      </c>
      <c r="G1361" t="inlineStr">
        <is>
          <t>Lead Management</t>
        </is>
      </c>
      <c r="H1361" t="inlineStr">
        <is>
          <t>Bug</t>
        </is>
      </c>
      <c r="I1361" t="inlineStr">
        <is>
          <t>Feedback from our monthly review. There are lead de-duplication failures across our pipeline views and nobody knows which record is the source of truth. It affects our quarterly planning process every cycle.</t>
        </is>
      </c>
      <c r="J1361" t="inlineStr">
        <is>
          <t>Neutral</t>
        </is>
      </c>
      <c r="K1361" t="inlineStr">
        <is>
          <t>Medium</t>
        </is>
      </c>
      <c r="L1361" t="inlineStr">
        <is>
          <t>Minor Inconvenience</t>
        </is>
      </c>
      <c r="M1361" t="inlineStr">
        <is>
          <t>lead_dup</t>
        </is>
      </c>
      <c r="N1361" t="inlineStr">
        <is>
          <t>Duplicate leads created</t>
        </is>
      </c>
      <c r="O1361" t="inlineStr">
        <is>
          <t>2026-09</t>
        </is>
      </c>
    </row>
    <row r="1362">
      <c r="A1362" t="inlineStr">
        <is>
          <t>FB-01361</t>
        </is>
      </c>
      <c r="B1362" t="inlineStr">
        <is>
          <t>CUST-0210</t>
        </is>
      </c>
      <c r="C1362" s="11" t="n">
        <v>46269</v>
      </c>
      <c r="D1362" t="inlineStr">
        <is>
          <t>In-App Feedback</t>
        </is>
      </c>
      <c r="E1362" t="inlineStr">
        <is>
          <t>Professional</t>
        </is>
      </c>
      <c r="F1362" t="inlineStr">
        <is>
          <t>Mid-Market</t>
        </is>
      </c>
      <c r="G1362" t="inlineStr">
        <is>
          <t>Integrations</t>
        </is>
      </c>
      <c r="H1362" t="inlineStr">
        <is>
          <t>Integration Issue</t>
        </is>
      </c>
      <c r="I1362" t="inlineStr">
        <is>
          <t>This has been a recurring problem for us. Hard to debug: API timeouts fail with vague error codes. It affects our weekly pipeline review process every cycle. We need a fix before renewal.</t>
        </is>
      </c>
      <c r="J1362" t="inlineStr">
        <is>
          <t>Negative</t>
        </is>
      </c>
      <c r="K1362" t="inlineStr">
        <is>
          <t>High</t>
        </is>
      </c>
      <c r="L1362" t="inlineStr">
        <is>
          <t>Blocks Key Task</t>
        </is>
      </c>
      <c r="M1362" t="inlineStr">
        <is>
          <t>int_api</t>
        </is>
      </c>
      <c r="N1362" t="inlineStr">
        <is>
          <t>API limits and webhook failures</t>
        </is>
      </c>
      <c r="O1362" t="inlineStr">
        <is>
          <t>2026-09</t>
        </is>
      </c>
    </row>
    <row r="1363">
      <c r="A1363" t="inlineStr">
        <is>
          <t>FB-01362</t>
        </is>
      </c>
      <c r="B1363" t="inlineStr">
        <is>
          <t>CUST-0406</t>
        </is>
      </c>
      <c r="C1363" s="11" t="n">
        <v>46269</v>
      </c>
      <c r="D1363" t="inlineStr">
        <is>
          <t>Customer Survey</t>
        </is>
      </c>
      <c r="E1363" t="inlineStr">
        <is>
          <t>Professional</t>
        </is>
      </c>
      <c r="F1363" t="inlineStr">
        <is>
          <t>Mid-Market</t>
        </is>
      </c>
      <c r="G1363" t="inlineStr">
        <is>
          <t>Workflow Automation</t>
        </is>
      </c>
      <c r="H1363" t="inlineStr">
        <is>
          <t>Usability Issue</t>
        </is>
      </c>
      <c r="I1363" t="inlineStr">
        <is>
          <t>Escalating on behalf of our ops lead. Our new admins struggle with the workflow editor; there is no guidance or validation. It happens about 8 times a week for our team of 91.</t>
        </is>
      </c>
      <c r="J1363" t="inlineStr">
        <is>
          <t>Negative</t>
        </is>
      </c>
      <c r="K1363" t="inlineStr">
        <is>
          <t>Medium</t>
        </is>
      </c>
      <c r="L1363" t="inlineStr">
        <is>
          <t>Minor Inconvenience</t>
        </is>
      </c>
      <c r="M1363" t="inlineStr">
        <is>
          <t>wf_builder</t>
        </is>
      </c>
      <c r="N1363" t="inlineStr">
        <is>
          <t>Confusing workflow builder</t>
        </is>
      </c>
      <c r="O1363" t="inlineStr">
        <is>
          <t>2026-09</t>
        </is>
      </c>
    </row>
    <row r="1364">
      <c r="A1364" t="inlineStr">
        <is>
          <t>FB-01363</t>
        </is>
      </c>
      <c r="B1364" t="inlineStr">
        <is>
          <t>CUST-0324</t>
        </is>
      </c>
      <c r="C1364" s="11" t="n">
        <v>46269</v>
      </c>
      <c r="D1364" t="inlineStr">
        <is>
          <t>Support Ticket</t>
        </is>
      </c>
      <c r="E1364" t="inlineStr">
        <is>
          <t>Starter</t>
        </is>
      </c>
      <c r="F1364" t="inlineStr">
        <is>
          <t>SMB</t>
        </is>
      </c>
      <c r="G1364" t="inlineStr">
        <is>
          <t>Lead Management</t>
        </is>
      </c>
      <c r="H1364" t="inlineStr">
        <is>
          <t>Bug</t>
        </is>
      </c>
      <c r="I1364" t="inlineStr">
        <is>
          <t>Raising this again after our last business review. Web form submissions keep creating duplicate lead records, and reps end up calling the same prospect twice. We estimate we lose roughly 27 hours a month on this. Is there a workaround?</t>
        </is>
      </c>
      <c r="J1364" t="inlineStr">
        <is>
          <t>Negative</t>
        </is>
      </c>
      <c r="K1364" t="inlineStr">
        <is>
          <t>Medium</t>
        </is>
      </c>
      <c r="L1364" t="inlineStr">
        <is>
          <t>Minor Inconvenience</t>
        </is>
      </c>
      <c r="M1364" t="inlineStr">
        <is>
          <t>lead_dup</t>
        </is>
      </c>
      <c r="N1364" t="inlineStr">
        <is>
          <t>Duplicate leads created</t>
        </is>
      </c>
      <c r="O1364" t="inlineStr">
        <is>
          <t>2026-09</t>
        </is>
      </c>
    </row>
    <row r="1365">
      <c r="A1365" t="inlineStr">
        <is>
          <t>FB-01364</t>
        </is>
      </c>
      <c r="B1365" t="inlineStr">
        <is>
          <t>CUST-0409</t>
        </is>
      </c>
      <c r="C1365" s="11" t="n">
        <v>46269</v>
      </c>
      <c r="D1365" t="inlineStr">
        <is>
          <t>In-App Feedback</t>
        </is>
      </c>
      <c r="E1365" t="inlineStr">
        <is>
          <t>Starter</t>
        </is>
      </c>
      <c r="F1365" t="inlineStr">
        <is>
          <t>SMB</t>
        </is>
      </c>
      <c r="G1365" t="inlineStr">
        <is>
          <t>Lead Management</t>
        </is>
      </c>
      <c r="H1365" t="inlineStr">
        <is>
          <t>Bug</t>
        </is>
      </c>
      <c r="I1365" t="inlineStr">
        <is>
          <t>There are duplicated leads across our pipeline views and nobody knows which record is the source of truth. So far 5 people on our side have reported it.</t>
        </is>
      </c>
      <c r="J1365" t="inlineStr">
        <is>
          <t>Negative</t>
        </is>
      </c>
      <c r="K1365" t="inlineStr">
        <is>
          <t>Critical</t>
        </is>
      </c>
      <c r="L1365" t="inlineStr">
        <is>
          <t>Unknown</t>
        </is>
      </c>
      <c r="M1365" t="inlineStr">
        <is>
          <t>lead_dup</t>
        </is>
      </c>
      <c r="N1365" t="inlineStr">
        <is>
          <t>Duplicate leads created</t>
        </is>
      </c>
      <c r="O1365" t="inlineStr">
        <is>
          <t>2026-09</t>
        </is>
      </c>
    </row>
    <row r="1366">
      <c r="A1366" t="inlineStr">
        <is>
          <t>FB-01365</t>
        </is>
      </c>
      <c r="B1366" t="inlineStr">
        <is>
          <t>CUST-0214</t>
        </is>
      </c>
      <c r="C1366" s="11" t="n">
        <v>46270</v>
      </c>
      <c r="D1366" t="inlineStr">
        <is>
          <t>In-App Feedback</t>
        </is>
      </c>
      <c r="E1366" t="inlineStr">
        <is>
          <t>Starter</t>
        </is>
      </c>
      <c r="F1366" t="inlineStr">
        <is>
          <t>SMB</t>
        </is>
      </c>
      <c r="G1366" t="inlineStr">
        <is>
          <t>Contact Management</t>
        </is>
      </c>
      <c r="H1366" t="inlineStr">
        <is>
          <t>Bug</t>
        </is>
      </c>
      <c r="I1366" t="inlineStr">
        <is>
          <t>The contact CSV import rejects files with accented characters in names. So far 13 people on our side have reported it. Happy to join a feedback call.</t>
        </is>
      </c>
      <c r="J1366" t="inlineStr">
        <is>
          <t>Neutral</t>
        </is>
      </c>
      <c r="K1366" t="inlineStr">
        <is>
          <t>Critical</t>
        </is>
      </c>
      <c r="L1366" t="inlineStr">
        <is>
          <t>Revenue/Operations Risk</t>
        </is>
      </c>
      <c r="M1366" t="inlineStr">
        <is>
          <t>contact_import</t>
        </is>
      </c>
      <c r="N1366" t="inlineStr">
        <is>
          <t>Unreliable contact imports</t>
        </is>
      </c>
      <c r="O1366" t="inlineStr">
        <is>
          <t>2026-09</t>
        </is>
      </c>
    </row>
    <row r="1367">
      <c r="A1367" t="inlineStr">
        <is>
          <t>FB-01366</t>
        </is>
      </c>
      <c r="B1367" t="inlineStr">
        <is>
          <t>CUST-0408</t>
        </is>
      </c>
      <c r="C1367" s="11" t="n">
        <v>46270</v>
      </c>
      <c r="D1367" t="inlineStr">
        <is>
          <t>Support Ticket</t>
        </is>
      </c>
      <c r="E1367" t="inlineStr">
        <is>
          <t>Starter</t>
        </is>
      </c>
      <c r="F1367" t="inlineStr">
        <is>
          <t>SMB</t>
        </is>
      </c>
      <c r="G1367" t="inlineStr">
        <is>
          <t>Contact Management</t>
        </is>
      </c>
      <c r="H1367" t="inlineStr">
        <is>
          <t>Feature Request</t>
        </is>
      </c>
      <c r="I1367" t="inlineStr">
        <is>
          <t>Noting this during onboarding. Requesting an account hierarchy view so account managers can see who reports to whom. It happens about 20 times a week for our team of 79.</t>
        </is>
      </c>
      <c r="J1367" t="inlineStr">
        <is>
          <t>Neutral</t>
        </is>
      </c>
      <c r="K1367" t="inlineStr">
        <is>
          <t>Low</t>
        </is>
      </c>
      <c r="L1367" t="inlineStr">
        <is>
          <t>Minor Inconvenience</t>
        </is>
      </c>
      <c r="M1367" t="inlineStr">
        <is>
          <t>contact_custom</t>
        </is>
      </c>
      <c r="N1367" t="inlineStr">
        <is>
          <t>Custom fields and hierarchy</t>
        </is>
      </c>
      <c r="O1367" t="inlineStr">
        <is>
          <t>2026-09</t>
        </is>
      </c>
    </row>
    <row r="1368">
      <c r="A1368" t="inlineStr">
        <is>
          <t>FB-01367</t>
        </is>
      </c>
      <c r="B1368" t="inlineStr">
        <is>
          <t>CUST-0002</t>
        </is>
      </c>
      <c r="C1368" s="11" t="n">
        <v>46270</v>
      </c>
      <c r="D1368" t="inlineStr">
        <is>
          <t>Support Ticket</t>
        </is>
      </c>
      <c r="E1368" t="inlineStr">
        <is>
          <t>Starter</t>
        </is>
      </c>
      <c r="F1368" t="inlineStr">
        <is>
          <t>SMB</t>
        </is>
      </c>
      <c r="G1368" t="inlineStr">
        <is>
          <t>Integrations</t>
        </is>
      </c>
      <c r="H1368" t="inlineStr">
        <is>
          <t>Integration Issue</t>
        </is>
      </c>
      <c r="I1368" t="inlineStr">
        <is>
          <t>Reps no longer trust Gmail sync, so they log activity by hand. It happens about 39 times a week for our team of 92.</t>
        </is>
      </c>
      <c r="J1368" t="inlineStr">
        <is>
          <t>Neutral</t>
        </is>
      </c>
      <c r="K1368" t="inlineStr">
        <is>
          <t>High</t>
        </is>
      </c>
      <c r="L1368" t="inlineStr">
        <is>
          <t>Workflow Slowdown</t>
        </is>
      </c>
      <c r="M1368" t="inlineStr">
        <is>
          <t>int_email</t>
        </is>
      </c>
      <c r="N1368" t="inlineStr">
        <is>
          <t>Email and calendar sync drops</t>
        </is>
      </c>
      <c r="O1368" t="inlineStr">
        <is>
          <t>2026-09</t>
        </is>
      </c>
    </row>
    <row r="1369">
      <c r="A1369" t="inlineStr">
        <is>
          <t>FB-01368</t>
        </is>
      </c>
      <c r="B1369" t="inlineStr">
        <is>
          <t>CUST-0210</t>
        </is>
      </c>
      <c r="C1369" s="11" t="n">
        <v>46270</v>
      </c>
      <c r="D1369" t="inlineStr">
        <is>
          <t>In-App Feedback</t>
        </is>
      </c>
      <c r="E1369" t="inlineStr">
        <is>
          <t>Professional</t>
        </is>
      </c>
      <c r="F1369" t="inlineStr">
        <is>
          <t>Mid-Market</t>
        </is>
      </c>
      <c r="G1369" t="inlineStr">
        <is>
          <t>Integrations</t>
        </is>
      </c>
      <c r="H1369" t="inlineStr">
        <is>
          <t>Feature Request</t>
        </is>
      </c>
      <c r="I1369" t="inlineStr">
        <is>
          <t>Happy with most of the product. Requesting a native accounting integration to remove manual re-entry. We estimate we lose roughly 29 hours a month on this.</t>
        </is>
      </c>
      <c r="J1369" t="inlineStr">
        <is>
          <t>Positive</t>
        </is>
      </c>
      <c r="K1369" t="inlineStr">
        <is>
          <t>Low</t>
        </is>
      </c>
      <c r="L1369" t="inlineStr">
        <is>
          <t>Workflow Slowdown</t>
        </is>
      </c>
      <c r="M1369" t="inlineStr">
        <is>
          <t>int_native</t>
        </is>
      </c>
      <c r="N1369" t="inlineStr">
        <is>
          <t>Native integrations</t>
        </is>
      </c>
      <c r="O1369" t="inlineStr">
        <is>
          <t>2026-09</t>
        </is>
      </c>
    </row>
    <row r="1370">
      <c r="A1370" t="inlineStr">
        <is>
          <t>FB-01369</t>
        </is>
      </c>
      <c r="B1370" t="inlineStr">
        <is>
          <t>CUST-0248</t>
        </is>
      </c>
      <c r="C1370" s="11" t="n">
        <v>46270</v>
      </c>
      <c r="D1370" t="inlineStr">
        <is>
          <t>Customer Survey</t>
        </is>
      </c>
      <c r="E1370" t="inlineStr">
        <is>
          <t>Starter</t>
        </is>
      </c>
      <c r="F1370" t="inlineStr">
        <is>
          <t>SMB</t>
        </is>
      </c>
      <c r="G1370" t="inlineStr">
        <is>
          <t>User Interface</t>
        </is>
      </c>
      <c r="H1370" t="inlineStr">
        <is>
          <t>Feature Request</t>
        </is>
      </c>
      <c r="I1370" t="inlineStr">
        <is>
          <t>FYI for the product team. Requesting a mobile app so reps can log activity right after a meeting. It affects our month-end reporting process every cycle.</t>
        </is>
      </c>
      <c r="J1370" t="inlineStr">
        <is>
          <t>Neutral</t>
        </is>
      </c>
      <c r="K1370" t="inlineStr">
        <is>
          <t>Low</t>
        </is>
      </c>
      <c r="L1370" t="inlineStr">
        <is>
          <t>Minor Inconvenience</t>
        </is>
      </c>
      <c r="M1370" t="inlineStr">
        <is>
          <t>ui_mobile</t>
        </is>
      </c>
      <c r="N1370" t="inlineStr">
        <is>
          <t>Mobile app</t>
        </is>
      </c>
      <c r="O1370" t="inlineStr">
        <is>
          <t>2026-09</t>
        </is>
      </c>
    </row>
    <row r="1371">
      <c r="A1371" t="inlineStr">
        <is>
          <t>FB-01370</t>
        </is>
      </c>
      <c r="B1371" t="inlineStr">
        <is>
          <t>CUST-0276</t>
        </is>
      </c>
      <c r="C1371" s="11" t="n">
        <v>46271</v>
      </c>
      <c r="D1371" t="inlineStr">
        <is>
          <t>Feature Request</t>
        </is>
      </c>
      <c r="E1371" t="inlineStr">
        <is>
          <t>Professional</t>
        </is>
      </c>
      <c r="F1371" t="inlineStr">
        <is>
          <t>SMB</t>
        </is>
      </c>
      <c r="G1371" t="inlineStr">
        <is>
          <t>User Interface</t>
        </is>
      </c>
      <c r="H1371" t="inlineStr">
        <is>
          <t>Feature Request</t>
        </is>
      </c>
      <c r="I1371" t="inlineStr">
        <is>
          <t>Feedback from our monthly review. Our field reps need a mobile app to update deals between visits. Our admin flagged it while onboarding 86 new users.</t>
        </is>
      </c>
      <c r="J1371" t="inlineStr">
        <is>
          <t>Neutral</t>
        </is>
      </c>
      <c r="K1371" t="inlineStr">
        <is>
          <t>Low</t>
        </is>
      </c>
      <c r="L1371" t="inlineStr">
        <is>
          <t>Minor Inconvenience</t>
        </is>
      </c>
      <c r="M1371" t="inlineStr">
        <is>
          <t>ui_mobile</t>
        </is>
      </c>
      <c r="N1371" t="inlineStr">
        <is>
          <t>Mobile app</t>
        </is>
      </c>
      <c r="O1371" t="inlineStr">
        <is>
          <t>2026-09</t>
        </is>
      </c>
    </row>
    <row r="1372">
      <c r="A1372" t="inlineStr">
        <is>
          <t>FB-01371</t>
        </is>
      </c>
      <c r="B1372" t="inlineStr">
        <is>
          <t>CUST-0080</t>
        </is>
      </c>
      <c r="C1372" s="11" t="n">
        <v>46271</v>
      </c>
      <c r="D1372" t="inlineStr">
        <is>
          <t>In-App Feedback</t>
        </is>
      </c>
      <c r="E1372" t="inlineStr">
        <is>
          <t>Professional</t>
        </is>
      </c>
      <c r="F1372" t="inlineStr">
        <is>
          <t>Mid-Market</t>
        </is>
      </c>
      <c r="G1372" t="inlineStr">
        <is>
          <t>Integrations</t>
        </is>
      </c>
      <c r="H1372" t="inlineStr">
        <is>
          <t>Feature Request</t>
        </is>
      </c>
      <c r="I1372" t="inlineStr">
        <is>
          <t>Quick note from our admin. We would pay for a native accounting integration instead of maintaining Zapier chains. Happy to join a feedback call.</t>
        </is>
      </c>
      <c r="J1372" t="inlineStr">
        <is>
          <t>Neutral</t>
        </is>
      </c>
      <c r="K1372" t="inlineStr">
        <is>
          <t>Low</t>
        </is>
      </c>
      <c r="L1372" t="inlineStr">
        <is>
          <t>Minor Inconvenience</t>
        </is>
      </c>
      <c r="M1372" t="inlineStr">
        <is>
          <t>int_native</t>
        </is>
      </c>
      <c r="N1372" t="inlineStr">
        <is>
          <t>Native integrations</t>
        </is>
      </c>
      <c r="O1372" t="inlineStr">
        <is>
          <t>2026-09</t>
        </is>
      </c>
    </row>
    <row r="1373">
      <c r="A1373" t="inlineStr">
        <is>
          <t>FB-01372</t>
        </is>
      </c>
      <c r="B1373" t="inlineStr">
        <is>
          <t>CUST-0282</t>
        </is>
      </c>
      <c r="C1373" s="11" t="n">
        <v>46271</v>
      </c>
      <c r="D1373" t="inlineStr">
        <is>
          <t>Support Ticket</t>
        </is>
      </c>
      <c r="E1373" t="inlineStr">
        <is>
          <t>Starter</t>
        </is>
      </c>
      <c r="F1373" t="inlineStr">
        <is>
          <t>SMB</t>
        </is>
      </c>
      <c r="G1373" t="inlineStr">
        <is>
          <t>Contact Management</t>
        </is>
      </c>
      <c r="H1373" t="inlineStr">
        <is>
          <t>Bug</t>
        </is>
      </c>
      <c r="I1373" t="inlineStr">
        <is>
          <t>Our import field mapping scrambles phone and email columns even after we map them correctly. It affects our weekly pipeline review process every cycle. Please look into it soon.</t>
        </is>
      </c>
      <c r="J1373" t="inlineStr">
        <is>
          <t>Negative</t>
        </is>
      </c>
      <c r="K1373" t="inlineStr">
        <is>
          <t>Low</t>
        </is>
      </c>
      <c r="L1373" t="inlineStr">
        <is>
          <t>Minor Inconvenience</t>
        </is>
      </c>
      <c r="M1373" t="inlineStr">
        <is>
          <t>contact_import</t>
        </is>
      </c>
      <c r="N1373" t="inlineStr">
        <is>
          <t>Unreliable contact imports</t>
        </is>
      </c>
      <c r="O1373" t="inlineStr">
        <is>
          <t>2026-09</t>
        </is>
      </c>
    </row>
    <row r="1374">
      <c r="A1374" t="inlineStr">
        <is>
          <t>FB-01373</t>
        </is>
      </c>
      <c r="B1374" t="inlineStr">
        <is>
          <t>CUST-0211</t>
        </is>
      </c>
      <c r="C1374" s="11" t="n">
        <v>46271</v>
      </c>
      <c r="D1374" t="inlineStr">
        <is>
          <t>Feature Request</t>
        </is>
      </c>
      <c r="E1374" t="inlineStr">
        <is>
          <t>Enterprise</t>
        </is>
      </c>
      <c r="F1374" t="inlineStr">
        <is>
          <t>Mid-Market</t>
        </is>
      </c>
      <c r="G1374" t="inlineStr">
        <is>
          <t>Integrations</t>
        </is>
      </c>
      <c r="H1374" t="inlineStr">
        <is>
          <t>Feature Request</t>
        </is>
      </c>
      <c r="I1374" t="inlineStr">
        <is>
          <t>Great support experience recently. Requesting SAML login for our compliance audit. It happens about 30 times a week for our team of 6. Happy to beta test.</t>
        </is>
      </c>
      <c r="J1374" t="inlineStr">
        <is>
          <t>Positive</t>
        </is>
      </c>
      <c r="K1374" t="inlineStr">
        <is>
          <t>Low</t>
        </is>
      </c>
      <c r="L1374" t="inlineStr">
        <is>
          <t>Minor Inconvenience</t>
        </is>
      </c>
      <c r="M1374" t="inlineStr">
        <is>
          <t>int_sso</t>
        </is>
      </c>
      <c r="N1374" t="inlineStr">
        <is>
          <t>SSO and provisioning</t>
        </is>
      </c>
      <c r="O1374" t="inlineStr">
        <is>
          <t>2026-09</t>
        </is>
      </c>
    </row>
    <row r="1375">
      <c r="A1375" t="inlineStr">
        <is>
          <t>FB-01374</t>
        </is>
      </c>
      <c r="B1375" t="inlineStr">
        <is>
          <t>CUST-0049</t>
        </is>
      </c>
      <c r="C1375" s="11" t="n">
        <v>46271</v>
      </c>
      <c r="D1375" t="inlineStr">
        <is>
          <t>Support Ticket</t>
        </is>
      </c>
      <c r="E1375" t="inlineStr">
        <is>
          <t>Starter</t>
        </is>
      </c>
      <c r="F1375" t="inlineStr">
        <is>
          <t>SMB</t>
        </is>
      </c>
      <c r="G1375" t="inlineStr">
        <is>
          <t>Integrations</t>
        </is>
      </c>
      <c r="H1375" t="inlineStr">
        <is>
          <t>Integration Issue</t>
        </is>
      </c>
      <c r="I1375" t="inlineStr">
        <is>
          <t>Raising this again after our last business review. Our Outlook calendar sync keeps disconnecting and activities are missing from the contact timeline. It happens about 32 times a week for our team of 114.</t>
        </is>
      </c>
      <c r="J1375" t="inlineStr">
        <is>
          <t>Negative</t>
        </is>
      </c>
      <c r="K1375" t="inlineStr">
        <is>
          <t>High</t>
        </is>
      </c>
      <c r="L1375" t="inlineStr">
        <is>
          <t>Workflow Slowdown</t>
        </is>
      </c>
      <c r="M1375" t="inlineStr">
        <is>
          <t>int_email</t>
        </is>
      </c>
      <c r="N1375" t="inlineStr">
        <is>
          <t>Email and calendar sync drops</t>
        </is>
      </c>
      <c r="O1375" t="inlineStr">
        <is>
          <t>2026-09</t>
        </is>
      </c>
    </row>
    <row r="1376">
      <c r="A1376" t="inlineStr">
        <is>
          <t>FB-01375</t>
        </is>
      </c>
      <c r="B1376" t="inlineStr">
        <is>
          <t>CUST-0051</t>
        </is>
      </c>
      <c r="C1376" s="11" t="n">
        <v>46271</v>
      </c>
      <c r="D1376" t="inlineStr">
        <is>
          <t>Feature Request</t>
        </is>
      </c>
      <c r="E1376" t="inlineStr">
        <is>
          <t>Enterprise</t>
        </is>
      </c>
      <c r="F1376" t="inlineStr">
        <is>
          <t>Enterprise</t>
        </is>
      </c>
      <c r="G1376" t="inlineStr">
        <is>
          <t>Integrations</t>
        </is>
      </c>
      <c r="H1376" t="inlineStr">
        <is>
          <t>Feature Request</t>
        </is>
      </c>
      <c r="I1376" t="inlineStr">
        <is>
          <t>Our security team requires SCIM provisioning before we can expand seats. Our marketing ops owner flagged it while onboarding 105 new users. Let us know if you need examples.</t>
        </is>
      </c>
      <c r="J1376" t="inlineStr">
        <is>
          <t>Neutral</t>
        </is>
      </c>
      <c r="K1376" t="inlineStr">
        <is>
          <t>Low</t>
        </is>
      </c>
      <c r="L1376" t="inlineStr">
        <is>
          <t>Minor Inconvenience</t>
        </is>
      </c>
      <c r="M1376" t="inlineStr">
        <is>
          <t>int_sso</t>
        </is>
      </c>
      <c r="N1376" t="inlineStr">
        <is>
          <t>SSO and provisioning</t>
        </is>
      </c>
      <c r="O1376" t="inlineStr">
        <is>
          <t>2026-09</t>
        </is>
      </c>
    </row>
    <row r="1377">
      <c r="A1377" t="inlineStr">
        <is>
          <t>FB-01376</t>
        </is>
      </c>
      <c r="B1377" t="inlineStr">
        <is>
          <t>CUST-0210</t>
        </is>
      </c>
      <c r="C1377" s="11" t="n">
        <v>46271</v>
      </c>
      <c r="D1377" t="inlineStr">
        <is>
          <t>Customer Survey</t>
        </is>
      </c>
      <c r="E1377" t="inlineStr">
        <is>
          <t>Professional</t>
        </is>
      </c>
      <c r="F1377" t="inlineStr">
        <is>
          <t>Mid-Market</t>
        </is>
      </c>
      <c r="G1377" t="inlineStr">
        <is>
          <t>User Interface</t>
        </is>
      </c>
      <c r="H1377" t="inlineStr">
        <is>
          <t>Usability Issue</t>
        </is>
      </c>
      <c r="I1377" t="inlineStr">
        <is>
          <t>Frustrated with this one. The navigation menu changed and nobody told us where things moved. It affects our renewal process every cycle.</t>
        </is>
      </c>
      <c r="J1377" t="inlineStr">
        <is>
          <t>Negative</t>
        </is>
      </c>
      <c r="K1377" t="inlineStr">
        <is>
          <t>Medium</t>
        </is>
      </c>
      <c r="L1377" t="inlineStr">
        <is>
          <t>Workflow Slowdown</t>
        </is>
      </c>
      <c r="M1377" t="inlineStr">
        <is>
          <t>ui_nav</t>
        </is>
      </c>
      <c r="N1377" t="inlineStr">
        <is>
          <t>Cluttered navigation</t>
        </is>
      </c>
      <c r="O1377" t="inlineStr">
        <is>
          <t>2026-09</t>
        </is>
      </c>
    </row>
    <row r="1378">
      <c r="A1378" t="inlineStr">
        <is>
          <t>FB-01377</t>
        </is>
      </c>
      <c r="B1378" t="inlineStr">
        <is>
          <t>CUST-0126</t>
        </is>
      </c>
      <c r="C1378" s="11" t="n">
        <v>46271</v>
      </c>
      <c r="D1378" t="inlineStr">
        <is>
          <t>In-App Feedback</t>
        </is>
      </c>
      <c r="E1378" t="inlineStr">
        <is>
          <t>Professional</t>
        </is>
      </c>
      <c r="F1378" t="inlineStr">
        <is>
          <t>Mid-Market</t>
        </is>
      </c>
      <c r="G1378" t="inlineStr">
        <is>
          <t>Contact Management</t>
        </is>
      </c>
      <c r="H1378" t="inlineStr">
        <is>
          <t>Bug</t>
        </is>
      </c>
      <c r="I1378" t="inlineStr">
        <is>
          <t>Sharing this from our team. Our spreadsheet import scrambles phone and email columns even after we map them correctly. So far 46 people on our side have reported it.</t>
        </is>
      </c>
      <c r="J1378" t="inlineStr">
        <is>
          <t>Neutral</t>
        </is>
      </c>
      <c r="K1378" t="inlineStr">
        <is>
          <t>Critical</t>
        </is>
      </c>
      <c r="L1378" t="inlineStr">
        <is>
          <t>Workflow Slowdown</t>
        </is>
      </c>
      <c r="M1378" t="inlineStr">
        <is>
          <t>contact_import</t>
        </is>
      </c>
      <c r="N1378" t="inlineStr">
        <is>
          <t>Unreliable contact imports</t>
        </is>
      </c>
      <c r="O1378" t="inlineStr">
        <is>
          <t>2026-09</t>
        </is>
      </c>
    </row>
    <row r="1379">
      <c r="A1379" t="inlineStr">
        <is>
          <t>FB-01378</t>
        </is>
      </c>
      <c r="B1379" t="inlineStr">
        <is>
          <t>CUST-0080</t>
        </is>
      </c>
      <c r="C1379" s="11" t="n">
        <v>46271</v>
      </c>
      <c r="D1379" t="inlineStr">
        <is>
          <t>Feature Request</t>
        </is>
      </c>
      <c r="E1379" t="inlineStr">
        <is>
          <t>Professional</t>
        </is>
      </c>
      <c r="F1379" t="inlineStr">
        <is>
          <t>Mid-Market</t>
        </is>
      </c>
      <c r="G1379" t="inlineStr">
        <is>
          <t>Reporting</t>
        </is>
      </c>
      <c r="H1379" t="inlineStr">
        <is>
          <t>Feature Request</t>
        </is>
      </c>
      <c r="I1379" t="inlineStr">
        <is>
          <t>FYI for the product team. Requesting forecast rollups that updates as deal stages change. We estimate we lose roughly 45 hours a month on this.</t>
        </is>
      </c>
      <c r="J1379" t="inlineStr">
        <is>
          <t>Neutral</t>
        </is>
      </c>
      <c r="K1379" t="inlineStr">
        <is>
          <t>Medium</t>
        </is>
      </c>
      <c r="L1379" t="inlineStr">
        <is>
          <t>Workflow Slowdown</t>
        </is>
      </c>
      <c r="M1379" t="inlineStr">
        <is>
          <t>rep_forecast</t>
        </is>
      </c>
      <c r="N1379" t="inlineStr">
        <is>
          <t>Sales forecasting</t>
        </is>
      </c>
      <c r="O1379" t="inlineStr">
        <is>
          <t>2026-09</t>
        </is>
      </c>
    </row>
    <row r="1380">
      <c r="A1380" t="inlineStr">
        <is>
          <t>FB-01379</t>
        </is>
      </c>
      <c r="B1380" t="inlineStr">
        <is>
          <t>CUST-0378</t>
        </is>
      </c>
      <c r="C1380" s="11" t="n">
        <v>46271</v>
      </c>
      <c r="D1380" t="inlineStr">
        <is>
          <t>In-App Feedback</t>
        </is>
      </c>
      <c r="E1380" t="inlineStr">
        <is>
          <t>Starter</t>
        </is>
      </c>
      <c r="F1380" t="inlineStr">
        <is>
          <t>SMB</t>
        </is>
      </c>
      <c r="G1380" t="inlineStr">
        <is>
          <t>Lead Management</t>
        </is>
      </c>
      <c r="H1380" t="inlineStr">
        <is>
          <t>Bug</t>
        </is>
      </c>
      <c r="I1380" t="inlineStr">
        <is>
          <t>We are seeing duplicated leads when a lead arrives from both the website and a trade-show list. It happens about 38 times a week for our team of 21. Is there a workaround?</t>
        </is>
      </c>
      <c r="J1380" t="inlineStr">
        <is>
          <t>Negative</t>
        </is>
      </c>
      <c r="K1380" t="inlineStr">
        <is>
          <t>High</t>
        </is>
      </c>
      <c r="L1380" t="inlineStr">
        <is>
          <t>Blocks Key Task</t>
        </is>
      </c>
      <c r="M1380" t="inlineStr">
        <is>
          <t>lead_dup</t>
        </is>
      </c>
      <c r="N1380" t="inlineStr">
        <is>
          <t>Duplicate leads created</t>
        </is>
      </c>
      <c r="O1380" t="inlineStr">
        <is>
          <t>2026-09</t>
        </is>
      </c>
    </row>
    <row r="1381">
      <c r="A1381" t="inlineStr">
        <is>
          <t>FB-01380</t>
        </is>
      </c>
      <c r="B1381" t="inlineStr">
        <is>
          <t>CUST-0054</t>
        </is>
      </c>
      <c r="C1381" s="11" t="n">
        <v>46271</v>
      </c>
      <c r="D1381" t="inlineStr">
        <is>
          <t>Support Ticket</t>
        </is>
      </c>
      <c r="E1381" t="inlineStr">
        <is>
          <t>Enterprise</t>
        </is>
      </c>
      <c r="F1381" t="inlineStr">
        <is>
          <t>Enterprise</t>
        </is>
      </c>
      <c r="G1381" t="inlineStr">
        <is>
          <t>Lead Management</t>
        </is>
      </c>
      <c r="H1381" t="inlineStr">
        <is>
          <t>Performance Issue</t>
        </is>
      </c>
      <c r="I1381" t="inlineStr">
        <is>
          <t>Our lead list loading regularly exceeds ten seconds on Monday mornings. Support suggested logging it here.</t>
        </is>
      </c>
      <c r="J1381" t="inlineStr">
        <is>
          <t>Negative</t>
        </is>
      </c>
      <c r="K1381" t="inlineStr">
        <is>
          <t>Low</t>
        </is>
      </c>
      <c r="L1381" t="inlineStr">
        <is>
          <t>Minor Inconvenience</t>
        </is>
      </c>
      <c r="M1381" t="inlineStr">
        <is>
          <t>lead_slow</t>
        </is>
      </c>
      <c r="N1381" t="inlineStr">
        <is>
          <t>Slow lead lists and pipeline board</t>
        </is>
      </c>
      <c r="O1381" t="inlineStr">
        <is>
          <t>2026-09</t>
        </is>
      </c>
    </row>
    <row r="1382">
      <c r="A1382" t="inlineStr">
        <is>
          <t>FB-01381</t>
        </is>
      </c>
      <c r="B1382" t="inlineStr">
        <is>
          <t>CUST-0137</t>
        </is>
      </c>
      <c r="C1382" s="11" t="n">
        <v>46272</v>
      </c>
      <c r="D1382" t="inlineStr">
        <is>
          <t>Support Ticket</t>
        </is>
      </c>
      <c r="E1382" t="inlineStr">
        <is>
          <t>Starter</t>
        </is>
      </c>
      <c r="F1382" t="inlineStr">
        <is>
          <t>SMB</t>
        </is>
      </c>
      <c r="G1382" t="inlineStr">
        <is>
          <t>Workflow Automation</t>
        </is>
      </c>
      <c r="H1382" t="inlineStr">
        <is>
          <t>Bug</t>
        </is>
      </c>
      <c r="I1382" t="inlineStr">
        <is>
          <t>This has been a recurring problem for us. Several automation misfires left deals stuck in the wrong stage. Our admin flagged it while onboarding 36 new users.</t>
        </is>
      </c>
      <c r="J1382" t="inlineStr">
        <is>
          <t>Negative</t>
        </is>
      </c>
      <c r="K1382" t="inlineStr">
        <is>
          <t>Medium</t>
        </is>
      </c>
      <c r="L1382" t="inlineStr">
        <is>
          <t>Workflow Slowdown</t>
        </is>
      </c>
      <c r="M1382" t="inlineStr">
        <is>
          <t>wf_fail</t>
        </is>
      </c>
      <c r="N1382" t="inlineStr">
        <is>
          <t>Workflows failing silently</t>
        </is>
      </c>
      <c r="O1382" t="inlineStr">
        <is>
          <t>2026-09</t>
        </is>
      </c>
    </row>
    <row r="1383">
      <c r="A1383" t="inlineStr">
        <is>
          <t>FB-01382</t>
        </is>
      </c>
      <c r="B1383" t="inlineStr">
        <is>
          <t>CUST-0057</t>
        </is>
      </c>
      <c r="C1383" s="11" t="n">
        <v>46272</v>
      </c>
      <c r="D1383" t="inlineStr">
        <is>
          <t>Support Ticket</t>
        </is>
      </c>
      <c r="E1383" t="inlineStr">
        <is>
          <t>Professional</t>
        </is>
      </c>
      <c r="F1383" t="inlineStr">
        <is>
          <t>SMB</t>
        </is>
      </c>
      <c r="G1383" t="inlineStr">
        <is>
          <t>Lead Management</t>
        </is>
      </c>
      <c r="H1383" t="inlineStr">
        <is>
          <t>Bug</t>
        </is>
      </c>
      <c r="I1383" t="inlineStr">
        <is>
          <t>FYI for the product team. There are duplicate lead records across our pipeline views and nobody knows which record is the source of truth. So far 47 people on our side have reported it. Let us know if you need examples.</t>
        </is>
      </c>
      <c r="J1383" t="inlineStr">
        <is>
          <t>Neutral</t>
        </is>
      </c>
      <c r="K1383" t="inlineStr">
        <is>
          <t>High</t>
        </is>
      </c>
      <c r="L1383" t="inlineStr">
        <is>
          <t>Revenue/Operations Risk</t>
        </is>
      </c>
      <c r="M1383" t="inlineStr">
        <is>
          <t>lead_dup</t>
        </is>
      </c>
      <c r="N1383" t="inlineStr">
        <is>
          <t>Duplicate leads created</t>
        </is>
      </c>
      <c r="O1383" t="inlineStr">
        <is>
          <t>2026-09</t>
        </is>
      </c>
    </row>
    <row r="1384">
      <c r="A1384" t="inlineStr">
        <is>
          <t>FB-01383</t>
        </is>
      </c>
      <c r="B1384" t="inlineStr">
        <is>
          <t>CUST-0157</t>
        </is>
      </c>
      <c r="C1384" s="11" t="n">
        <v>46272</v>
      </c>
      <c r="D1384" t="inlineStr">
        <is>
          <t>In-App Feedback</t>
        </is>
      </c>
      <c r="E1384" t="inlineStr">
        <is>
          <t>Starter</t>
        </is>
      </c>
      <c r="F1384" t="inlineStr">
        <is>
          <t>SMB</t>
        </is>
      </c>
      <c r="G1384" t="inlineStr">
        <is>
          <t>Integrations</t>
        </is>
      </c>
      <c r="H1384" t="inlineStr">
        <is>
          <t>Feature Request</t>
        </is>
      </c>
      <c r="I1384" t="inlineStr">
        <is>
          <t>Noting this during onboarding. Please build a native Slack integration; our team copies data across systems daily.</t>
        </is>
      </c>
      <c r="J1384" t="inlineStr">
        <is>
          <t>Neutral</t>
        </is>
      </c>
      <c r="K1384" t="inlineStr">
        <is>
          <t>Low</t>
        </is>
      </c>
      <c r="L1384" t="inlineStr">
        <is>
          <t>Workflow Slowdown</t>
        </is>
      </c>
      <c r="M1384" t="inlineStr">
        <is>
          <t>int_native</t>
        </is>
      </c>
      <c r="N1384" t="inlineStr">
        <is>
          <t>Native integrations</t>
        </is>
      </c>
      <c r="O1384" t="inlineStr">
        <is>
          <t>2026-09</t>
        </is>
      </c>
    </row>
    <row r="1385">
      <c r="A1385" t="inlineStr">
        <is>
          <t>FB-01384</t>
        </is>
      </c>
      <c r="B1385" t="inlineStr">
        <is>
          <t>CUST-0011</t>
        </is>
      </c>
      <c r="C1385" s="11" t="n">
        <v>46272</v>
      </c>
      <c r="D1385" t="inlineStr">
        <is>
          <t>Support Ticket</t>
        </is>
      </c>
      <c r="E1385" t="inlineStr">
        <is>
          <t>Starter</t>
        </is>
      </c>
      <c r="F1385" t="inlineStr">
        <is>
          <t>SMB</t>
        </is>
      </c>
      <c r="G1385" t="inlineStr">
        <is>
          <t>Contact Management</t>
        </is>
      </c>
      <c r="H1385" t="inlineStr">
        <is>
          <t>Bug</t>
        </is>
      </c>
      <c r="I1385" t="inlineStr">
        <is>
          <t>Frustrated with this one. The contact CSV import fails halfway through with a generic error and no row-level detail. We estimate we lose roughly 7 hours a month on this. We need a fix before renewal.</t>
        </is>
      </c>
      <c r="J1385" t="inlineStr">
        <is>
          <t>Negative</t>
        </is>
      </c>
      <c r="K1385" t="inlineStr">
        <is>
          <t>Low</t>
        </is>
      </c>
      <c r="L1385" t="inlineStr">
        <is>
          <t>Minor Inconvenience</t>
        </is>
      </c>
      <c r="M1385" t="inlineStr">
        <is>
          <t>contact_import</t>
        </is>
      </c>
      <c r="N1385" t="inlineStr">
        <is>
          <t>Unreliable contact imports</t>
        </is>
      </c>
      <c r="O1385" t="inlineStr">
        <is>
          <t>2026-09</t>
        </is>
      </c>
    </row>
    <row r="1386">
      <c r="A1386" t="inlineStr">
        <is>
          <t>FB-01385</t>
        </is>
      </c>
      <c r="B1386" t="inlineStr">
        <is>
          <t>CUST-0027</t>
        </is>
      </c>
      <c r="C1386" s="11" t="n">
        <v>46273</v>
      </c>
      <c r="D1386" t="inlineStr">
        <is>
          <t>Support Ticket</t>
        </is>
      </c>
      <c r="E1386" t="inlineStr">
        <is>
          <t>Professional</t>
        </is>
      </c>
      <c r="F1386" t="inlineStr">
        <is>
          <t>SMB</t>
        </is>
      </c>
      <c r="G1386" t="inlineStr">
        <is>
          <t>Lead Management</t>
        </is>
      </c>
      <c r="H1386" t="inlineStr">
        <is>
          <t>Performance Issue</t>
        </is>
      </c>
      <c r="I1386" t="inlineStr">
        <is>
          <t>Our team keeps running into this. The lead list loading gets very slow once we pass a few thousand open leads. It happens about 5 times a week for our team of 18. Please look into it soon.</t>
        </is>
      </c>
      <c r="J1386" t="inlineStr">
        <is>
          <t>Negative</t>
        </is>
      </c>
      <c r="K1386" t="inlineStr">
        <is>
          <t>Low</t>
        </is>
      </c>
      <c r="L1386" t="inlineStr">
        <is>
          <t>Minor Inconvenience</t>
        </is>
      </c>
      <c r="M1386" t="inlineStr">
        <is>
          <t>lead_slow</t>
        </is>
      </c>
      <c r="N1386" t="inlineStr">
        <is>
          <t>Slow lead lists and pipeline board</t>
        </is>
      </c>
      <c r="O1386" t="inlineStr">
        <is>
          <t>2026-09</t>
        </is>
      </c>
    </row>
    <row r="1387">
      <c r="A1387" t="inlineStr">
        <is>
          <t>FB-01386</t>
        </is>
      </c>
      <c r="B1387" t="inlineStr">
        <is>
          <t>CUST-0176</t>
        </is>
      </c>
      <c r="C1387" s="11" t="n">
        <v>46273</v>
      </c>
      <c r="D1387" t="inlineStr">
        <is>
          <t>Feature Request</t>
        </is>
      </c>
      <c r="E1387" t="inlineStr">
        <is>
          <t>Starter</t>
        </is>
      </c>
      <c r="F1387" t="inlineStr">
        <is>
          <t>SMB</t>
        </is>
      </c>
      <c r="G1387" t="inlineStr">
        <is>
          <t>Reporting</t>
        </is>
      </c>
      <c r="H1387" t="inlineStr">
        <is>
          <t>Feature Request</t>
        </is>
      </c>
      <c r="I1387" t="inlineStr">
        <is>
          <t>Noting this during onboarding. Please add quota tracking; managers keep a separate spreadsheet. It happens about 37 times a week for our team of 103.</t>
        </is>
      </c>
      <c r="J1387" t="inlineStr">
        <is>
          <t>Neutral</t>
        </is>
      </c>
      <c r="K1387" t="inlineStr">
        <is>
          <t>Medium</t>
        </is>
      </c>
      <c r="L1387" t="inlineStr">
        <is>
          <t>Workflow Slowdown</t>
        </is>
      </c>
      <c r="M1387" t="inlineStr">
        <is>
          <t>rep_forecast</t>
        </is>
      </c>
      <c r="N1387" t="inlineStr">
        <is>
          <t>Sales forecasting</t>
        </is>
      </c>
      <c r="O1387" t="inlineStr">
        <is>
          <t>2026-09</t>
        </is>
      </c>
    </row>
    <row r="1388">
      <c r="A1388" t="inlineStr">
        <is>
          <t>FB-01387</t>
        </is>
      </c>
      <c r="B1388" t="inlineStr">
        <is>
          <t>CUST-0216</t>
        </is>
      </c>
      <c r="C1388" s="11" t="n">
        <v>46273</v>
      </c>
      <c r="D1388" t="inlineStr">
        <is>
          <t>Support Ticket</t>
        </is>
      </c>
      <c r="E1388" t="inlineStr">
        <is>
          <t>Starter</t>
        </is>
      </c>
      <c r="F1388" t="inlineStr">
        <is>
          <t>Mid-Market</t>
        </is>
      </c>
      <c r="G1388" t="inlineStr">
        <is>
          <t>Lead Management</t>
        </is>
      </c>
      <c r="H1388" t="inlineStr">
        <is>
          <t>Performance Issue</t>
        </is>
      </c>
      <c r="I1388" t="inlineStr">
        <is>
          <t>Not what we expected for the price. Reps have stopped using the board because of lead view load times. Please look into it soon.</t>
        </is>
      </c>
      <c r="J1388" t="inlineStr">
        <is>
          <t>Negative</t>
        </is>
      </c>
      <c r="K1388" t="inlineStr">
        <is>
          <t>Low</t>
        </is>
      </c>
      <c r="L1388" t="inlineStr">
        <is>
          <t>Minor Inconvenience</t>
        </is>
      </c>
      <c r="M1388" t="inlineStr">
        <is>
          <t>lead_slow</t>
        </is>
      </c>
      <c r="N1388" t="inlineStr">
        <is>
          <t>Slow lead lists and pipeline board</t>
        </is>
      </c>
      <c r="O1388" t="inlineStr">
        <is>
          <t>2026-09</t>
        </is>
      </c>
    </row>
    <row r="1389">
      <c r="A1389" t="inlineStr">
        <is>
          <t>FB-01388</t>
        </is>
      </c>
      <c r="B1389" t="inlineStr">
        <is>
          <t>CUST-0245</t>
        </is>
      </c>
      <c r="C1389" s="11" t="n">
        <v>46274</v>
      </c>
      <c r="D1389" t="inlineStr">
        <is>
          <t>In-App Feedback</t>
        </is>
      </c>
      <c r="E1389" t="inlineStr">
        <is>
          <t>Starter</t>
        </is>
      </c>
      <c r="F1389" t="inlineStr">
        <is>
          <t>Mid-Market</t>
        </is>
      </c>
      <c r="G1389" t="inlineStr">
        <is>
          <t>User Interface</t>
        </is>
      </c>
      <c r="H1389" t="inlineStr">
        <is>
          <t>Performance Issue</t>
        </is>
      </c>
      <c r="I1389" t="inlineStr">
        <is>
          <t>Page lag makes data entry frustrating during live calls. It affects our renewal process every cycle. Please look into it soon.</t>
        </is>
      </c>
      <c r="J1389" t="inlineStr">
        <is>
          <t>Negative</t>
        </is>
      </c>
      <c r="K1389" t="inlineStr">
        <is>
          <t>Low</t>
        </is>
      </c>
      <c r="L1389" t="inlineStr">
        <is>
          <t>Workflow Slowdown</t>
        </is>
      </c>
      <c r="M1389" t="inlineStr">
        <is>
          <t>ui_perf</t>
        </is>
      </c>
      <c r="N1389" t="inlineStr">
        <is>
          <t>Laggy pages</t>
        </is>
      </c>
      <c r="O1389" t="inlineStr">
        <is>
          <t>2026-09</t>
        </is>
      </c>
    </row>
    <row r="1390">
      <c r="A1390" t="inlineStr">
        <is>
          <t>FB-01389</t>
        </is>
      </c>
      <c r="B1390" t="inlineStr">
        <is>
          <t>CUST-0137</t>
        </is>
      </c>
      <c r="C1390" s="11" t="n">
        <v>46274</v>
      </c>
      <c r="D1390" t="inlineStr">
        <is>
          <t>In-App Feedback</t>
        </is>
      </c>
      <c r="E1390" t="inlineStr">
        <is>
          <t>Starter</t>
        </is>
      </c>
      <c r="F1390" t="inlineStr">
        <is>
          <t>SMB</t>
        </is>
      </c>
      <c r="G1390" t="inlineStr">
        <is>
          <t>User Interface</t>
        </is>
      </c>
      <c r="H1390" t="inlineStr">
        <is>
          <t>Feature Request</t>
        </is>
      </c>
      <c r="I1390" t="inlineStr">
        <is>
          <t>Requesting a mobile app so reps can log activity right after a meeting. So far 50 people on our side have reported it.</t>
        </is>
      </c>
      <c r="J1390" t="inlineStr">
        <is>
          <t>Positive</t>
        </is>
      </c>
      <c r="K1390" t="inlineStr">
        <is>
          <t>Low</t>
        </is>
      </c>
      <c r="L1390" t="inlineStr">
        <is>
          <t>Minor Inconvenience</t>
        </is>
      </c>
      <c r="M1390" t="inlineStr">
        <is>
          <t>ui_mobile</t>
        </is>
      </c>
      <c r="N1390" t="inlineStr">
        <is>
          <t>Mobile app</t>
        </is>
      </c>
      <c r="O1390" t="inlineStr">
        <is>
          <t>2026-09</t>
        </is>
      </c>
    </row>
    <row r="1391">
      <c r="A1391" t="inlineStr">
        <is>
          <t>FB-01390</t>
        </is>
      </c>
      <c r="B1391" t="inlineStr">
        <is>
          <t>CUST-0123</t>
        </is>
      </c>
      <c r="C1391" s="11" t="n">
        <v>46274</v>
      </c>
      <c r="D1391" t="inlineStr">
        <is>
          <t>Support Ticket</t>
        </is>
      </c>
      <c r="E1391" t="inlineStr">
        <is>
          <t>Professional</t>
        </is>
      </c>
      <c r="F1391" t="inlineStr">
        <is>
          <t>Mid-Market</t>
        </is>
      </c>
      <c r="G1391" t="inlineStr">
        <is>
          <t>Workflow Automation</t>
        </is>
      </c>
      <c r="H1391" t="inlineStr">
        <is>
          <t>Bug</t>
        </is>
      </c>
      <c r="I1391" t="inlineStr">
        <is>
          <t>Not what we expected for the price. We found automation misfires only because a customer complained. We need a fix before renewal.</t>
        </is>
      </c>
      <c r="J1391" t="inlineStr">
        <is>
          <t>Negative</t>
        </is>
      </c>
      <c r="K1391" t="inlineStr">
        <is>
          <t>Low</t>
        </is>
      </c>
      <c r="L1391" t="inlineStr">
        <is>
          <t>Minor Inconvenience</t>
        </is>
      </c>
      <c r="M1391" t="inlineStr">
        <is>
          <t>wf_fail</t>
        </is>
      </c>
      <c r="N1391" t="inlineStr">
        <is>
          <t>Workflows failing silently</t>
        </is>
      </c>
      <c r="O1391" t="inlineStr">
        <is>
          <t>2026-09</t>
        </is>
      </c>
    </row>
    <row r="1392">
      <c r="A1392" t="inlineStr">
        <is>
          <t>FB-01391</t>
        </is>
      </c>
      <c r="B1392" t="inlineStr">
        <is>
          <t>CUST-0386</t>
        </is>
      </c>
      <c r="C1392" s="11" t="n">
        <v>46275</v>
      </c>
      <c r="D1392" t="inlineStr">
        <is>
          <t>Customer Survey</t>
        </is>
      </c>
      <c r="E1392" t="inlineStr">
        <is>
          <t>Starter</t>
        </is>
      </c>
      <c r="F1392" t="inlineStr">
        <is>
          <t>Mid-Market</t>
        </is>
      </c>
      <c r="G1392" t="inlineStr">
        <is>
          <t>Contact Management</t>
        </is>
      </c>
      <c r="H1392" t="inlineStr">
        <is>
          <t>Feature Request</t>
        </is>
      </c>
      <c r="I1392" t="inlineStr">
        <is>
          <t>Sharing this from our team. We need a contact relationship hierarchy to reflect parent companies and subsidiaries. Our customer success lead flagged it while onboarding 10 new users. Happy to join a feedback call.</t>
        </is>
      </c>
      <c r="J1392" t="inlineStr">
        <is>
          <t>Neutral</t>
        </is>
      </c>
      <c r="K1392" t="inlineStr">
        <is>
          <t>Low</t>
        </is>
      </c>
      <c r="L1392" t="inlineStr">
        <is>
          <t>Minor Inconvenience</t>
        </is>
      </c>
      <c r="M1392" t="inlineStr">
        <is>
          <t>contact_custom</t>
        </is>
      </c>
      <c r="N1392" t="inlineStr">
        <is>
          <t>Custom fields and hierarchy</t>
        </is>
      </c>
      <c r="O1392" t="inlineStr">
        <is>
          <t>2026-09</t>
        </is>
      </c>
    </row>
    <row r="1393">
      <c r="A1393" t="inlineStr">
        <is>
          <t>FB-01392</t>
        </is>
      </c>
      <c r="B1393" t="inlineStr">
        <is>
          <t>CUST-0054</t>
        </is>
      </c>
      <c r="C1393" s="11" t="n">
        <v>46275</v>
      </c>
      <c r="D1393" t="inlineStr">
        <is>
          <t>Support Ticket</t>
        </is>
      </c>
      <c r="E1393" t="inlineStr">
        <is>
          <t>Enterprise</t>
        </is>
      </c>
      <c r="F1393" t="inlineStr">
        <is>
          <t>Enterprise</t>
        </is>
      </c>
      <c r="G1393" t="inlineStr">
        <is>
          <t>Contact Management</t>
        </is>
      </c>
      <c r="H1393" t="inlineStr">
        <is>
          <t>Bug</t>
        </is>
      </c>
      <c r="I1393" t="inlineStr">
        <is>
          <t>Quick note from our admin. Our import field mapping scrambles phone and email columns even after we map them correctly. We estimate we lose roughly 26 hours a month on this.</t>
        </is>
      </c>
      <c r="J1393" t="inlineStr">
        <is>
          <t>Neutral</t>
        </is>
      </c>
      <c r="K1393" t="inlineStr">
        <is>
          <t>Critical</t>
        </is>
      </c>
      <c r="L1393" t="inlineStr">
        <is>
          <t>Blocks Key Task</t>
        </is>
      </c>
      <c r="M1393" t="inlineStr">
        <is>
          <t>contact_import</t>
        </is>
      </c>
      <c r="N1393" t="inlineStr">
        <is>
          <t>Unreliable contact imports</t>
        </is>
      </c>
      <c r="O1393" t="inlineStr">
        <is>
          <t>2026-09</t>
        </is>
      </c>
    </row>
    <row r="1394">
      <c r="A1394" t="inlineStr">
        <is>
          <t>FB-01393</t>
        </is>
      </c>
      <c r="B1394" t="inlineStr">
        <is>
          <t>CUST-0049</t>
        </is>
      </c>
      <c r="C1394" s="11" t="n">
        <v>46275</v>
      </c>
      <c r="D1394" t="inlineStr">
        <is>
          <t>Support Ticket</t>
        </is>
      </c>
      <c r="E1394" t="inlineStr">
        <is>
          <t>Starter</t>
        </is>
      </c>
      <c r="F1394" t="inlineStr">
        <is>
          <t>SMB</t>
        </is>
      </c>
      <c r="G1394" t="inlineStr">
        <is>
          <t>Lead Management</t>
        </is>
      </c>
      <c r="H1394" t="inlineStr">
        <is>
          <t>Bug</t>
        </is>
      </c>
      <c r="I1394" t="inlineStr">
        <is>
          <t>After every list import we find lead de-duplication failures that have to be cleaned up by hand. Our marketing ops owner flagged it while onboarding 82 new users. Is there a workaround?</t>
        </is>
      </c>
      <c r="J1394" t="inlineStr">
        <is>
          <t>Negative</t>
        </is>
      </c>
      <c r="K1394" t="inlineStr">
        <is>
          <t>Critical</t>
        </is>
      </c>
      <c r="L1394" t="inlineStr">
        <is>
          <t>Revenue/Operations Risk</t>
        </is>
      </c>
      <c r="M1394" t="inlineStr">
        <is>
          <t>lead_dup</t>
        </is>
      </c>
      <c r="N1394" t="inlineStr">
        <is>
          <t>Duplicate leads created</t>
        </is>
      </c>
      <c r="O1394" t="inlineStr">
        <is>
          <t>2026-09</t>
        </is>
      </c>
    </row>
    <row r="1395">
      <c r="A1395" t="inlineStr">
        <is>
          <t>FB-01394</t>
        </is>
      </c>
      <c r="B1395" t="inlineStr">
        <is>
          <t>CUST-0028</t>
        </is>
      </c>
      <c r="C1395" s="11" t="n">
        <v>46275</v>
      </c>
      <c r="D1395" t="inlineStr">
        <is>
          <t>In-App Feedback</t>
        </is>
      </c>
      <c r="E1395" t="inlineStr">
        <is>
          <t>Enterprise</t>
        </is>
      </c>
      <c r="F1395" t="inlineStr">
        <is>
          <t>Enterprise</t>
        </is>
      </c>
      <c r="G1395" t="inlineStr">
        <is>
          <t>Reporting</t>
        </is>
      </c>
      <c r="H1395" t="inlineStr">
        <is>
          <t>Bug</t>
        </is>
      </c>
      <c r="I1395" t="inlineStr">
        <is>
          <t>This has been a recurring problem for us. The report export times out for date ranges longer than a quarter. It happens about 10 times a week for our team of 88.</t>
        </is>
      </c>
      <c r="J1395" t="inlineStr">
        <is>
          <t>Negative</t>
        </is>
      </c>
      <c r="K1395" t="inlineStr">
        <is>
          <t>High</t>
        </is>
      </c>
      <c r="L1395" t="inlineStr">
        <is>
          <t>Workflow Slowdown</t>
        </is>
      </c>
      <c r="M1395" t="inlineStr">
        <is>
          <t>rep_export</t>
        </is>
      </c>
      <c r="N1395" t="inlineStr">
        <is>
          <t>Broken report exports</t>
        </is>
      </c>
      <c r="O1395" t="inlineStr">
        <is>
          <t>2026-09</t>
        </is>
      </c>
    </row>
    <row r="1396">
      <c r="A1396" t="inlineStr">
        <is>
          <t>FB-01395</t>
        </is>
      </c>
      <c r="B1396" t="inlineStr">
        <is>
          <t>CUST-0325</t>
        </is>
      </c>
      <c r="C1396" s="11" t="n">
        <v>46275</v>
      </c>
      <c r="D1396" t="inlineStr">
        <is>
          <t>Customer Survey</t>
        </is>
      </c>
      <c r="E1396" t="inlineStr">
        <is>
          <t>Starter</t>
        </is>
      </c>
      <c r="F1396" t="inlineStr">
        <is>
          <t>SMB</t>
        </is>
      </c>
      <c r="G1396" t="inlineStr">
        <is>
          <t>Contact Management</t>
        </is>
      </c>
      <c r="H1396" t="inlineStr">
        <is>
          <t>Feature Request</t>
        </is>
      </c>
      <c r="I1396" t="inlineStr">
        <is>
          <t>We need contact de-duplication tooling because our database has years of overlapping records. Our sales manager flagged it while onboarding 15 new users. Let us know if you need examples.</t>
        </is>
      </c>
      <c r="J1396" t="inlineStr">
        <is>
          <t>Neutral</t>
        </is>
      </c>
      <c r="K1396" t="inlineStr">
        <is>
          <t>Medium</t>
        </is>
      </c>
      <c r="L1396" t="inlineStr">
        <is>
          <t>Blocks Key Task</t>
        </is>
      </c>
      <c r="M1396" t="inlineStr">
        <is>
          <t>contact_dedupe</t>
        </is>
      </c>
      <c r="N1396" t="inlineStr">
        <is>
          <t>Bulk contact merge</t>
        </is>
      </c>
      <c r="O1396" t="inlineStr">
        <is>
          <t>2026-09</t>
        </is>
      </c>
    </row>
    <row r="1397">
      <c r="A1397" t="inlineStr">
        <is>
          <t>FB-01396</t>
        </is>
      </c>
      <c r="B1397" t="inlineStr">
        <is>
          <t>CUST-0137</t>
        </is>
      </c>
      <c r="C1397" s="11" t="n">
        <v>46276</v>
      </c>
      <c r="D1397" t="inlineStr">
        <is>
          <t>Support Ticket</t>
        </is>
      </c>
      <c r="E1397" t="inlineStr">
        <is>
          <t>Starter</t>
        </is>
      </c>
      <c r="F1397" t="inlineStr">
        <is>
          <t>SMB</t>
        </is>
      </c>
      <c r="G1397" t="inlineStr">
        <is>
          <t>Contact Management</t>
        </is>
      </c>
      <c r="H1397" t="inlineStr">
        <is>
          <t>Performance Issue</t>
        </is>
      </c>
      <c r="I1397" t="inlineStr">
        <is>
          <t>Combining several conditions in contact search makes the page hang.</t>
        </is>
      </c>
      <c r="J1397" t="inlineStr">
        <is>
          <t>Negative</t>
        </is>
      </c>
      <c r="K1397" t="inlineStr">
        <is>
          <t>High</t>
        </is>
      </c>
      <c r="L1397" t="inlineStr">
        <is>
          <t>Blocks Key Task</t>
        </is>
      </c>
      <c r="M1397" t="inlineStr">
        <is>
          <t>contact_search</t>
        </is>
      </c>
      <c r="N1397" t="inlineStr">
        <is>
          <t>Slow contact search</t>
        </is>
      </c>
      <c r="O1397" t="inlineStr">
        <is>
          <t>2026-09</t>
        </is>
      </c>
    </row>
    <row r="1398">
      <c r="A1398" t="inlineStr">
        <is>
          <t>FB-01397</t>
        </is>
      </c>
      <c r="B1398" t="inlineStr">
        <is>
          <t>CUST-0193</t>
        </is>
      </c>
      <c r="C1398" s="11" t="n">
        <v>46276</v>
      </c>
      <c r="D1398" t="inlineStr">
        <is>
          <t>Support Ticket</t>
        </is>
      </c>
      <c r="E1398" t="inlineStr">
        <is>
          <t>Starter</t>
        </is>
      </c>
      <c r="F1398" t="inlineStr">
        <is>
          <t>SMB</t>
        </is>
      </c>
      <c r="G1398" t="inlineStr">
        <is>
          <t>Lead Management</t>
        </is>
      </c>
      <c r="H1398" t="inlineStr">
        <is>
          <t>Bug</t>
        </is>
      </c>
      <c r="I1398" t="inlineStr">
        <is>
          <t>Not what we expected for the price. Web form submissions keep creating duplicated leads, and reps end up calling the same prospect twice.</t>
        </is>
      </c>
      <c r="J1398" t="inlineStr">
        <is>
          <t>Negative</t>
        </is>
      </c>
      <c r="K1398" t="inlineStr">
        <is>
          <t>Medium</t>
        </is>
      </c>
      <c r="L1398" t="inlineStr">
        <is>
          <t>Unknown</t>
        </is>
      </c>
      <c r="M1398" t="inlineStr">
        <is>
          <t>lead_dup</t>
        </is>
      </c>
      <c r="N1398" t="inlineStr">
        <is>
          <t>Duplicate leads created</t>
        </is>
      </c>
      <c r="O1398" t="inlineStr">
        <is>
          <t>2026-09</t>
        </is>
      </c>
    </row>
    <row r="1399">
      <c r="A1399" t="inlineStr">
        <is>
          <t>FB-01398</t>
        </is>
      </c>
      <c r="B1399" t="inlineStr">
        <is>
          <t>CUST-0139</t>
        </is>
      </c>
      <c r="C1399" s="11" t="n">
        <v>46276</v>
      </c>
      <c r="D1399" t="inlineStr">
        <is>
          <t>Customer Survey</t>
        </is>
      </c>
      <c r="E1399" t="inlineStr">
        <is>
          <t>Professional</t>
        </is>
      </c>
      <c r="F1399" t="inlineStr">
        <is>
          <t>Mid-Market</t>
        </is>
      </c>
      <c r="G1399" t="inlineStr">
        <is>
          <t>Lead Management</t>
        </is>
      </c>
      <c r="H1399" t="inlineStr">
        <is>
          <t>Feature Request</t>
        </is>
      </c>
      <c r="I1399" t="inlineStr">
        <is>
          <t>Happy with most of the product. Please add automated lead scoring based on engagement, company size and recent activity. Our finance analyst flagged it while onboarding 76 new users. Thanks to the team.</t>
        </is>
      </c>
      <c r="J1399" t="inlineStr">
        <is>
          <t>Positive</t>
        </is>
      </c>
      <c r="K1399" t="inlineStr">
        <is>
          <t>Low</t>
        </is>
      </c>
      <c r="L1399" t="inlineStr">
        <is>
          <t>Minor Inconvenience</t>
        </is>
      </c>
      <c r="M1399" t="inlineStr">
        <is>
          <t>lead_score</t>
        </is>
      </c>
      <c r="N1399" t="inlineStr">
        <is>
          <t>Automated lead scoring</t>
        </is>
      </c>
      <c r="O1399" t="inlineStr">
        <is>
          <t>2026-09</t>
        </is>
      </c>
    </row>
    <row r="1400">
      <c r="A1400" t="inlineStr">
        <is>
          <t>FB-01399</t>
        </is>
      </c>
      <c r="B1400" t="inlineStr">
        <is>
          <t>CUST-0090</t>
        </is>
      </c>
      <c r="C1400" s="11" t="n">
        <v>46277</v>
      </c>
      <c r="D1400" t="inlineStr">
        <is>
          <t>Customer Survey</t>
        </is>
      </c>
      <c r="E1400" t="inlineStr">
        <is>
          <t>Professional</t>
        </is>
      </c>
      <c r="F1400" t="inlineStr">
        <is>
          <t>SMB</t>
        </is>
      </c>
      <c r="G1400" t="inlineStr">
        <is>
          <t>Workflow Automation</t>
        </is>
      </c>
      <c r="H1400" t="inlineStr">
        <is>
          <t>Usability Issue</t>
        </is>
      </c>
      <c r="I1400" t="inlineStr">
        <is>
          <t>Our new admins struggle with the workflow editor; there is no guidance or validation. We estimate we lose roughly 31 hours a month on this. Happy to join a feedback call.</t>
        </is>
      </c>
      <c r="J1400" t="inlineStr">
        <is>
          <t>Neutral</t>
        </is>
      </c>
      <c r="K1400" t="inlineStr">
        <is>
          <t>High</t>
        </is>
      </c>
      <c r="L1400" t="inlineStr">
        <is>
          <t>Blocks Key Task</t>
        </is>
      </c>
      <c r="M1400" t="inlineStr">
        <is>
          <t>wf_builder</t>
        </is>
      </c>
      <c r="N1400" t="inlineStr">
        <is>
          <t>Confusing workflow builder</t>
        </is>
      </c>
      <c r="O1400" t="inlineStr">
        <is>
          <t>2026-09</t>
        </is>
      </c>
    </row>
    <row r="1401">
      <c r="A1401" t="inlineStr">
        <is>
          <t>FB-01400</t>
        </is>
      </c>
      <c r="B1401" t="inlineStr">
        <is>
          <t>CUST-0291</t>
        </is>
      </c>
      <c r="C1401" s="11" t="n">
        <v>46277</v>
      </c>
      <c r="D1401" t="inlineStr">
        <is>
          <t>Customer Survey</t>
        </is>
      </c>
      <c r="E1401" t="inlineStr">
        <is>
          <t>Starter</t>
        </is>
      </c>
      <c r="F1401" t="inlineStr">
        <is>
          <t>SMB</t>
        </is>
      </c>
      <c r="G1401" t="inlineStr">
        <is>
          <t>Workflow Automation</t>
        </is>
      </c>
      <c r="H1401" t="inlineStr">
        <is>
          <t>Feature Request</t>
        </is>
      </c>
      <c r="I1401" t="inlineStr">
        <is>
          <t>A library of automation recipes would cut our setup time. Our sales manager flagged it while onboarding 52 new users. Happy to join a feedback call.</t>
        </is>
      </c>
      <c r="J1401" t="inlineStr">
        <is>
          <t>Neutral</t>
        </is>
      </c>
      <c r="K1401" t="inlineStr">
        <is>
          <t>Medium</t>
        </is>
      </c>
      <c r="L1401" t="inlineStr">
        <is>
          <t>Workflow Slowdown</t>
        </is>
      </c>
      <c r="M1401" t="inlineStr">
        <is>
          <t>wf_templates</t>
        </is>
      </c>
      <c r="N1401" t="inlineStr">
        <is>
          <t>Workflow templates</t>
        </is>
      </c>
      <c r="O1401" t="inlineStr">
        <is>
          <t>2026-09</t>
        </is>
      </c>
    </row>
    <row r="1402">
      <c r="A1402" t="inlineStr">
        <is>
          <t>FB-01401</t>
        </is>
      </c>
      <c r="B1402" t="inlineStr">
        <is>
          <t>CUST-0334</t>
        </is>
      </c>
      <c r="C1402" s="11" t="n">
        <v>46277</v>
      </c>
      <c r="D1402" t="inlineStr">
        <is>
          <t>Feature Request</t>
        </is>
      </c>
      <c r="E1402" t="inlineStr">
        <is>
          <t>Enterprise</t>
        </is>
      </c>
      <c r="F1402" t="inlineStr">
        <is>
          <t>SMB</t>
        </is>
      </c>
      <c r="G1402" t="inlineStr">
        <is>
          <t>User Interface</t>
        </is>
      </c>
      <c r="H1402" t="inlineStr">
        <is>
          <t>Feature Request</t>
        </is>
      </c>
      <c r="I1402" t="inlineStr">
        <is>
          <t>Please prioritize a mobile app; the mobile web view is hard to use. Support suggested logging it here.</t>
        </is>
      </c>
      <c r="J1402" t="inlineStr">
        <is>
          <t>Negative</t>
        </is>
      </c>
      <c r="K1402" t="inlineStr">
        <is>
          <t>High</t>
        </is>
      </c>
      <c r="L1402" t="inlineStr">
        <is>
          <t>Blocks Key Task</t>
        </is>
      </c>
      <c r="M1402" t="inlineStr">
        <is>
          <t>ui_mobile</t>
        </is>
      </c>
      <c r="N1402" t="inlineStr">
        <is>
          <t>Mobile app</t>
        </is>
      </c>
      <c r="O1402" t="inlineStr">
        <is>
          <t>2026-09</t>
        </is>
      </c>
    </row>
    <row r="1403">
      <c r="A1403" t="inlineStr">
        <is>
          <t>FB-01402</t>
        </is>
      </c>
      <c r="B1403" t="inlineStr">
        <is>
          <t>CUST-0315</t>
        </is>
      </c>
      <c r="C1403" s="11" t="n">
        <v>46277</v>
      </c>
      <c r="D1403" t="inlineStr">
        <is>
          <t>Customer Survey</t>
        </is>
      </c>
      <c r="E1403" t="inlineStr">
        <is>
          <t>Professional</t>
        </is>
      </c>
      <c r="F1403" t="inlineStr">
        <is>
          <t>SMB</t>
        </is>
      </c>
      <c r="G1403" t="inlineStr">
        <is>
          <t>Workflow Automation</t>
        </is>
      </c>
      <c r="H1403" t="inlineStr">
        <is>
          <t>Feature Request</t>
        </is>
      </c>
      <c r="I1403" t="inlineStr">
        <is>
          <t>Great support experience recently. We'd adopt automation faster with automation recipes we could customize. We estimate we lose roughly 37 hours a month on this.</t>
        </is>
      </c>
      <c r="J1403" t="inlineStr">
        <is>
          <t>Positive</t>
        </is>
      </c>
      <c r="K1403" t="inlineStr">
        <is>
          <t>Low</t>
        </is>
      </c>
      <c r="L1403" t="inlineStr">
        <is>
          <t>Blocks Key Task</t>
        </is>
      </c>
      <c r="M1403" t="inlineStr">
        <is>
          <t>wf_templates</t>
        </is>
      </c>
      <c r="N1403" t="inlineStr">
        <is>
          <t>Workflow templates</t>
        </is>
      </c>
      <c r="O1403" t="inlineStr">
        <is>
          <t>2026-09</t>
        </is>
      </c>
    </row>
    <row r="1404">
      <c r="A1404" t="inlineStr">
        <is>
          <t>FB-01403</t>
        </is>
      </c>
      <c r="B1404" t="inlineStr">
        <is>
          <t>CUST-0178</t>
        </is>
      </c>
      <c r="C1404" s="11" t="n">
        <v>46277</v>
      </c>
      <c r="D1404" t="inlineStr">
        <is>
          <t>Feature Request</t>
        </is>
      </c>
      <c r="E1404" t="inlineStr">
        <is>
          <t>Starter</t>
        </is>
      </c>
      <c r="F1404" t="inlineStr">
        <is>
          <t>SMB</t>
        </is>
      </c>
      <c r="G1404" t="inlineStr">
        <is>
          <t>Contact Management</t>
        </is>
      </c>
      <c r="H1404" t="inlineStr">
        <is>
          <t>Feature Request</t>
        </is>
      </c>
      <c r="I1404" t="inlineStr">
        <is>
          <t>Quick note from our admin. Is there any plan for a bulk contact merge? Merging one record at a time is not realistic. So far 39 people on our side have reported it. Happy to join a feedback call.</t>
        </is>
      </c>
      <c r="J1404" t="inlineStr">
        <is>
          <t>Neutral</t>
        </is>
      </c>
      <c r="K1404" t="inlineStr">
        <is>
          <t>Medium</t>
        </is>
      </c>
      <c r="L1404" t="inlineStr">
        <is>
          <t>Workflow Slowdown</t>
        </is>
      </c>
      <c r="M1404" t="inlineStr">
        <is>
          <t>contact_dedupe</t>
        </is>
      </c>
      <c r="N1404" t="inlineStr">
        <is>
          <t>Bulk contact merge</t>
        </is>
      </c>
      <c r="O1404" t="inlineStr">
        <is>
          <t>2026-09</t>
        </is>
      </c>
    </row>
    <row r="1405">
      <c r="A1405" t="inlineStr">
        <is>
          <t>FB-01404</t>
        </is>
      </c>
      <c r="B1405" t="inlineStr">
        <is>
          <t>CUST-0292</t>
        </is>
      </c>
      <c r="C1405" s="11" t="n">
        <v>46277</v>
      </c>
      <c r="D1405" t="inlineStr">
        <is>
          <t>Feature Request</t>
        </is>
      </c>
      <c r="E1405" t="inlineStr">
        <is>
          <t>Professional</t>
        </is>
      </c>
      <c r="F1405" t="inlineStr">
        <is>
          <t>Mid-Market</t>
        </is>
      </c>
      <c r="G1405" t="inlineStr">
        <is>
          <t>User Interface</t>
        </is>
      </c>
      <c r="H1405" t="inlineStr">
        <is>
          <t>Feature Request</t>
        </is>
      </c>
      <c r="I1405" t="inlineStr">
        <is>
          <t>Admins ask for bulk edit actions every time we reorganize territories. So far 6 people on our side have reported it. Happy to join a feedback call.</t>
        </is>
      </c>
      <c r="J1405" t="inlineStr">
        <is>
          <t>Neutral</t>
        </is>
      </c>
      <c r="K1405" t="inlineStr">
        <is>
          <t>Low</t>
        </is>
      </c>
      <c r="L1405" t="inlineStr">
        <is>
          <t>Minor Inconvenience</t>
        </is>
      </c>
      <c r="M1405" t="inlineStr">
        <is>
          <t>ui_bulk</t>
        </is>
      </c>
      <c r="N1405" t="inlineStr">
        <is>
          <t>Bulk actions</t>
        </is>
      </c>
      <c r="O1405" t="inlineStr">
        <is>
          <t>2026-09</t>
        </is>
      </c>
    </row>
    <row r="1406">
      <c r="A1406" t="inlineStr">
        <is>
          <t>FB-01405</t>
        </is>
      </c>
      <c r="B1406" t="inlineStr">
        <is>
          <t>CUST-0284</t>
        </is>
      </c>
      <c r="C1406" s="11" t="n">
        <v>46277</v>
      </c>
      <c r="D1406" t="inlineStr">
        <is>
          <t>Support Ticket</t>
        </is>
      </c>
      <c r="E1406" t="inlineStr">
        <is>
          <t>Enterprise</t>
        </is>
      </c>
      <c r="F1406" t="inlineStr">
        <is>
          <t>Enterprise</t>
        </is>
      </c>
      <c r="G1406" t="inlineStr">
        <is>
          <t>Lead Management</t>
        </is>
      </c>
      <c r="H1406" t="inlineStr">
        <is>
          <t>Bug</t>
        </is>
      </c>
      <c r="I1406" t="inlineStr">
        <is>
          <t>Not what we expected for the price. We are seeing duplicated leads when a lead arrives from both the website and a trade-show list. Our finance analyst flagged it while onboarding 78 new users. Support suggested logging it here.</t>
        </is>
      </c>
      <c r="J1406" t="inlineStr">
        <is>
          <t>Negative</t>
        </is>
      </c>
      <c r="K1406" t="inlineStr">
        <is>
          <t>High</t>
        </is>
      </c>
      <c r="L1406" t="inlineStr">
        <is>
          <t>Workflow Slowdown</t>
        </is>
      </c>
      <c r="M1406" t="inlineStr">
        <is>
          <t>lead_dup</t>
        </is>
      </c>
      <c r="N1406" t="inlineStr">
        <is>
          <t>Duplicate leads created</t>
        </is>
      </c>
      <c r="O1406" t="inlineStr">
        <is>
          <t>2026-09</t>
        </is>
      </c>
    </row>
    <row r="1407">
      <c r="A1407" t="inlineStr">
        <is>
          <t>FB-01406</t>
        </is>
      </c>
      <c r="B1407" t="inlineStr">
        <is>
          <t>CUST-0128</t>
        </is>
      </c>
      <c r="C1407" s="11" t="n">
        <v>46277</v>
      </c>
      <c r="D1407" t="inlineStr">
        <is>
          <t>Customer Survey</t>
        </is>
      </c>
      <c r="E1407" t="inlineStr">
        <is>
          <t>Professional</t>
        </is>
      </c>
      <c r="F1407" t="inlineStr">
        <is>
          <t>SMB</t>
        </is>
      </c>
      <c r="G1407" t="inlineStr">
        <is>
          <t>Contact Management</t>
        </is>
      </c>
      <c r="H1407" t="inlineStr">
        <is>
          <t>Bug</t>
        </is>
      </c>
      <c r="I1407" t="inlineStr">
        <is>
          <t>Noting this during onboarding. Our import field mapping scrambles phone and email columns even after we map them correctly.</t>
        </is>
      </c>
      <c r="J1407" t="inlineStr">
        <is>
          <t>Neutral</t>
        </is>
      </c>
      <c r="K1407" t="inlineStr">
        <is>
          <t>Low</t>
        </is>
      </c>
      <c r="L1407" t="inlineStr">
        <is>
          <t>Minor Inconvenience</t>
        </is>
      </c>
      <c r="M1407" t="inlineStr">
        <is>
          <t>contact_import</t>
        </is>
      </c>
      <c r="N1407" t="inlineStr">
        <is>
          <t>Unreliable contact imports</t>
        </is>
      </c>
      <c r="O1407" t="inlineStr">
        <is>
          <t>2026-09</t>
        </is>
      </c>
    </row>
    <row r="1408">
      <c r="A1408" t="inlineStr">
        <is>
          <t>FB-01407</t>
        </is>
      </c>
      <c r="B1408" t="inlineStr">
        <is>
          <t>CUST-0236</t>
        </is>
      </c>
      <c r="C1408" s="11" t="n">
        <v>46277</v>
      </c>
      <c r="D1408" t="inlineStr">
        <is>
          <t>Customer Survey</t>
        </is>
      </c>
      <c r="E1408" t="inlineStr">
        <is>
          <t>Starter</t>
        </is>
      </c>
      <c r="F1408" t="inlineStr">
        <is>
          <t>SMB</t>
        </is>
      </c>
      <c r="G1408" t="inlineStr">
        <is>
          <t>User Interface</t>
        </is>
      </c>
      <c r="H1408" t="inlineStr">
        <is>
          <t>Usability Issue</t>
        </is>
      </c>
      <c r="I1408" t="inlineStr">
        <is>
          <t>Escalating on behalf of our ops lead. New hires get lost in the navigation menu; it takes weeks to learn. It affects our renewal process every cycle. Please look into it soon.</t>
        </is>
      </c>
      <c r="J1408" t="inlineStr">
        <is>
          <t>Negative</t>
        </is>
      </c>
      <c r="K1408" t="inlineStr">
        <is>
          <t>Low</t>
        </is>
      </c>
      <c r="L1408" t="inlineStr">
        <is>
          <t>Minor Inconvenience</t>
        </is>
      </c>
      <c r="M1408" t="inlineStr">
        <is>
          <t>ui_nav</t>
        </is>
      </c>
      <c r="N1408" t="inlineStr">
        <is>
          <t>Cluttered navigation</t>
        </is>
      </c>
      <c r="O1408" t="inlineStr">
        <is>
          <t>2026-09</t>
        </is>
      </c>
    </row>
    <row r="1409">
      <c r="A1409" t="inlineStr">
        <is>
          <t>FB-01408</t>
        </is>
      </c>
      <c r="B1409" t="inlineStr">
        <is>
          <t>CUST-0035</t>
        </is>
      </c>
      <c r="C1409" s="11" t="n">
        <v>46278</v>
      </c>
      <c r="D1409" t="inlineStr">
        <is>
          <t>Feature Request</t>
        </is>
      </c>
      <c r="E1409" t="inlineStr">
        <is>
          <t>Professional</t>
        </is>
      </c>
      <c r="F1409" t="inlineStr">
        <is>
          <t>Enterprise</t>
        </is>
      </c>
      <c r="G1409" t="inlineStr">
        <is>
          <t>Contact Management</t>
        </is>
      </c>
      <c r="H1409" t="inlineStr">
        <is>
          <t>Feature Request</t>
        </is>
      </c>
      <c r="I1409" t="inlineStr">
        <is>
          <t>We need a contact relationship hierarchy to reflect parent companies and subsidiaries. Our finance analyst flagged it while onboarding 98 new users.</t>
        </is>
      </c>
      <c r="J1409" t="inlineStr">
        <is>
          <t>Neutral</t>
        </is>
      </c>
      <c r="K1409" t="inlineStr">
        <is>
          <t>Low</t>
        </is>
      </c>
      <c r="L1409" t="inlineStr">
        <is>
          <t>Minor Inconvenience</t>
        </is>
      </c>
      <c r="M1409" t="inlineStr">
        <is>
          <t>contact_custom</t>
        </is>
      </c>
      <c r="N1409" t="inlineStr">
        <is>
          <t>Custom fields and hierarchy</t>
        </is>
      </c>
      <c r="O1409" t="inlineStr">
        <is>
          <t>2026-09</t>
        </is>
      </c>
    </row>
    <row r="1410">
      <c r="A1410" t="inlineStr">
        <is>
          <t>FB-01409</t>
        </is>
      </c>
      <c r="B1410" t="inlineStr">
        <is>
          <t>CUST-0245</t>
        </is>
      </c>
      <c r="C1410" s="11" t="n">
        <v>46278</v>
      </c>
      <c r="D1410" t="inlineStr">
        <is>
          <t>Support Ticket</t>
        </is>
      </c>
      <c r="E1410" t="inlineStr">
        <is>
          <t>Starter</t>
        </is>
      </c>
      <c r="F1410" t="inlineStr">
        <is>
          <t>Mid-Market</t>
        </is>
      </c>
      <c r="G1410" t="inlineStr">
        <is>
          <t>Workflow Automation</t>
        </is>
      </c>
      <c r="H1410" t="inlineStr">
        <is>
          <t>Usability Issue</t>
        </is>
      </c>
      <c r="I1410" t="inlineStr">
        <is>
          <t>Not what we expected for the price. Our new admins struggle with the automation canvas; there is no guidance or validation. Is there a workaround?</t>
        </is>
      </c>
      <c r="J1410" t="inlineStr">
        <is>
          <t>Negative</t>
        </is>
      </c>
      <c r="K1410" t="inlineStr">
        <is>
          <t>Low</t>
        </is>
      </c>
      <c r="L1410" t="inlineStr">
        <is>
          <t>Minor Inconvenience</t>
        </is>
      </c>
      <c r="M1410" t="inlineStr">
        <is>
          <t>wf_builder</t>
        </is>
      </c>
      <c r="N1410" t="inlineStr">
        <is>
          <t>Confusing workflow builder</t>
        </is>
      </c>
      <c r="O1410" t="inlineStr">
        <is>
          <t>2026-09</t>
        </is>
      </c>
    </row>
    <row r="1411">
      <c r="A1411" t="inlineStr">
        <is>
          <t>FB-01410</t>
        </is>
      </c>
      <c r="B1411" t="inlineStr">
        <is>
          <t>CUST-0284</t>
        </is>
      </c>
      <c r="C1411" s="11" t="n">
        <v>46278</v>
      </c>
      <c r="D1411" t="inlineStr">
        <is>
          <t>Feature Request</t>
        </is>
      </c>
      <c r="E1411" t="inlineStr">
        <is>
          <t>Enterprise</t>
        </is>
      </c>
      <c r="F1411" t="inlineStr">
        <is>
          <t>Enterprise</t>
        </is>
      </c>
      <c r="G1411" t="inlineStr">
        <is>
          <t>Reporting</t>
        </is>
      </c>
      <c r="H1411" t="inlineStr">
        <is>
          <t>Feature Request</t>
        </is>
      </c>
      <c r="I1411" t="inlineStr">
        <is>
          <t>Please add report scheduling; today an analyst rebuilds the same report every week. Keep up the good work.</t>
        </is>
      </c>
      <c r="J1411" t="inlineStr">
        <is>
          <t>Positive</t>
        </is>
      </c>
      <c r="K1411" t="inlineStr">
        <is>
          <t>Low</t>
        </is>
      </c>
      <c r="L1411" t="inlineStr">
        <is>
          <t>Workflow Slowdown</t>
        </is>
      </c>
      <c r="M1411" t="inlineStr">
        <is>
          <t>rep_custom</t>
        </is>
      </c>
      <c r="N1411" t="inlineStr">
        <is>
          <t>Custom and scheduled reports</t>
        </is>
      </c>
      <c r="O1411" t="inlineStr">
        <is>
          <t>2026-09</t>
        </is>
      </c>
    </row>
    <row r="1412">
      <c r="A1412" t="inlineStr">
        <is>
          <t>FB-01411</t>
        </is>
      </c>
      <c r="B1412" t="inlineStr">
        <is>
          <t>CUST-0276</t>
        </is>
      </c>
      <c r="C1412" s="11" t="n">
        <v>46278</v>
      </c>
      <c r="D1412" t="inlineStr">
        <is>
          <t>In-App Feedback</t>
        </is>
      </c>
      <c r="E1412" t="inlineStr">
        <is>
          <t>Professional</t>
        </is>
      </c>
      <c r="F1412" t="inlineStr">
        <is>
          <t>SMB</t>
        </is>
      </c>
      <c r="G1412" t="inlineStr">
        <is>
          <t>Lead Management</t>
        </is>
      </c>
      <c r="H1412" t="inlineStr">
        <is>
          <t>Usability Issue</t>
        </is>
      </c>
      <c r="I1412" t="inlineStr">
        <is>
          <t>It is hard to understand how lead routing rules decide who owns a lead. We estimate we lose roughly 45 hours a month on this.</t>
        </is>
      </c>
      <c r="J1412" t="inlineStr">
        <is>
          <t>Neutral</t>
        </is>
      </c>
      <c r="K1412" t="inlineStr">
        <is>
          <t>Low</t>
        </is>
      </c>
      <c r="L1412" t="inlineStr">
        <is>
          <t>Minor Inconvenience</t>
        </is>
      </c>
      <c r="M1412" t="inlineStr">
        <is>
          <t>lead_assign</t>
        </is>
      </c>
      <c r="N1412" t="inlineStr">
        <is>
          <t>Lead routing is inflexible</t>
        </is>
      </c>
      <c r="O1412" t="inlineStr">
        <is>
          <t>2026-09</t>
        </is>
      </c>
    </row>
    <row r="1413">
      <c r="A1413" t="inlineStr">
        <is>
          <t>FB-01412</t>
        </is>
      </c>
      <c r="B1413" t="inlineStr">
        <is>
          <t>CUST-0253</t>
        </is>
      </c>
      <c r="C1413" s="11" t="n">
        <v>46279</v>
      </c>
      <c r="D1413" t="inlineStr">
        <is>
          <t>Support Ticket</t>
        </is>
      </c>
      <c r="E1413" t="inlineStr">
        <is>
          <t>Professional</t>
        </is>
      </c>
      <c r="F1413" t="inlineStr">
        <is>
          <t>SMB</t>
        </is>
      </c>
      <c r="G1413" t="inlineStr">
        <is>
          <t>Reporting</t>
        </is>
      </c>
      <c r="H1413" t="inlineStr">
        <is>
          <t>Bug</t>
        </is>
      </c>
      <c r="I1413" t="inlineStr">
        <is>
          <t>This has been a recurring problem for us. Finance can't rely on the Excel export; totals don't match the screen. We estimate we lose roughly 58 hours a month on this. Is there a workaround?</t>
        </is>
      </c>
      <c r="J1413" t="inlineStr">
        <is>
          <t>Negative</t>
        </is>
      </c>
      <c r="K1413" t="inlineStr">
        <is>
          <t>High</t>
        </is>
      </c>
      <c r="L1413" t="inlineStr">
        <is>
          <t>Blocks Key Task</t>
        </is>
      </c>
      <c r="M1413" t="inlineStr">
        <is>
          <t>rep_export</t>
        </is>
      </c>
      <c r="N1413" t="inlineStr">
        <is>
          <t>Broken report exports</t>
        </is>
      </c>
      <c r="O1413" t="inlineStr">
        <is>
          <t>2026-09</t>
        </is>
      </c>
    </row>
    <row r="1414">
      <c r="A1414" t="inlineStr">
        <is>
          <t>FB-01413</t>
        </is>
      </c>
      <c r="B1414" t="inlineStr">
        <is>
          <t>CUST-0413</t>
        </is>
      </c>
      <c r="C1414" s="11" t="n">
        <v>46279</v>
      </c>
      <c r="D1414" t="inlineStr">
        <is>
          <t>In-App Feedback</t>
        </is>
      </c>
      <c r="E1414" t="inlineStr">
        <is>
          <t>Professional</t>
        </is>
      </c>
      <c r="F1414" t="inlineStr">
        <is>
          <t>SMB</t>
        </is>
      </c>
      <c r="G1414" t="inlineStr">
        <is>
          <t>User Interface</t>
        </is>
      </c>
      <c r="H1414" t="inlineStr">
        <is>
          <t>Usability Issue</t>
        </is>
      </c>
      <c r="I1414" t="inlineStr">
        <is>
          <t>Raising this again after our last business review. New hires get lost in the navigation menu; it takes weeks to learn. We estimate we lose roughly 16 hours a month on this. Support suggested logging it here.</t>
        </is>
      </c>
      <c r="J1414" t="inlineStr">
        <is>
          <t>Negative</t>
        </is>
      </c>
      <c r="K1414" t="inlineStr">
        <is>
          <t>High</t>
        </is>
      </c>
      <c r="L1414" t="inlineStr">
        <is>
          <t>Blocks Key Task</t>
        </is>
      </c>
      <c r="M1414" t="inlineStr">
        <is>
          <t>ui_nav</t>
        </is>
      </c>
      <c r="N1414" t="inlineStr">
        <is>
          <t>Cluttered navigation</t>
        </is>
      </c>
      <c r="O1414" t="inlineStr">
        <is>
          <t>2026-09</t>
        </is>
      </c>
    </row>
    <row r="1415">
      <c r="A1415" t="inlineStr">
        <is>
          <t>FB-01414</t>
        </is>
      </c>
      <c r="B1415" t="inlineStr">
        <is>
          <t>CUST-0278</t>
        </is>
      </c>
      <c r="C1415" s="11" t="n">
        <v>46279</v>
      </c>
      <c r="D1415" t="inlineStr">
        <is>
          <t>Support Ticket</t>
        </is>
      </c>
      <c r="E1415" t="inlineStr">
        <is>
          <t>Professional</t>
        </is>
      </c>
      <c r="F1415" t="inlineStr">
        <is>
          <t>Mid-Market</t>
        </is>
      </c>
      <c r="G1415" t="inlineStr">
        <is>
          <t>Integrations</t>
        </is>
      </c>
      <c r="H1415" t="inlineStr">
        <is>
          <t>Integration Issue</t>
        </is>
      </c>
      <c r="I1415" t="inlineStr">
        <is>
          <t>Escalating on behalf of our ops lead. Our integration partner flagged webhook delivery as a risk for the project.</t>
        </is>
      </c>
      <c r="J1415" t="inlineStr">
        <is>
          <t>Negative</t>
        </is>
      </c>
      <c r="K1415" t="inlineStr">
        <is>
          <t>Critical</t>
        </is>
      </c>
      <c r="L1415" t="inlineStr">
        <is>
          <t>Revenue/Operations Risk</t>
        </is>
      </c>
      <c r="M1415" t="inlineStr">
        <is>
          <t>int_api</t>
        </is>
      </c>
      <c r="N1415" t="inlineStr">
        <is>
          <t>API limits and webhook failures</t>
        </is>
      </c>
      <c r="O1415" t="inlineStr">
        <is>
          <t>2026-09</t>
        </is>
      </c>
    </row>
    <row r="1416">
      <c r="A1416" t="inlineStr">
        <is>
          <t>FB-01415</t>
        </is>
      </c>
      <c r="B1416" t="inlineStr">
        <is>
          <t>CUST-0072</t>
        </is>
      </c>
      <c r="C1416" s="11" t="n">
        <v>46279</v>
      </c>
      <c r="D1416" t="inlineStr">
        <is>
          <t>Feature Request</t>
        </is>
      </c>
      <c r="E1416" t="inlineStr">
        <is>
          <t>Starter</t>
        </is>
      </c>
      <c r="F1416" t="inlineStr">
        <is>
          <t>SMB</t>
        </is>
      </c>
      <c r="G1416" t="inlineStr">
        <is>
          <t>User Interface</t>
        </is>
      </c>
      <c r="H1416" t="inlineStr">
        <is>
          <t>Feature Request</t>
        </is>
      </c>
      <c r="I1416" t="inlineStr">
        <is>
          <t>Requesting offline mobile access so reps can log activity right after a meeting. We estimate we lose roughly 55 hours a month on this. Happy to beta test.</t>
        </is>
      </c>
      <c r="J1416" t="inlineStr">
        <is>
          <t>Positive</t>
        </is>
      </c>
      <c r="K1416" t="inlineStr">
        <is>
          <t>Medium</t>
        </is>
      </c>
      <c r="L1416" t="inlineStr">
        <is>
          <t>Revenue/Operations Risk</t>
        </is>
      </c>
      <c r="M1416" t="inlineStr">
        <is>
          <t>ui_mobile</t>
        </is>
      </c>
      <c r="N1416" t="inlineStr">
        <is>
          <t>Mobile app</t>
        </is>
      </c>
      <c r="O1416" t="inlineStr">
        <is>
          <t>2026-09</t>
        </is>
      </c>
    </row>
    <row r="1417">
      <c r="A1417" t="inlineStr">
        <is>
          <t>FB-01416</t>
        </is>
      </c>
      <c r="B1417" t="inlineStr">
        <is>
          <t>CUST-0322</t>
        </is>
      </c>
      <c r="C1417" s="11" t="n">
        <v>46279</v>
      </c>
      <c r="D1417" t="inlineStr">
        <is>
          <t>Customer Survey</t>
        </is>
      </c>
      <c r="E1417" t="inlineStr">
        <is>
          <t>Starter</t>
        </is>
      </c>
      <c r="F1417" t="inlineStr">
        <is>
          <t>SMB</t>
        </is>
      </c>
      <c r="G1417" t="inlineStr">
        <is>
          <t>User Interface</t>
        </is>
      </c>
      <c r="H1417" t="inlineStr">
        <is>
          <t>Feature Request</t>
        </is>
      </c>
      <c r="I1417" t="inlineStr">
        <is>
          <t>Requesting bulk actions on lists across every list view. Happy to join a feedback call.</t>
        </is>
      </c>
      <c r="J1417" t="inlineStr">
        <is>
          <t>Neutral</t>
        </is>
      </c>
      <c r="K1417" t="inlineStr">
        <is>
          <t>Medium</t>
        </is>
      </c>
      <c r="L1417" t="inlineStr">
        <is>
          <t>Workflow Slowdown</t>
        </is>
      </c>
      <c r="M1417" t="inlineStr">
        <is>
          <t>ui_bulk</t>
        </is>
      </c>
      <c r="N1417" t="inlineStr">
        <is>
          <t>Bulk actions</t>
        </is>
      </c>
      <c r="O1417" t="inlineStr">
        <is>
          <t>2026-09</t>
        </is>
      </c>
    </row>
    <row r="1418">
      <c r="A1418" t="inlineStr">
        <is>
          <t>FB-01417</t>
        </is>
      </c>
      <c r="B1418" t="inlineStr">
        <is>
          <t>CUST-0202</t>
        </is>
      </c>
      <c r="C1418" s="11" t="n">
        <v>46279</v>
      </c>
      <c r="D1418" t="inlineStr">
        <is>
          <t>Feature Request</t>
        </is>
      </c>
      <c r="E1418" t="inlineStr">
        <is>
          <t>Enterprise</t>
        </is>
      </c>
      <c r="F1418" t="inlineStr">
        <is>
          <t>Enterprise</t>
        </is>
      </c>
      <c r="G1418" t="inlineStr">
        <is>
          <t>Integrations</t>
        </is>
      </c>
      <c r="H1418" t="inlineStr">
        <is>
          <t>Feature Request</t>
        </is>
      </c>
      <c r="I1418" t="inlineStr">
        <is>
          <t>Our security team requires SAML login before we can expand seats. Our sales manager flagged it while onboarding 87 new users.</t>
        </is>
      </c>
      <c r="J1418" t="inlineStr">
        <is>
          <t>Neutral</t>
        </is>
      </c>
      <c r="K1418" t="inlineStr">
        <is>
          <t>Low</t>
        </is>
      </c>
      <c r="L1418" t="inlineStr">
        <is>
          <t>Minor Inconvenience</t>
        </is>
      </c>
      <c r="M1418" t="inlineStr">
        <is>
          <t>int_sso</t>
        </is>
      </c>
      <c r="N1418" t="inlineStr">
        <is>
          <t>SSO and provisioning</t>
        </is>
      </c>
      <c r="O1418" t="inlineStr">
        <is>
          <t>2026-09</t>
        </is>
      </c>
    </row>
    <row r="1419">
      <c r="A1419" t="inlineStr">
        <is>
          <t>FB-01418</t>
        </is>
      </c>
      <c r="B1419" t="inlineStr">
        <is>
          <t>CUST-0354</t>
        </is>
      </c>
      <c r="C1419" s="11" t="n">
        <v>46279</v>
      </c>
      <c r="D1419" t="inlineStr">
        <is>
          <t>Support Ticket</t>
        </is>
      </c>
      <c r="E1419" t="inlineStr">
        <is>
          <t>Enterprise</t>
        </is>
      </c>
      <c r="F1419" t="inlineStr">
        <is>
          <t>Mid-Market</t>
        </is>
      </c>
      <c r="G1419" t="inlineStr">
        <is>
          <t>Integrations</t>
        </is>
      </c>
      <c r="H1419" t="inlineStr">
        <is>
          <t>Integration Issue</t>
        </is>
      </c>
      <c r="I1419" t="inlineStr">
        <is>
          <t>The email sync duplicates meetings and misses replies. It happens about 30 times a week for our team of 41.</t>
        </is>
      </c>
      <c r="J1419" t="inlineStr">
        <is>
          <t>Neutral</t>
        </is>
      </c>
      <c r="K1419" t="inlineStr">
        <is>
          <t>High</t>
        </is>
      </c>
      <c r="L1419" t="inlineStr">
        <is>
          <t>Blocks Key Task</t>
        </is>
      </c>
      <c r="M1419" t="inlineStr">
        <is>
          <t>int_email</t>
        </is>
      </c>
      <c r="N1419" t="inlineStr">
        <is>
          <t>Email and calendar sync drops</t>
        </is>
      </c>
      <c r="O1419" t="inlineStr">
        <is>
          <t>2026-09</t>
        </is>
      </c>
    </row>
    <row r="1420">
      <c r="A1420" t="inlineStr">
        <is>
          <t>FB-01419</t>
        </is>
      </c>
      <c r="B1420" t="inlineStr">
        <is>
          <t>CUST-0293</t>
        </is>
      </c>
      <c r="C1420" s="11" t="n">
        <v>46280</v>
      </c>
      <c r="D1420" t="inlineStr">
        <is>
          <t>Customer Survey</t>
        </is>
      </c>
      <c r="E1420" t="inlineStr">
        <is>
          <t>Enterprise</t>
        </is>
      </c>
      <c r="F1420" t="inlineStr">
        <is>
          <t>Enterprise</t>
        </is>
      </c>
      <c r="G1420" t="inlineStr">
        <is>
          <t>Contact Management</t>
        </is>
      </c>
      <c r="H1420" t="inlineStr">
        <is>
          <t>Feature Request</t>
        </is>
      </c>
      <c r="I1420" t="inlineStr">
        <is>
          <t>Please extend custom contact fields; the current limit is too small for our use case. It affects our lead handoff process every cycle.</t>
        </is>
      </c>
      <c r="J1420" t="inlineStr">
        <is>
          <t>Neutral</t>
        </is>
      </c>
      <c r="K1420" t="inlineStr">
        <is>
          <t>Medium</t>
        </is>
      </c>
      <c r="L1420" t="inlineStr">
        <is>
          <t>Blocks Key Task</t>
        </is>
      </c>
      <c r="M1420" t="inlineStr">
        <is>
          <t>contact_custom</t>
        </is>
      </c>
      <c r="N1420" t="inlineStr">
        <is>
          <t>Custom fields and hierarchy</t>
        </is>
      </c>
      <c r="O1420" t="inlineStr">
        <is>
          <t>2026-09</t>
        </is>
      </c>
    </row>
    <row r="1421">
      <c r="A1421" t="inlineStr">
        <is>
          <t>FB-01420</t>
        </is>
      </c>
      <c r="B1421" t="inlineStr">
        <is>
          <t>CUST-0293</t>
        </is>
      </c>
      <c r="C1421" s="11" t="n">
        <v>46280</v>
      </c>
      <c r="D1421" t="inlineStr">
        <is>
          <t>Support Ticket</t>
        </is>
      </c>
      <c r="E1421" t="inlineStr">
        <is>
          <t>Enterprise</t>
        </is>
      </c>
      <c r="F1421" t="inlineStr">
        <is>
          <t>Enterprise</t>
        </is>
      </c>
      <c r="G1421" t="inlineStr">
        <is>
          <t>Workflow Automation</t>
        </is>
      </c>
      <c r="H1421" t="inlineStr">
        <is>
          <t>Bug</t>
        </is>
      </c>
      <c r="I1421" t="inlineStr">
        <is>
          <t>We are hitting workflow runs failing silently: emails don't send and nobody gets notified. Is there a workaround?</t>
        </is>
      </c>
      <c r="J1421" t="inlineStr">
        <is>
          <t>Negative</t>
        </is>
      </c>
      <c r="K1421" t="inlineStr">
        <is>
          <t>High</t>
        </is>
      </c>
      <c r="L1421" t="inlineStr">
        <is>
          <t>Revenue/Operations Risk</t>
        </is>
      </c>
      <c r="M1421" t="inlineStr">
        <is>
          <t>wf_fail</t>
        </is>
      </c>
      <c r="N1421" t="inlineStr">
        <is>
          <t>Workflows failing silently</t>
        </is>
      </c>
      <c r="O1421" t="inlineStr">
        <is>
          <t>2026-09</t>
        </is>
      </c>
    </row>
    <row r="1422">
      <c r="A1422" t="inlineStr">
        <is>
          <t>FB-01421</t>
        </is>
      </c>
      <c r="B1422" t="inlineStr">
        <is>
          <t>CUST-0361</t>
        </is>
      </c>
      <c r="C1422" s="11" t="n">
        <v>46280</v>
      </c>
      <c r="D1422" t="inlineStr">
        <is>
          <t>Feature Request</t>
        </is>
      </c>
      <c r="E1422" t="inlineStr">
        <is>
          <t>Professional</t>
        </is>
      </c>
      <c r="F1422" t="inlineStr">
        <is>
          <t>Mid-Market</t>
        </is>
      </c>
      <c r="G1422" t="inlineStr">
        <is>
          <t>Lead Management</t>
        </is>
      </c>
      <c r="H1422" t="inlineStr">
        <is>
          <t>Feature Request</t>
        </is>
      </c>
      <c r="I1422" t="inlineStr">
        <is>
          <t>Happy with most of the product. Right now reps rank leads by gut feel; a lead score model would fix that. We estimate we lose roughly 44 hours a month on this. Keep up the good work.</t>
        </is>
      </c>
      <c r="J1422" t="inlineStr">
        <is>
          <t>Positive</t>
        </is>
      </c>
      <c r="K1422" t="inlineStr">
        <is>
          <t>Low</t>
        </is>
      </c>
      <c r="L1422" t="inlineStr">
        <is>
          <t>Minor Inconvenience</t>
        </is>
      </c>
      <c r="M1422" t="inlineStr">
        <is>
          <t>lead_score</t>
        </is>
      </c>
      <c r="N1422" t="inlineStr">
        <is>
          <t>Automated lead scoring</t>
        </is>
      </c>
      <c r="O1422" t="inlineStr">
        <is>
          <t>2026-09</t>
        </is>
      </c>
    </row>
    <row r="1423">
      <c r="A1423" t="inlineStr">
        <is>
          <t>FB-01422</t>
        </is>
      </c>
      <c r="B1423" t="inlineStr">
        <is>
          <t>CUST-0227</t>
        </is>
      </c>
      <c r="C1423" s="11" t="n">
        <v>46280</v>
      </c>
      <c r="D1423" t="inlineStr">
        <is>
          <t>Feature Request</t>
        </is>
      </c>
      <c r="E1423" t="inlineStr">
        <is>
          <t>Enterprise</t>
        </is>
      </c>
      <c r="F1423" t="inlineStr">
        <is>
          <t>Enterprise</t>
        </is>
      </c>
      <c r="G1423" t="inlineStr">
        <is>
          <t>Lead Management</t>
        </is>
      </c>
      <c r="H1423" t="inlineStr">
        <is>
          <t>Feature Request</t>
        </is>
      </c>
      <c r="I1423" t="inlineStr">
        <is>
          <t>Noting this during onboarding. We need automated lead scoring so reps can focus on the prospects most likely to close. So far 6 people on our side have reported it.</t>
        </is>
      </c>
      <c r="J1423" t="inlineStr">
        <is>
          <t>Neutral</t>
        </is>
      </c>
      <c r="K1423" t="inlineStr">
        <is>
          <t>Medium</t>
        </is>
      </c>
      <c r="L1423" t="inlineStr">
        <is>
          <t>Blocks Key Task</t>
        </is>
      </c>
      <c r="M1423" t="inlineStr">
        <is>
          <t>lead_score</t>
        </is>
      </c>
      <c r="N1423" t="inlineStr">
        <is>
          <t>Automated lead scoring</t>
        </is>
      </c>
      <c r="O1423" t="inlineStr">
        <is>
          <t>2026-09</t>
        </is>
      </c>
    </row>
    <row r="1424">
      <c r="A1424" t="inlineStr">
        <is>
          <t>FB-01423</t>
        </is>
      </c>
      <c r="B1424" t="inlineStr">
        <is>
          <t>CUST-0367</t>
        </is>
      </c>
      <c r="C1424" s="11" t="n">
        <v>46280</v>
      </c>
      <c r="D1424" t="inlineStr">
        <is>
          <t>Customer Survey</t>
        </is>
      </c>
      <c r="E1424" t="inlineStr">
        <is>
          <t>Enterprise</t>
        </is>
      </c>
      <c r="F1424" t="inlineStr">
        <is>
          <t>Mid-Market</t>
        </is>
      </c>
      <c r="G1424" t="inlineStr">
        <is>
          <t>Integrations</t>
        </is>
      </c>
      <c r="H1424" t="inlineStr">
        <is>
          <t>Feature Request</t>
        </is>
      </c>
      <c r="I1424" t="inlineStr">
        <is>
          <t>Feedback from our monthly review. Requesting a native accounting integration to remove manual re-entry. So far 55 people on our side have reported it. Let us know if you need examples.</t>
        </is>
      </c>
      <c r="J1424" t="inlineStr">
        <is>
          <t>Neutral</t>
        </is>
      </c>
      <c r="K1424" t="inlineStr">
        <is>
          <t>High</t>
        </is>
      </c>
      <c r="L1424" t="inlineStr">
        <is>
          <t>Blocks Key Task</t>
        </is>
      </c>
      <c r="M1424" t="inlineStr">
        <is>
          <t>int_native</t>
        </is>
      </c>
      <c r="N1424" t="inlineStr">
        <is>
          <t>Native integrations</t>
        </is>
      </c>
      <c r="O1424" t="inlineStr">
        <is>
          <t>2026-09</t>
        </is>
      </c>
    </row>
    <row r="1425">
      <c r="A1425" t="inlineStr">
        <is>
          <t>FB-01424</t>
        </is>
      </c>
      <c r="B1425" t="inlineStr">
        <is>
          <t>CUST-0028</t>
        </is>
      </c>
      <c r="C1425" s="11" t="n">
        <v>46281</v>
      </c>
      <c r="D1425" t="inlineStr">
        <is>
          <t>Support Ticket</t>
        </is>
      </c>
      <c r="E1425" t="inlineStr">
        <is>
          <t>Enterprise</t>
        </is>
      </c>
      <c r="F1425" t="inlineStr">
        <is>
          <t>Enterprise</t>
        </is>
      </c>
      <c r="G1425" t="inlineStr">
        <is>
          <t>Integrations</t>
        </is>
      </c>
      <c r="H1425" t="inlineStr">
        <is>
          <t>Integration Issue</t>
        </is>
      </c>
      <c r="I1425" t="inlineStr">
        <is>
          <t>Raising this again after our last business review. Our email sync keeps disconnecting and activities are missing from the contact timeline. So far 90 people on our side have reported it. We need a fix before renewal.</t>
        </is>
      </c>
      <c r="J1425" t="inlineStr">
        <is>
          <t>Negative</t>
        </is>
      </c>
      <c r="K1425" t="inlineStr">
        <is>
          <t>Low</t>
        </is>
      </c>
      <c r="L1425" t="inlineStr">
        <is>
          <t>Minor Inconvenience</t>
        </is>
      </c>
      <c r="M1425" t="inlineStr">
        <is>
          <t>int_email</t>
        </is>
      </c>
      <c r="N1425" t="inlineStr">
        <is>
          <t>Email and calendar sync drops</t>
        </is>
      </c>
      <c r="O1425" t="inlineStr">
        <is>
          <t>2026-09</t>
        </is>
      </c>
    </row>
    <row r="1426">
      <c r="A1426" t="inlineStr">
        <is>
          <t>FB-01425</t>
        </is>
      </c>
      <c r="B1426" t="inlineStr">
        <is>
          <t>CUST-0196</t>
        </is>
      </c>
      <c r="C1426" s="11" t="n">
        <v>46281</v>
      </c>
      <c r="D1426" t="inlineStr">
        <is>
          <t>Customer Survey</t>
        </is>
      </c>
      <c r="E1426" t="inlineStr">
        <is>
          <t>Enterprise</t>
        </is>
      </c>
      <c r="F1426" t="inlineStr">
        <is>
          <t>Enterprise</t>
        </is>
      </c>
      <c r="G1426" t="inlineStr">
        <is>
          <t>Reporting</t>
        </is>
      </c>
      <c r="H1426" t="inlineStr">
        <is>
          <t>Feature Request</t>
        </is>
      </c>
      <c r="I1426" t="inlineStr">
        <is>
          <t>Without scheduled report emails we export raw data and rebuild everything elsewhere.</t>
        </is>
      </c>
      <c r="J1426" t="inlineStr">
        <is>
          <t>Positive</t>
        </is>
      </c>
      <c r="K1426" t="inlineStr">
        <is>
          <t>Low</t>
        </is>
      </c>
      <c r="L1426" t="inlineStr">
        <is>
          <t>Minor Inconvenience</t>
        </is>
      </c>
      <c r="M1426" t="inlineStr">
        <is>
          <t>rep_custom</t>
        </is>
      </c>
      <c r="N1426" t="inlineStr">
        <is>
          <t>Custom and scheduled reports</t>
        </is>
      </c>
      <c r="O1426" t="inlineStr">
        <is>
          <t>2026-09</t>
        </is>
      </c>
    </row>
    <row r="1427">
      <c r="A1427" t="inlineStr">
        <is>
          <t>FB-01426</t>
        </is>
      </c>
      <c r="B1427" t="inlineStr">
        <is>
          <t>CUST-0411</t>
        </is>
      </c>
      <c r="C1427" s="11" t="n">
        <v>46281</v>
      </c>
      <c r="D1427" t="inlineStr">
        <is>
          <t>Support Ticket</t>
        </is>
      </c>
      <c r="E1427" t="inlineStr">
        <is>
          <t>Starter</t>
        </is>
      </c>
      <c r="F1427" t="inlineStr">
        <is>
          <t>SMB</t>
        </is>
      </c>
      <c r="G1427" t="inlineStr">
        <is>
          <t>Integrations</t>
        </is>
      </c>
      <c r="H1427" t="inlineStr">
        <is>
          <t>Integration Issue</t>
        </is>
      </c>
      <c r="I1427" t="inlineStr">
        <is>
          <t>Our team keeps running into this. Hard to debug: API timeouts fail with vague error codes. We estimate we lose roughly 53 hours a month on this. Support suggested logging it here.</t>
        </is>
      </c>
      <c r="J1427" t="inlineStr">
        <is>
          <t>Negative</t>
        </is>
      </c>
      <c r="K1427" t="inlineStr">
        <is>
          <t>High</t>
        </is>
      </c>
      <c r="L1427" t="inlineStr">
        <is>
          <t>Workflow Slowdown</t>
        </is>
      </c>
      <c r="M1427" t="inlineStr">
        <is>
          <t>int_api</t>
        </is>
      </c>
      <c r="N1427" t="inlineStr">
        <is>
          <t>API limits and webhook failures</t>
        </is>
      </c>
      <c r="O1427" t="inlineStr">
        <is>
          <t>2026-09</t>
        </is>
      </c>
    </row>
    <row r="1428">
      <c r="A1428" t="inlineStr">
        <is>
          <t>FB-01427</t>
        </is>
      </c>
      <c r="B1428" t="inlineStr">
        <is>
          <t>CUST-0108</t>
        </is>
      </c>
      <c r="C1428" s="11" t="n">
        <v>46281</v>
      </c>
      <c r="D1428" t="inlineStr">
        <is>
          <t>Customer Survey</t>
        </is>
      </c>
      <c r="E1428" t="inlineStr">
        <is>
          <t>Enterprise</t>
        </is>
      </c>
      <c r="F1428" t="inlineStr">
        <is>
          <t>Mid-Market</t>
        </is>
      </c>
      <c r="G1428" t="inlineStr">
        <is>
          <t>Integrations</t>
        </is>
      </c>
      <c r="H1428" t="inlineStr">
        <is>
          <t>Feature Request</t>
        </is>
      </c>
      <c r="I1428" t="inlineStr">
        <is>
          <t>Recent updates have been a nice improvement. Lack of a marketing automation connector is a gap versus other CRMs we evaluated. It happens about 12 times a week for our team of 115. Keep up the good work.</t>
        </is>
      </c>
      <c r="J1428" t="inlineStr">
        <is>
          <t>Positive</t>
        </is>
      </c>
      <c r="K1428" t="inlineStr">
        <is>
          <t>Low</t>
        </is>
      </c>
      <c r="L1428" t="inlineStr">
        <is>
          <t>Minor Inconvenience</t>
        </is>
      </c>
      <c r="M1428" t="inlineStr">
        <is>
          <t>int_native</t>
        </is>
      </c>
      <c r="N1428" t="inlineStr">
        <is>
          <t>Native integrations</t>
        </is>
      </c>
      <c r="O1428" t="inlineStr">
        <is>
          <t>2026-09</t>
        </is>
      </c>
    </row>
    <row r="1429">
      <c r="A1429" t="inlineStr">
        <is>
          <t>FB-01428</t>
        </is>
      </c>
      <c r="B1429" t="inlineStr">
        <is>
          <t>CUST-0154</t>
        </is>
      </c>
      <c r="C1429" s="11" t="n">
        <v>46282</v>
      </c>
      <c r="D1429" t="inlineStr">
        <is>
          <t>Support Ticket</t>
        </is>
      </c>
      <c r="E1429" t="inlineStr">
        <is>
          <t>Professional</t>
        </is>
      </c>
      <c r="F1429" t="inlineStr">
        <is>
          <t>SMB</t>
        </is>
      </c>
      <c r="G1429" t="inlineStr">
        <is>
          <t>Contact Management</t>
        </is>
      </c>
      <c r="H1429" t="inlineStr">
        <is>
          <t>Bug</t>
        </is>
      </c>
      <c r="I1429" t="inlineStr">
        <is>
          <t>FYI for the product team. The contact CSV import fails halfway through with a generic error and no row-level detail. Let us know if you need examples.</t>
        </is>
      </c>
      <c r="J1429" t="inlineStr">
        <is>
          <t>Neutral</t>
        </is>
      </c>
      <c r="K1429" t="inlineStr">
        <is>
          <t>High</t>
        </is>
      </c>
      <c r="L1429" t="inlineStr">
        <is>
          <t>Workflow Slowdown</t>
        </is>
      </c>
      <c r="M1429" t="inlineStr">
        <is>
          <t>contact_import</t>
        </is>
      </c>
      <c r="N1429" t="inlineStr">
        <is>
          <t>Unreliable contact imports</t>
        </is>
      </c>
      <c r="O1429" t="inlineStr">
        <is>
          <t>2026-09</t>
        </is>
      </c>
    </row>
    <row r="1430">
      <c r="A1430" t="inlineStr">
        <is>
          <t>FB-01429</t>
        </is>
      </c>
      <c r="B1430" t="inlineStr">
        <is>
          <t>CUST-0178</t>
        </is>
      </c>
      <c r="C1430" s="11" t="n">
        <v>46282</v>
      </c>
      <c r="D1430" t="inlineStr">
        <is>
          <t>In-App Feedback</t>
        </is>
      </c>
      <c r="E1430" t="inlineStr">
        <is>
          <t>Starter</t>
        </is>
      </c>
      <c r="F1430" t="inlineStr">
        <is>
          <t>SMB</t>
        </is>
      </c>
      <c r="G1430" t="inlineStr">
        <is>
          <t>Contact Management</t>
        </is>
      </c>
      <c r="H1430" t="inlineStr">
        <is>
          <t>Bug</t>
        </is>
      </c>
      <c r="I1430" t="inlineStr">
        <is>
          <t>Our team keeps running into this. The import field mapping rejects files with accented characters in names. It affects our renewal process every cycle. Is there a workaround?</t>
        </is>
      </c>
      <c r="J1430" t="inlineStr">
        <is>
          <t>Negative</t>
        </is>
      </c>
      <c r="K1430" t="inlineStr">
        <is>
          <t>Critical</t>
        </is>
      </c>
      <c r="L1430" t="inlineStr">
        <is>
          <t>Revenue/Operations Risk</t>
        </is>
      </c>
      <c r="M1430" t="inlineStr">
        <is>
          <t>contact_import</t>
        </is>
      </c>
      <c r="N1430" t="inlineStr">
        <is>
          <t>Unreliable contact imports</t>
        </is>
      </c>
      <c r="O1430" t="inlineStr">
        <is>
          <t>2026-09</t>
        </is>
      </c>
    </row>
    <row r="1431">
      <c r="A1431" t="inlineStr">
        <is>
          <t>FB-01430</t>
        </is>
      </c>
      <c r="B1431" t="inlineStr">
        <is>
          <t>CUST-0091</t>
        </is>
      </c>
      <c r="C1431" s="11" t="n">
        <v>46282</v>
      </c>
      <c r="D1431" t="inlineStr">
        <is>
          <t>Customer Survey</t>
        </is>
      </c>
      <c r="E1431" t="inlineStr">
        <is>
          <t>Professional</t>
        </is>
      </c>
      <c r="F1431" t="inlineStr">
        <is>
          <t>SMB</t>
        </is>
      </c>
      <c r="G1431" t="inlineStr">
        <is>
          <t>User Interface</t>
        </is>
      </c>
      <c r="H1431" t="inlineStr">
        <is>
          <t>Usability Issue</t>
        </is>
      </c>
      <c r="I1431" t="inlineStr">
        <is>
          <t>Raising this again after our last business review. The settings navigation changed and nobody told us where things moved.</t>
        </is>
      </c>
      <c r="J1431" t="inlineStr">
        <is>
          <t>Negative</t>
        </is>
      </c>
      <c r="K1431" t="inlineStr">
        <is>
          <t>Medium</t>
        </is>
      </c>
      <c r="L1431" t="inlineStr">
        <is>
          <t>Minor Inconvenience</t>
        </is>
      </c>
      <c r="M1431" t="inlineStr">
        <is>
          <t>ui_nav</t>
        </is>
      </c>
      <c r="N1431" t="inlineStr">
        <is>
          <t>Cluttered navigation</t>
        </is>
      </c>
      <c r="O1431" t="inlineStr">
        <is>
          <t>2026-09</t>
        </is>
      </c>
    </row>
    <row r="1432">
      <c r="A1432" t="inlineStr">
        <is>
          <t>FB-01431</t>
        </is>
      </c>
      <c r="B1432" t="inlineStr">
        <is>
          <t>CUST-0239</t>
        </is>
      </c>
      <c r="C1432" s="11" t="n">
        <v>46282</v>
      </c>
      <c r="D1432" t="inlineStr">
        <is>
          <t>Customer Survey</t>
        </is>
      </c>
      <c r="E1432" t="inlineStr">
        <is>
          <t>Professional</t>
        </is>
      </c>
      <c r="F1432" t="inlineStr">
        <is>
          <t>Mid-Market</t>
        </is>
      </c>
      <c r="G1432" t="inlineStr">
        <is>
          <t>Contact Management</t>
        </is>
      </c>
      <c r="H1432" t="inlineStr">
        <is>
          <t>Feature Request</t>
        </is>
      </c>
      <c r="I1432" t="inlineStr">
        <is>
          <t>Sharing this from our team. Lacking a contact relationship hierarchy forces us to keep a parallel spreadsheet.</t>
        </is>
      </c>
      <c r="J1432" t="inlineStr">
        <is>
          <t>Neutral</t>
        </is>
      </c>
      <c r="K1432" t="inlineStr">
        <is>
          <t>Critical</t>
        </is>
      </c>
      <c r="L1432" t="inlineStr">
        <is>
          <t>Revenue/Operations Risk</t>
        </is>
      </c>
      <c r="M1432" t="inlineStr">
        <is>
          <t>contact_custom</t>
        </is>
      </c>
      <c r="N1432" t="inlineStr">
        <is>
          <t>Custom fields and hierarchy</t>
        </is>
      </c>
      <c r="O1432" t="inlineStr">
        <is>
          <t>2026-09</t>
        </is>
      </c>
    </row>
    <row r="1433">
      <c r="A1433" t="inlineStr">
        <is>
          <t>FB-01432</t>
        </is>
      </c>
      <c r="B1433" t="inlineStr">
        <is>
          <t>CUST-0261</t>
        </is>
      </c>
      <c r="C1433" s="11" t="n">
        <v>46282</v>
      </c>
      <c r="D1433" t="inlineStr">
        <is>
          <t>Feature Request</t>
        </is>
      </c>
      <c r="E1433" t="inlineStr">
        <is>
          <t>Professional</t>
        </is>
      </c>
      <c r="F1433" t="inlineStr">
        <is>
          <t>Enterprise</t>
        </is>
      </c>
      <c r="G1433" t="inlineStr">
        <is>
          <t>User Interface</t>
        </is>
      </c>
      <c r="H1433" t="inlineStr">
        <is>
          <t>Usability Issue</t>
        </is>
      </c>
      <c r="I1433" t="inlineStr">
        <is>
          <t>Too many clicks to reach common screens because of the settings navigation. We estimate we lose roughly 7 hours a month on this.</t>
        </is>
      </c>
      <c r="J1433" t="inlineStr">
        <is>
          <t>Negative</t>
        </is>
      </c>
      <c r="K1433" t="inlineStr">
        <is>
          <t>Low</t>
        </is>
      </c>
      <c r="L1433" t="inlineStr">
        <is>
          <t>Minor Inconvenience</t>
        </is>
      </c>
      <c r="M1433" t="inlineStr">
        <is>
          <t>ui_nav</t>
        </is>
      </c>
      <c r="N1433" t="inlineStr">
        <is>
          <t>Cluttered navigation</t>
        </is>
      </c>
      <c r="O1433" t="inlineStr">
        <is>
          <t>2026-09</t>
        </is>
      </c>
    </row>
    <row r="1434">
      <c r="A1434" t="inlineStr">
        <is>
          <t>FB-01433</t>
        </is>
      </c>
      <c r="B1434" t="inlineStr">
        <is>
          <t>CUST-0204</t>
        </is>
      </c>
      <c r="C1434" s="11" t="n">
        <v>46282</v>
      </c>
      <c r="D1434" t="inlineStr">
        <is>
          <t>Support Ticket</t>
        </is>
      </c>
      <c r="E1434" t="inlineStr">
        <is>
          <t>Enterprise</t>
        </is>
      </c>
      <c r="F1434" t="inlineStr">
        <is>
          <t>Enterprise</t>
        </is>
      </c>
      <c r="G1434" t="inlineStr">
        <is>
          <t>Lead Management</t>
        </is>
      </c>
      <c r="H1434" t="inlineStr">
        <is>
          <t>Bug</t>
        </is>
      </c>
      <c r="I1434" t="inlineStr">
        <is>
          <t>FYI for the product team. After every list import we find duplicated leads that have to be cleaned up by hand. Our sales manager flagged it while onboarding 52 new users.</t>
        </is>
      </c>
      <c r="J1434" t="inlineStr">
        <is>
          <t>Neutral</t>
        </is>
      </c>
      <c r="K1434" t="inlineStr">
        <is>
          <t>Medium</t>
        </is>
      </c>
      <c r="L1434" t="inlineStr">
        <is>
          <t>Workflow Slowdown</t>
        </is>
      </c>
      <c r="M1434" t="inlineStr">
        <is>
          <t>lead_dup</t>
        </is>
      </c>
      <c r="N1434" t="inlineStr">
        <is>
          <t>Duplicate leads created</t>
        </is>
      </c>
      <c r="O1434" t="inlineStr">
        <is>
          <t>2026-09</t>
        </is>
      </c>
    </row>
    <row r="1435">
      <c r="A1435" t="inlineStr">
        <is>
          <t>FB-01434</t>
        </is>
      </c>
      <c r="B1435" t="inlineStr">
        <is>
          <t>CUST-0147</t>
        </is>
      </c>
      <c r="C1435" s="11" t="n">
        <v>46283</v>
      </c>
      <c r="D1435" t="inlineStr">
        <is>
          <t>Customer Survey</t>
        </is>
      </c>
      <c r="E1435" t="inlineStr">
        <is>
          <t>Enterprise</t>
        </is>
      </c>
      <c r="F1435" t="inlineStr">
        <is>
          <t>Enterprise</t>
        </is>
      </c>
      <c r="G1435" t="inlineStr">
        <is>
          <t>Integrations</t>
        </is>
      </c>
      <c r="H1435" t="inlineStr">
        <is>
          <t>Feature Request</t>
        </is>
      </c>
      <c r="I1435" t="inlineStr">
        <is>
          <t>Our security team requires SCIM provisioning before we can expand seats. Our RevOps lead flagged it while onboarding 37 new users. Keep up the good work.</t>
        </is>
      </c>
      <c r="J1435" t="inlineStr">
        <is>
          <t>Positive</t>
        </is>
      </c>
      <c r="K1435" t="inlineStr">
        <is>
          <t>Medium</t>
        </is>
      </c>
      <c r="L1435" t="inlineStr">
        <is>
          <t>Workflow Slowdown</t>
        </is>
      </c>
      <c r="M1435" t="inlineStr">
        <is>
          <t>int_sso</t>
        </is>
      </c>
      <c r="N1435" t="inlineStr">
        <is>
          <t>SSO and provisioning</t>
        </is>
      </c>
      <c r="O1435" t="inlineStr">
        <is>
          <t>2026-09</t>
        </is>
      </c>
    </row>
    <row r="1436">
      <c r="A1436" t="inlineStr">
        <is>
          <t>FB-01435</t>
        </is>
      </c>
      <c r="B1436" t="inlineStr">
        <is>
          <t>CUST-0069</t>
        </is>
      </c>
      <c r="C1436" s="11" t="n">
        <v>46283</v>
      </c>
      <c r="D1436" t="inlineStr">
        <is>
          <t>Support Ticket</t>
        </is>
      </c>
      <c r="E1436" t="inlineStr">
        <is>
          <t>Starter</t>
        </is>
      </c>
      <c r="F1436" t="inlineStr">
        <is>
          <t>Mid-Market</t>
        </is>
      </c>
      <c r="G1436" t="inlineStr">
        <is>
          <t>Lead Management</t>
        </is>
      </c>
      <c r="H1436" t="inlineStr">
        <is>
          <t>Bug</t>
        </is>
      </c>
      <c r="I1436" t="inlineStr">
        <is>
          <t>Web form submissions keep creating duplicate lead records, and reps end up calling the same prospect twice. Our admin flagged it while onboarding 25 new users. Is there a workaround?</t>
        </is>
      </c>
      <c r="J1436" t="inlineStr">
        <is>
          <t>Negative</t>
        </is>
      </c>
      <c r="K1436" t="inlineStr">
        <is>
          <t>Critical</t>
        </is>
      </c>
      <c r="L1436" t="inlineStr">
        <is>
          <t>Revenue/Operations Risk</t>
        </is>
      </c>
      <c r="M1436" t="inlineStr">
        <is>
          <t>lead_dup</t>
        </is>
      </c>
      <c r="N1436" t="inlineStr">
        <is>
          <t>Duplicate leads created</t>
        </is>
      </c>
      <c r="O1436" t="inlineStr">
        <is>
          <t>2026-09</t>
        </is>
      </c>
    </row>
    <row r="1437">
      <c r="A1437" t="inlineStr">
        <is>
          <t>FB-01436</t>
        </is>
      </c>
      <c r="B1437" t="inlineStr">
        <is>
          <t>CUST-0293</t>
        </is>
      </c>
      <c r="C1437" s="11" t="n">
        <v>46283</v>
      </c>
      <c r="D1437" t="inlineStr">
        <is>
          <t>In-App Feedback</t>
        </is>
      </c>
      <c r="E1437" t="inlineStr">
        <is>
          <t>Enterprise</t>
        </is>
      </c>
      <c r="F1437" t="inlineStr">
        <is>
          <t>Enterprise</t>
        </is>
      </c>
      <c r="G1437" t="inlineStr">
        <is>
          <t>Integrations</t>
        </is>
      </c>
      <c r="H1437" t="inlineStr">
        <is>
          <t>Feature Request</t>
        </is>
      </c>
      <c r="I1437" t="inlineStr">
        <is>
          <t>Not what we expected for the price. Our security team requires SAML login before we can expand seats. It happens about 38 times a week for our team of 53. Support suggested logging it here.</t>
        </is>
      </c>
      <c r="J1437" t="inlineStr">
        <is>
          <t>Negative</t>
        </is>
      </c>
      <c r="K1437" t="inlineStr">
        <is>
          <t>Medium</t>
        </is>
      </c>
      <c r="L1437" t="inlineStr">
        <is>
          <t>Blocks Key Task</t>
        </is>
      </c>
      <c r="M1437" t="inlineStr">
        <is>
          <t>int_sso</t>
        </is>
      </c>
      <c r="N1437" t="inlineStr">
        <is>
          <t>SSO and provisioning</t>
        </is>
      </c>
      <c r="O1437" t="inlineStr">
        <is>
          <t>2026-09</t>
        </is>
      </c>
    </row>
    <row r="1438">
      <c r="A1438" t="inlineStr">
        <is>
          <t>FB-01437</t>
        </is>
      </c>
      <c r="B1438" t="inlineStr">
        <is>
          <t>CUST-0276</t>
        </is>
      </c>
      <c r="C1438" s="11" t="n">
        <v>46283</v>
      </c>
      <c r="D1438" t="inlineStr">
        <is>
          <t>Customer Survey</t>
        </is>
      </c>
      <c r="E1438" t="inlineStr">
        <is>
          <t>Professional</t>
        </is>
      </c>
      <c r="F1438" t="inlineStr">
        <is>
          <t>SMB</t>
        </is>
      </c>
      <c r="G1438" t="inlineStr">
        <is>
          <t>Workflow Automation</t>
        </is>
      </c>
      <c r="H1438" t="inlineStr">
        <is>
          <t>Feature Request</t>
        </is>
      </c>
      <c r="I1438" t="inlineStr">
        <is>
          <t>Noting this during onboarding. Competitors ship automation recipes; we are rebuilding the same flows from scratch. Our customer success lead flagged it while onboarding 92 new users.</t>
        </is>
      </c>
      <c r="J1438" t="inlineStr">
        <is>
          <t>Neutral</t>
        </is>
      </c>
      <c r="K1438" t="inlineStr">
        <is>
          <t>Medium</t>
        </is>
      </c>
      <c r="L1438" t="inlineStr">
        <is>
          <t>Workflow Slowdown</t>
        </is>
      </c>
      <c r="M1438" t="inlineStr">
        <is>
          <t>wf_templates</t>
        </is>
      </c>
      <c r="N1438" t="inlineStr">
        <is>
          <t>Workflow templates</t>
        </is>
      </c>
      <c r="O1438" t="inlineStr">
        <is>
          <t>2026-09</t>
        </is>
      </c>
    </row>
    <row r="1439">
      <c r="A1439" t="inlineStr">
        <is>
          <t>FB-01438</t>
        </is>
      </c>
      <c r="B1439" t="inlineStr">
        <is>
          <t>CUST-0080</t>
        </is>
      </c>
      <c r="C1439" s="11" t="n">
        <v>46284</v>
      </c>
      <c r="D1439" t="inlineStr">
        <is>
          <t>Feature Request</t>
        </is>
      </c>
      <c r="E1439" t="inlineStr">
        <is>
          <t>Professional</t>
        </is>
      </c>
      <c r="F1439" t="inlineStr">
        <is>
          <t>Mid-Market</t>
        </is>
      </c>
      <c r="G1439" t="inlineStr">
        <is>
          <t>Workflow Automation</t>
        </is>
      </c>
      <c r="H1439" t="inlineStr">
        <is>
          <t>Feature Request</t>
        </is>
      </c>
      <c r="I1439" t="inlineStr">
        <is>
          <t>We need a discount approval flow in workflows so managers can sign off on discounts. It affects our renewal process every cycle.</t>
        </is>
      </c>
      <c r="J1439" t="inlineStr">
        <is>
          <t>Neutral</t>
        </is>
      </c>
      <c r="K1439" t="inlineStr">
        <is>
          <t>Low</t>
        </is>
      </c>
      <c r="L1439" t="inlineStr">
        <is>
          <t>Workflow Slowdown</t>
        </is>
      </c>
      <c r="M1439" t="inlineStr">
        <is>
          <t>wf_approval</t>
        </is>
      </c>
      <c r="N1439" t="inlineStr">
        <is>
          <t>Approval steps in workflows</t>
        </is>
      </c>
      <c r="O1439" t="inlineStr">
        <is>
          <t>2026-09</t>
        </is>
      </c>
    </row>
    <row r="1440">
      <c r="A1440" t="inlineStr">
        <is>
          <t>FB-01439</t>
        </is>
      </c>
      <c r="B1440" t="inlineStr">
        <is>
          <t>CUST-0284</t>
        </is>
      </c>
      <c r="C1440" s="11" t="n">
        <v>46284</v>
      </c>
      <c r="D1440" t="inlineStr">
        <is>
          <t>Feature Request</t>
        </is>
      </c>
      <c r="E1440" t="inlineStr">
        <is>
          <t>Enterprise</t>
        </is>
      </c>
      <c r="F1440" t="inlineStr">
        <is>
          <t>Enterprise</t>
        </is>
      </c>
      <c r="G1440" t="inlineStr">
        <is>
          <t>Integrations</t>
        </is>
      </c>
      <c r="H1440" t="inlineStr">
        <is>
          <t>Feature Request</t>
        </is>
      </c>
      <c r="I1440" t="inlineStr">
        <is>
          <t>Feedback from our monthly review. Please add SSO support; managing users by hand does not scale. We estimate we lose roughly 29 hours a month on this.</t>
        </is>
      </c>
      <c r="J1440" t="inlineStr">
        <is>
          <t>Neutral</t>
        </is>
      </c>
      <c r="K1440" t="inlineStr">
        <is>
          <t>Medium</t>
        </is>
      </c>
      <c r="L1440" t="inlineStr">
        <is>
          <t>Workflow Slowdown</t>
        </is>
      </c>
      <c r="M1440" t="inlineStr">
        <is>
          <t>int_sso</t>
        </is>
      </c>
      <c r="N1440" t="inlineStr">
        <is>
          <t>SSO and provisioning</t>
        </is>
      </c>
      <c r="O1440" t="inlineStr">
        <is>
          <t>2026-09</t>
        </is>
      </c>
    </row>
    <row r="1441">
      <c r="A1441" t="inlineStr">
        <is>
          <t>FB-01440</t>
        </is>
      </c>
      <c r="B1441" t="inlineStr">
        <is>
          <t>CUST-0347</t>
        </is>
      </c>
      <c r="C1441" s="11" t="n">
        <v>46284</v>
      </c>
      <c r="D1441" t="inlineStr">
        <is>
          <t>Feature Request</t>
        </is>
      </c>
      <c r="E1441" t="inlineStr">
        <is>
          <t>Starter</t>
        </is>
      </c>
      <c r="F1441" t="inlineStr">
        <is>
          <t>SMB</t>
        </is>
      </c>
      <c r="G1441" t="inlineStr">
        <is>
          <t>Lead Management</t>
        </is>
      </c>
      <c r="H1441" t="inlineStr">
        <is>
          <t>Feature Request</t>
        </is>
      </c>
      <c r="I1441" t="inlineStr">
        <is>
          <t>FYI for the product team. Right now reps rank leads by gut feel; a lead score model would fix that. We estimate we lose roughly 43 hours a month on this.</t>
        </is>
      </c>
      <c r="J1441" t="inlineStr">
        <is>
          <t>Neutral</t>
        </is>
      </c>
      <c r="K1441" t="inlineStr">
        <is>
          <t>High</t>
        </is>
      </c>
      <c r="L1441" t="inlineStr">
        <is>
          <t>Blocks Key Task</t>
        </is>
      </c>
      <c r="M1441" t="inlineStr">
        <is>
          <t>lead_score</t>
        </is>
      </c>
      <c r="N1441" t="inlineStr">
        <is>
          <t>Automated lead scoring</t>
        </is>
      </c>
      <c r="O1441" t="inlineStr">
        <is>
          <t>2026-09</t>
        </is>
      </c>
    </row>
    <row r="1442">
      <c r="A1442" t="inlineStr">
        <is>
          <t>FB-01441</t>
        </is>
      </c>
      <c r="B1442" t="inlineStr">
        <is>
          <t>CUST-0420</t>
        </is>
      </c>
      <c r="C1442" s="11" t="n">
        <v>46284</v>
      </c>
      <c r="D1442" t="inlineStr">
        <is>
          <t>Customer Survey</t>
        </is>
      </c>
      <c r="E1442" t="inlineStr">
        <is>
          <t>Enterprise</t>
        </is>
      </c>
      <c r="F1442" t="inlineStr">
        <is>
          <t>Enterprise</t>
        </is>
      </c>
      <c r="G1442" t="inlineStr">
        <is>
          <t>Lead Management</t>
        </is>
      </c>
      <c r="H1442" t="inlineStr">
        <is>
          <t>Usability Issue</t>
        </is>
      </c>
      <c r="I1442" t="inlineStr">
        <is>
          <t>Feedback from our monthly review. The round-robin lead assignment are confusing and new leads sometimes sit unassigned over weekends. It happens about 18 times a week for our team of 6.</t>
        </is>
      </c>
      <c r="J1442" t="inlineStr">
        <is>
          <t>Neutral</t>
        </is>
      </c>
      <c r="K1442" t="inlineStr">
        <is>
          <t>High</t>
        </is>
      </c>
      <c r="L1442" t="inlineStr">
        <is>
          <t>Blocks Key Task</t>
        </is>
      </c>
      <c r="M1442" t="inlineStr">
        <is>
          <t>lead_assign</t>
        </is>
      </c>
      <c r="N1442" t="inlineStr">
        <is>
          <t>Lead routing is inflexible</t>
        </is>
      </c>
      <c r="O1442" t="inlineStr">
        <is>
          <t>2026-09</t>
        </is>
      </c>
    </row>
    <row r="1443">
      <c r="A1443" t="inlineStr">
        <is>
          <t>FB-01442</t>
        </is>
      </c>
      <c r="B1443" t="inlineStr">
        <is>
          <t>CUST-0336</t>
        </is>
      </c>
      <c r="C1443" s="11" t="n">
        <v>46284</v>
      </c>
      <c r="D1443" t="inlineStr">
        <is>
          <t>Customer Survey</t>
        </is>
      </c>
      <c r="E1443" t="inlineStr">
        <is>
          <t>Professional</t>
        </is>
      </c>
      <c r="F1443" t="inlineStr">
        <is>
          <t>Mid-Market</t>
        </is>
      </c>
      <c r="G1443" t="inlineStr">
        <is>
          <t>Contact Management</t>
        </is>
      </c>
      <c r="H1443" t="inlineStr">
        <is>
          <t>Bug</t>
        </is>
      </c>
      <c r="I1443" t="inlineStr">
        <is>
          <t>Escalating on behalf of our ops lead. The spreadsheet import rejects files with accented characters in names. We need a fix before renewal.</t>
        </is>
      </c>
      <c r="J1443" t="inlineStr">
        <is>
          <t>Negative</t>
        </is>
      </c>
      <c r="K1443" t="inlineStr">
        <is>
          <t>Medium</t>
        </is>
      </c>
      <c r="L1443" t="inlineStr">
        <is>
          <t>Workflow Slowdown</t>
        </is>
      </c>
      <c r="M1443" t="inlineStr">
        <is>
          <t>contact_import</t>
        </is>
      </c>
      <c r="N1443" t="inlineStr">
        <is>
          <t>Unreliable contact imports</t>
        </is>
      </c>
      <c r="O1443" t="inlineStr">
        <is>
          <t>2026-09</t>
        </is>
      </c>
    </row>
    <row r="1444">
      <c r="A1444" t="inlineStr">
        <is>
          <t>FB-01443</t>
        </is>
      </c>
      <c r="B1444" t="inlineStr">
        <is>
          <t>CUST-0197</t>
        </is>
      </c>
      <c r="C1444" s="11" t="n">
        <v>46284</v>
      </c>
      <c r="D1444" t="inlineStr">
        <is>
          <t>In-App Feedback</t>
        </is>
      </c>
      <c r="E1444" t="inlineStr">
        <is>
          <t>Professional</t>
        </is>
      </c>
      <c r="F1444" t="inlineStr">
        <is>
          <t>Mid-Market</t>
        </is>
      </c>
      <c r="G1444" t="inlineStr">
        <is>
          <t>Lead Management</t>
        </is>
      </c>
      <c r="H1444" t="inlineStr">
        <is>
          <t>Bug</t>
        </is>
      </c>
      <c r="I1444" t="inlineStr">
        <is>
          <t>There are duplicate lead records across our pipeline views and nobody knows which record is the source of truth. So far 93 people on our side have reported it.</t>
        </is>
      </c>
      <c r="J1444" t="inlineStr">
        <is>
          <t>Neutral</t>
        </is>
      </c>
      <c r="K1444" t="inlineStr">
        <is>
          <t>Low</t>
        </is>
      </c>
      <c r="L1444" t="inlineStr">
        <is>
          <t>Minor Inconvenience</t>
        </is>
      </c>
      <c r="M1444" t="inlineStr">
        <is>
          <t>lead_dup</t>
        </is>
      </c>
      <c r="N1444" t="inlineStr">
        <is>
          <t>Duplicate leads created</t>
        </is>
      </c>
      <c r="O1444" t="inlineStr">
        <is>
          <t>2026-09</t>
        </is>
      </c>
    </row>
    <row r="1445">
      <c r="A1445" t="inlineStr">
        <is>
          <t>FB-01444</t>
        </is>
      </c>
      <c r="B1445" t="inlineStr">
        <is>
          <t>CUST-0174</t>
        </is>
      </c>
      <c r="C1445" s="11" t="n">
        <v>46285</v>
      </c>
      <c r="D1445" t="inlineStr">
        <is>
          <t>In-App Feedback</t>
        </is>
      </c>
      <c r="E1445" t="inlineStr">
        <is>
          <t>Professional</t>
        </is>
      </c>
      <c r="F1445" t="inlineStr">
        <is>
          <t>Mid-Market</t>
        </is>
      </c>
      <c r="G1445" t="inlineStr">
        <is>
          <t>Integrations</t>
        </is>
      </c>
      <c r="H1445" t="inlineStr">
        <is>
          <t>Integration Issue</t>
        </is>
      </c>
      <c r="I1445" t="inlineStr">
        <is>
          <t>After the token expires, email sync stops with no warning. It happens about 33 times a week for our team of 58.</t>
        </is>
      </c>
      <c r="J1445" t="inlineStr">
        <is>
          <t>Neutral</t>
        </is>
      </c>
      <c r="K1445" t="inlineStr">
        <is>
          <t>Medium</t>
        </is>
      </c>
      <c r="L1445" t="inlineStr">
        <is>
          <t>Minor Inconvenience</t>
        </is>
      </c>
      <c r="M1445" t="inlineStr">
        <is>
          <t>int_email</t>
        </is>
      </c>
      <c r="N1445" t="inlineStr">
        <is>
          <t>Email and calendar sync drops</t>
        </is>
      </c>
      <c r="O1445" t="inlineStr">
        <is>
          <t>2026-09</t>
        </is>
      </c>
    </row>
    <row r="1446">
      <c r="A1446" t="inlineStr">
        <is>
          <t>FB-01445</t>
        </is>
      </c>
      <c r="B1446" t="inlineStr">
        <is>
          <t>CUST-0105</t>
        </is>
      </c>
      <c r="C1446" s="11" t="n">
        <v>46285</v>
      </c>
      <c r="D1446" t="inlineStr">
        <is>
          <t>In-App Feedback</t>
        </is>
      </c>
      <c r="E1446" t="inlineStr">
        <is>
          <t>Professional</t>
        </is>
      </c>
      <c r="F1446" t="inlineStr">
        <is>
          <t>Mid-Market</t>
        </is>
      </c>
      <c r="G1446" t="inlineStr">
        <is>
          <t>Integrations</t>
        </is>
      </c>
      <c r="H1446" t="inlineStr">
        <is>
          <t>Integration Issue</t>
        </is>
      </c>
      <c r="I1446" t="inlineStr">
        <is>
          <t>We keep hitting webhook delivery during nightly syncs with our data warehouse. It affects our renewal process every cycle. Is there a workaround?</t>
        </is>
      </c>
      <c r="J1446" t="inlineStr">
        <is>
          <t>Negative</t>
        </is>
      </c>
      <c r="K1446" t="inlineStr">
        <is>
          <t>High</t>
        </is>
      </c>
      <c r="L1446" t="inlineStr">
        <is>
          <t>Workflow Slowdown</t>
        </is>
      </c>
      <c r="M1446" t="inlineStr">
        <is>
          <t>int_api</t>
        </is>
      </c>
      <c r="N1446" t="inlineStr">
        <is>
          <t>API limits and webhook failures</t>
        </is>
      </c>
      <c r="O1446" t="inlineStr">
        <is>
          <t>2026-09</t>
        </is>
      </c>
    </row>
    <row r="1447">
      <c r="A1447" t="inlineStr">
        <is>
          <t>FB-01446</t>
        </is>
      </c>
      <c r="B1447" t="inlineStr">
        <is>
          <t>CUST-0174</t>
        </is>
      </c>
      <c r="C1447" s="11" t="n">
        <v>46285</v>
      </c>
      <c r="D1447" t="inlineStr">
        <is>
          <t>In-App Feedback</t>
        </is>
      </c>
      <c r="E1447" t="inlineStr">
        <is>
          <t>Professional</t>
        </is>
      </c>
      <c r="F1447" t="inlineStr">
        <is>
          <t>Mid-Market</t>
        </is>
      </c>
      <c r="G1447" t="inlineStr">
        <is>
          <t>Contact Management</t>
        </is>
      </c>
      <c r="H1447" t="inlineStr">
        <is>
          <t>Bug</t>
        </is>
      </c>
      <c r="I1447" t="inlineStr">
        <is>
          <t>Our team keeps running into this. Our contact CSV import scrambles phone and email columns even after we map them correctly. It happens about 35 times a week for our team of 44.</t>
        </is>
      </c>
      <c r="J1447" t="inlineStr">
        <is>
          <t>Negative</t>
        </is>
      </c>
      <c r="K1447" t="inlineStr">
        <is>
          <t>Medium</t>
        </is>
      </c>
      <c r="L1447" t="inlineStr">
        <is>
          <t>Workflow Slowdown</t>
        </is>
      </c>
      <c r="M1447" t="inlineStr">
        <is>
          <t>contact_import</t>
        </is>
      </c>
      <c r="N1447" t="inlineStr">
        <is>
          <t>Unreliable contact imports</t>
        </is>
      </c>
      <c r="O1447" t="inlineStr">
        <is>
          <t>2026-09</t>
        </is>
      </c>
    </row>
    <row r="1448">
      <c r="A1448" t="inlineStr">
        <is>
          <t>FB-01447</t>
        </is>
      </c>
      <c r="B1448" t="inlineStr">
        <is>
          <t>CUST-0030</t>
        </is>
      </c>
      <c r="C1448" s="11" t="n">
        <v>46285</v>
      </c>
      <c r="D1448" t="inlineStr">
        <is>
          <t>Support Ticket</t>
        </is>
      </c>
      <c r="E1448" t="inlineStr">
        <is>
          <t>Professional</t>
        </is>
      </c>
      <c r="F1448" t="inlineStr">
        <is>
          <t>Mid-Market</t>
        </is>
      </c>
      <c r="G1448" t="inlineStr">
        <is>
          <t>Reporting</t>
        </is>
      </c>
      <c r="H1448" t="inlineStr">
        <is>
          <t>Bug</t>
        </is>
      </c>
      <c r="I1448" t="inlineStr">
        <is>
          <t>Our team keeps running into this. The report export cuts off rows after a few thousand records. It affects our month-end reporting process every cycle. Is there a workaround?</t>
        </is>
      </c>
      <c r="J1448" t="inlineStr">
        <is>
          <t>Negative</t>
        </is>
      </c>
      <c r="K1448" t="inlineStr">
        <is>
          <t>Medium</t>
        </is>
      </c>
      <c r="L1448" t="inlineStr">
        <is>
          <t>Workflow Slowdown</t>
        </is>
      </c>
      <c r="M1448" t="inlineStr">
        <is>
          <t>rep_export</t>
        </is>
      </c>
      <c r="N1448" t="inlineStr">
        <is>
          <t>Broken report exports</t>
        </is>
      </c>
      <c r="O1448" t="inlineStr">
        <is>
          <t>2026-09</t>
        </is>
      </c>
    </row>
    <row r="1449">
      <c r="A1449" t="inlineStr">
        <is>
          <t>FB-01448</t>
        </is>
      </c>
      <c r="B1449" t="inlineStr">
        <is>
          <t>CUST-0355</t>
        </is>
      </c>
      <c r="C1449" s="11" t="n">
        <v>46286</v>
      </c>
      <c r="D1449" t="inlineStr">
        <is>
          <t>In-App Feedback</t>
        </is>
      </c>
      <c r="E1449" t="inlineStr">
        <is>
          <t>Starter</t>
        </is>
      </c>
      <c r="F1449" t="inlineStr">
        <is>
          <t>Mid-Market</t>
        </is>
      </c>
      <c r="G1449" t="inlineStr">
        <is>
          <t>Integrations</t>
        </is>
      </c>
      <c r="H1449" t="inlineStr">
        <is>
          <t>Integration Issue</t>
        </is>
      </c>
      <c r="I1449" t="inlineStr">
        <is>
          <t>Reps no longer trust Outlook calendar sync, so they log activity by hand.</t>
        </is>
      </c>
      <c r="J1449" t="inlineStr">
        <is>
          <t>Negative</t>
        </is>
      </c>
      <c r="K1449" t="inlineStr">
        <is>
          <t>High</t>
        </is>
      </c>
      <c r="L1449" t="inlineStr">
        <is>
          <t>Revenue/Operations Risk</t>
        </is>
      </c>
      <c r="M1449" t="inlineStr">
        <is>
          <t>int_email</t>
        </is>
      </c>
      <c r="N1449" t="inlineStr">
        <is>
          <t>Email and calendar sync drops</t>
        </is>
      </c>
      <c r="O1449" t="inlineStr">
        <is>
          <t>2026-09</t>
        </is>
      </c>
    </row>
    <row r="1450">
      <c r="A1450" t="inlineStr">
        <is>
          <t>FB-01449</t>
        </is>
      </c>
      <c r="B1450" t="inlineStr">
        <is>
          <t>CUST-0046</t>
        </is>
      </c>
      <c r="C1450" s="11" t="n">
        <v>46286</v>
      </c>
      <c r="D1450" t="inlineStr">
        <is>
          <t>In-App Feedback</t>
        </is>
      </c>
      <c r="E1450" t="inlineStr">
        <is>
          <t>Professional</t>
        </is>
      </c>
      <c r="F1450" t="inlineStr">
        <is>
          <t>Mid-Market</t>
        </is>
      </c>
      <c r="G1450" t="inlineStr">
        <is>
          <t>Reporting</t>
        </is>
      </c>
      <c r="H1450" t="inlineStr">
        <is>
          <t>Performance Issue</t>
        </is>
      </c>
      <c r="I1450" t="inlineStr">
        <is>
          <t>This has been a recurring problem for us. Dashboard refresh got noticeably worse over the last few months. So far 44 people on our side have reported it.</t>
        </is>
      </c>
      <c r="J1450" t="inlineStr">
        <is>
          <t>Negative</t>
        </is>
      </c>
      <c r="K1450" t="inlineStr">
        <is>
          <t>Medium</t>
        </is>
      </c>
      <c r="L1450" t="inlineStr">
        <is>
          <t>Minor Inconvenience</t>
        </is>
      </c>
      <c r="M1450" t="inlineStr">
        <is>
          <t>rep_slow</t>
        </is>
      </c>
      <c r="N1450" t="inlineStr">
        <is>
          <t>Slow dashboards</t>
        </is>
      </c>
      <c r="O1450" t="inlineStr">
        <is>
          <t>2026-09</t>
        </is>
      </c>
    </row>
    <row r="1451">
      <c r="A1451" t="inlineStr">
        <is>
          <t>FB-01450</t>
        </is>
      </c>
      <c r="B1451" t="inlineStr">
        <is>
          <t>CUST-0284</t>
        </is>
      </c>
      <c r="C1451" s="11" t="n">
        <v>46286</v>
      </c>
      <c r="D1451" t="inlineStr">
        <is>
          <t>Feature Request</t>
        </is>
      </c>
      <c r="E1451" t="inlineStr">
        <is>
          <t>Enterprise</t>
        </is>
      </c>
      <c r="F1451" t="inlineStr">
        <is>
          <t>Enterprise</t>
        </is>
      </c>
      <c r="G1451" t="inlineStr">
        <is>
          <t>Reporting</t>
        </is>
      </c>
      <c r="H1451" t="inlineStr">
        <is>
          <t>Feature Request</t>
        </is>
      </c>
      <c r="I1451" t="inlineStr">
        <is>
          <t>Happy with most of the product. Requesting forecast rollups that updates as deal stages change. Thanks to the team.</t>
        </is>
      </c>
      <c r="J1451" t="inlineStr">
        <is>
          <t>Positive</t>
        </is>
      </c>
      <c r="K1451" t="inlineStr">
        <is>
          <t>Medium</t>
        </is>
      </c>
      <c r="L1451" t="inlineStr">
        <is>
          <t>Minor Inconvenience</t>
        </is>
      </c>
      <c r="M1451" t="inlineStr">
        <is>
          <t>rep_forecast</t>
        </is>
      </c>
      <c r="N1451" t="inlineStr">
        <is>
          <t>Sales forecasting</t>
        </is>
      </c>
      <c r="O1451" t="inlineStr">
        <is>
          <t>2026-09</t>
        </is>
      </c>
    </row>
    <row r="1452">
      <c r="A1452" t="inlineStr">
        <is>
          <t>FB-01451</t>
        </is>
      </c>
      <c r="B1452" t="inlineStr">
        <is>
          <t>CUST-0257</t>
        </is>
      </c>
      <c r="C1452" s="11" t="n">
        <v>46286</v>
      </c>
      <c r="D1452" t="inlineStr">
        <is>
          <t>Customer Survey</t>
        </is>
      </c>
      <c r="E1452" t="inlineStr">
        <is>
          <t>Enterprise</t>
        </is>
      </c>
      <c r="F1452" t="inlineStr">
        <is>
          <t>Mid-Market</t>
        </is>
      </c>
      <c r="G1452" t="inlineStr">
        <is>
          <t>Integrations</t>
        </is>
      </c>
      <c r="H1452" t="inlineStr">
        <is>
          <t>Feature Request</t>
        </is>
      </c>
      <c r="I1452" t="inlineStr">
        <is>
          <t>FYI for the product team. Please add SSO support; managing users by hand does not scale. So far 90 people on our side have reported it. Happy to join a feedback call.</t>
        </is>
      </c>
      <c r="J1452" t="inlineStr">
        <is>
          <t>Neutral</t>
        </is>
      </c>
      <c r="K1452" t="inlineStr">
        <is>
          <t>Low</t>
        </is>
      </c>
      <c r="L1452" t="inlineStr">
        <is>
          <t>Minor Inconvenience</t>
        </is>
      </c>
      <c r="M1452" t="inlineStr">
        <is>
          <t>int_sso</t>
        </is>
      </c>
      <c r="N1452" t="inlineStr">
        <is>
          <t>SSO and provisioning</t>
        </is>
      </c>
      <c r="O1452" t="inlineStr">
        <is>
          <t>2026-09</t>
        </is>
      </c>
    </row>
    <row r="1453">
      <c r="A1453" t="inlineStr">
        <is>
          <t>FB-01452</t>
        </is>
      </c>
      <c r="B1453" t="inlineStr">
        <is>
          <t>CUST-0202</t>
        </is>
      </c>
      <c r="C1453" s="11" t="n">
        <v>46287</v>
      </c>
      <c r="D1453" t="inlineStr">
        <is>
          <t>Support Ticket</t>
        </is>
      </c>
      <c r="E1453" t="inlineStr">
        <is>
          <t>Enterprise</t>
        </is>
      </c>
      <c r="F1453" t="inlineStr">
        <is>
          <t>Enterprise</t>
        </is>
      </c>
      <c r="G1453" t="inlineStr">
        <is>
          <t>Integrations</t>
        </is>
      </c>
      <c r="H1453" t="inlineStr">
        <is>
          <t>Integration Issue</t>
        </is>
      </c>
      <c r="I1453" t="inlineStr">
        <is>
          <t>This has been a recurring problem for us. After the token expires, email sync stops with no warning. So far 80 people on our side have reported it. We need a fix before renewal.</t>
        </is>
      </c>
      <c r="J1453" t="inlineStr">
        <is>
          <t>Negative</t>
        </is>
      </c>
      <c r="K1453" t="inlineStr">
        <is>
          <t>High</t>
        </is>
      </c>
      <c r="L1453" t="inlineStr">
        <is>
          <t>Workflow Slowdown</t>
        </is>
      </c>
      <c r="M1453" t="inlineStr">
        <is>
          <t>int_email</t>
        </is>
      </c>
      <c r="N1453" t="inlineStr">
        <is>
          <t>Email and calendar sync drops</t>
        </is>
      </c>
      <c r="O1453" t="inlineStr">
        <is>
          <t>2026-09</t>
        </is>
      </c>
    </row>
    <row r="1454">
      <c r="A1454" t="inlineStr">
        <is>
          <t>FB-01453</t>
        </is>
      </c>
      <c r="B1454" t="inlineStr">
        <is>
          <t>CUST-0234</t>
        </is>
      </c>
      <c r="C1454" s="11" t="n">
        <v>46287</v>
      </c>
      <c r="D1454" t="inlineStr">
        <is>
          <t>Customer Survey</t>
        </is>
      </c>
      <c r="E1454" t="inlineStr">
        <is>
          <t>Enterprise</t>
        </is>
      </c>
      <c r="F1454" t="inlineStr">
        <is>
          <t>SMB</t>
        </is>
      </c>
      <c r="G1454" t="inlineStr">
        <is>
          <t>Integrations</t>
        </is>
      </c>
      <c r="H1454" t="inlineStr">
        <is>
          <t>Feature Request</t>
        </is>
      </c>
      <c r="I1454" t="inlineStr">
        <is>
          <t>Noting this during onboarding. Requesting a native Slack integration to remove manual re-entry. It happens about 7 times a week for our team of 32.</t>
        </is>
      </c>
      <c r="J1454" t="inlineStr">
        <is>
          <t>Neutral</t>
        </is>
      </c>
      <c r="K1454" t="inlineStr">
        <is>
          <t>Medium</t>
        </is>
      </c>
      <c r="L1454" t="inlineStr">
        <is>
          <t>Workflow Slowdown</t>
        </is>
      </c>
      <c r="M1454" t="inlineStr">
        <is>
          <t>int_native</t>
        </is>
      </c>
      <c r="N1454" t="inlineStr">
        <is>
          <t>Native integrations</t>
        </is>
      </c>
      <c r="O1454" t="inlineStr">
        <is>
          <t>2026-09</t>
        </is>
      </c>
    </row>
    <row r="1455">
      <c r="A1455" t="inlineStr">
        <is>
          <t>FB-01454</t>
        </is>
      </c>
      <c r="B1455" t="inlineStr">
        <is>
          <t>CUST-0349</t>
        </is>
      </c>
      <c r="C1455" s="11" t="n">
        <v>46287</v>
      </c>
      <c r="D1455" t="inlineStr">
        <is>
          <t>Support Ticket</t>
        </is>
      </c>
      <c r="E1455" t="inlineStr">
        <is>
          <t>Professional</t>
        </is>
      </c>
      <c r="F1455" t="inlineStr">
        <is>
          <t>Mid-Market</t>
        </is>
      </c>
      <c r="G1455" t="inlineStr">
        <is>
          <t>Reporting</t>
        </is>
      </c>
      <c r="H1455" t="inlineStr">
        <is>
          <t>Bug</t>
        </is>
      </c>
      <c r="I1455" t="inlineStr">
        <is>
          <t>Escalating on behalf of our ops lead. Finance can't rely on the CSV export of reports; totals don't match the screen. So far 3 people on our side have reported it. Is there a workaround?</t>
        </is>
      </c>
      <c r="J1455" t="inlineStr">
        <is>
          <t>Negative</t>
        </is>
      </c>
      <c r="K1455" t="inlineStr">
        <is>
          <t>High</t>
        </is>
      </c>
      <c r="L1455" t="inlineStr">
        <is>
          <t>Workflow Slowdown</t>
        </is>
      </c>
      <c r="M1455" t="inlineStr">
        <is>
          <t>rep_export</t>
        </is>
      </c>
      <c r="N1455" t="inlineStr">
        <is>
          <t>Broken report exports</t>
        </is>
      </c>
      <c r="O1455" t="inlineStr">
        <is>
          <t>2026-09</t>
        </is>
      </c>
    </row>
    <row r="1456">
      <c r="A1456" t="inlineStr">
        <is>
          <t>FB-01455</t>
        </is>
      </c>
      <c r="B1456" t="inlineStr">
        <is>
          <t>CUST-0243</t>
        </is>
      </c>
      <c r="C1456" s="11" t="n">
        <v>46287</v>
      </c>
      <c r="D1456" t="inlineStr">
        <is>
          <t>In-App Feedback</t>
        </is>
      </c>
      <c r="E1456" t="inlineStr">
        <is>
          <t>Professional</t>
        </is>
      </c>
      <c r="F1456" t="inlineStr">
        <is>
          <t>SMB</t>
        </is>
      </c>
      <c r="G1456" t="inlineStr">
        <is>
          <t>Reporting</t>
        </is>
      </c>
      <c r="H1456" t="inlineStr">
        <is>
          <t>Performance Issue</t>
        </is>
      </c>
      <c r="I1456" t="inlineStr">
        <is>
          <t>Raising this again after our last business review. Our dashboard refresh spins for a minute before showing any chart. It happens about 12 times a week for our team of 47. Support suggested logging it here.</t>
        </is>
      </c>
      <c r="J1456" t="inlineStr">
        <is>
          <t>Negative</t>
        </is>
      </c>
      <c r="K1456" t="inlineStr">
        <is>
          <t>Low</t>
        </is>
      </c>
      <c r="L1456" t="inlineStr">
        <is>
          <t>Minor Inconvenience</t>
        </is>
      </c>
      <c r="M1456" t="inlineStr">
        <is>
          <t>rep_slow</t>
        </is>
      </c>
      <c r="N1456" t="inlineStr">
        <is>
          <t>Slow dashboards</t>
        </is>
      </c>
      <c r="O1456" t="inlineStr">
        <is>
          <t>2026-09</t>
        </is>
      </c>
    </row>
    <row r="1457">
      <c r="A1457" t="inlineStr">
        <is>
          <t>FB-01456</t>
        </is>
      </c>
      <c r="B1457" t="inlineStr">
        <is>
          <t>CUST-0229</t>
        </is>
      </c>
      <c r="C1457" s="11" t="n">
        <v>46287</v>
      </c>
      <c r="D1457" t="inlineStr">
        <is>
          <t>Support Ticket</t>
        </is>
      </c>
      <c r="E1457" t="inlineStr">
        <is>
          <t>Starter</t>
        </is>
      </c>
      <c r="F1457" t="inlineStr">
        <is>
          <t>Mid-Market</t>
        </is>
      </c>
      <c r="G1457" t="inlineStr">
        <is>
          <t>User Interface</t>
        </is>
      </c>
      <c r="H1457" t="inlineStr">
        <is>
          <t>Feature Request</t>
        </is>
      </c>
      <c r="I1457" t="inlineStr">
        <is>
          <t>Noting this during onboarding. Please prioritize a mobile app; the mobile web view is hard to use. It affects our month-end reporting process every cycle.</t>
        </is>
      </c>
      <c r="J1457" t="inlineStr">
        <is>
          <t>Neutral</t>
        </is>
      </c>
      <c r="K1457" t="inlineStr">
        <is>
          <t>High</t>
        </is>
      </c>
      <c r="L1457" t="inlineStr">
        <is>
          <t>Blocks Key Task</t>
        </is>
      </c>
      <c r="M1457" t="inlineStr">
        <is>
          <t>ui_mobile</t>
        </is>
      </c>
      <c r="N1457" t="inlineStr">
        <is>
          <t>Mobile app</t>
        </is>
      </c>
      <c r="O1457" t="inlineStr">
        <is>
          <t>2026-09</t>
        </is>
      </c>
    </row>
    <row r="1458">
      <c r="A1458" t="inlineStr">
        <is>
          <t>FB-01457</t>
        </is>
      </c>
      <c r="B1458" t="inlineStr">
        <is>
          <t>CUST-0102</t>
        </is>
      </c>
      <c r="C1458" s="11" t="n">
        <v>46288</v>
      </c>
      <c r="D1458" t="inlineStr">
        <is>
          <t>Support Ticket</t>
        </is>
      </c>
      <c r="E1458" t="inlineStr">
        <is>
          <t>Professional</t>
        </is>
      </c>
      <c r="F1458" t="inlineStr">
        <is>
          <t>Mid-Market</t>
        </is>
      </c>
      <c r="G1458" t="inlineStr">
        <is>
          <t>Reporting</t>
        </is>
      </c>
      <c r="H1458" t="inlineStr">
        <is>
          <t>Performance Issue</t>
        </is>
      </c>
      <c r="I1458" t="inlineStr">
        <is>
          <t>Report load time got noticeably worse over the last few months.</t>
        </is>
      </c>
      <c r="J1458" t="inlineStr">
        <is>
          <t>Negative</t>
        </is>
      </c>
      <c r="K1458" t="inlineStr">
        <is>
          <t>High</t>
        </is>
      </c>
      <c r="L1458" t="inlineStr">
        <is>
          <t>Workflow Slowdown</t>
        </is>
      </c>
      <c r="M1458" t="inlineStr">
        <is>
          <t>rep_slow</t>
        </is>
      </c>
      <c r="N1458" t="inlineStr">
        <is>
          <t>Slow dashboards</t>
        </is>
      </c>
      <c r="O1458" t="inlineStr">
        <is>
          <t>2026-09</t>
        </is>
      </c>
    </row>
    <row r="1459">
      <c r="A1459" t="inlineStr">
        <is>
          <t>FB-01458</t>
        </is>
      </c>
      <c r="B1459" t="inlineStr">
        <is>
          <t>CUST-0108</t>
        </is>
      </c>
      <c r="C1459" s="11" t="n">
        <v>46288</v>
      </c>
      <c r="D1459" t="inlineStr">
        <is>
          <t>Customer Survey</t>
        </is>
      </c>
      <c r="E1459" t="inlineStr">
        <is>
          <t>Enterprise</t>
        </is>
      </c>
      <c r="F1459" t="inlineStr">
        <is>
          <t>Mid-Market</t>
        </is>
      </c>
      <c r="G1459" t="inlineStr">
        <is>
          <t>Integrations</t>
        </is>
      </c>
      <c r="H1459" t="inlineStr">
        <is>
          <t>Feature Request</t>
        </is>
      </c>
      <c r="I1459" t="inlineStr">
        <is>
          <t>Recent updates have been a nice improvement. Our security team requires SCIM provisioning before we can expand seats. Happy to beta test.</t>
        </is>
      </c>
      <c r="J1459" t="inlineStr">
        <is>
          <t>Positive</t>
        </is>
      </c>
      <c r="K1459" t="inlineStr">
        <is>
          <t>High</t>
        </is>
      </c>
      <c r="L1459" t="inlineStr">
        <is>
          <t>Revenue/Operations Risk</t>
        </is>
      </c>
      <c r="M1459" t="inlineStr">
        <is>
          <t>int_sso</t>
        </is>
      </c>
      <c r="N1459" t="inlineStr">
        <is>
          <t>SSO and provisioning</t>
        </is>
      </c>
      <c r="O1459" t="inlineStr">
        <is>
          <t>2026-09</t>
        </is>
      </c>
    </row>
    <row r="1460">
      <c r="A1460" t="inlineStr">
        <is>
          <t>FB-01459</t>
        </is>
      </c>
      <c r="B1460" t="inlineStr">
        <is>
          <t>CUST-0299</t>
        </is>
      </c>
      <c r="C1460" s="11" t="n">
        <v>46288</v>
      </c>
      <c r="D1460" t="inlineStr">
        <is>
          <t>In-App Feedback</t>
        </is>
      </c>
      <c r="E1460" t="inlineStr">
        <is>
          <t>Professional</t>
        </is>
      </c>
      <c r="F1460" t="inlineStr">
        <is>
          <t>Mid-Market</t>
        </is>
      </c>
      <c r="G1460" t="inlineStr">
        <is>
          <t>Integrations</t>
        </is>
      </c>
      <c r="H1460" t="inlineStr">
        <is>
          <t>Integration Issue</t>
        </is>
      </c>
      <c r="I1460" t="inlineStr">
        <is>
          <t>Great support experience recently. We keep hitting API timeouts during nightly syncs with our data warehouse. It happens about 11 times a week for our team of 11. Keep up the good work.</t>
        </is>
      </c>
      <c r="J1460" t="inlineStr">
        <is>
          <t>Positive</t>
        </is>
      </c>
      <c r="K1460" t="inlineStr">
        <is>
          <t>High</t>
        </is>
      </c>
      <c r="L1460" t="inlineStr">
        <is>
          <t>Blocks Key Task</t>
        </is>
      </c>
      <c r="M1460" t="inlineStr">
        <is>
          <t>int_api</t>
        </is>
      </c>
      <c r="N1460" t="inlineStr">
        <is>
          <t>API limits and webhook failures</t>
        </is>
      </c>
      <c r="O1460" t="inlineStr">
        <is>
          <t>2026-09</t>
        </is>
      </c>
    </row>
    <row r="1461">
      <c r="A1461" t="inlineStr">
        <is>
          <t>FB-01460</t>
        </is>
      </c>
      <c r="B1461" t="inlineStr">
        <is>
          <t>CUST-0074</t>
        </is>
      </c>
      <c r="C1461" s="11" t="n">
        <v>46288</v>
      </c>
      <c r="D1461" t="inlineStr">
        <is>
          <t>Feature Request</t>
        </is>
      </c>
      <c r="E1461" t="inlineStr">
        <is>
          <t>Enterprise</t>
        </is>
      </c>
      <c r="F1461" t="inlineStr">
        <is>
          <t>Mid-Market</t>
        </is>
      </c>
      <c r="G1461" t="inlineStr">
        <is>
          <t>User Interface</t>
        </is>
      </c>
      <c r="H1461" t="inlineStr">
        <is>
          <t>Feature Request</t>
        </is>
      </c>
      <c r="I1461" t="inlineStr">
        <is>
          <t>Our team keeps running into this. Requesting bulk actions on lists across every list view. So far 11 people on our side have reported it. Please look into it soon.</t>
        </is>
      </c>
      <c r="J1461" t="inlineStr">
        <is>
          <t>Negative</t>
        </is>
      </c>
      <c r="K1461" t="inlineStr">
        <is>
          <t>Medium</t>
        </is>
      </c>
      <c r="L1461" t="inlineStr">
        <is>
          <t>Workflow Slowdown</t>
        </is>
      </c>
      <c r="M1461" t="inlineStr">
        <is>
          <t>ui_bulk</t>
        </is>
      </c>
      <c r="N1461" t="inlineStr">
        <is>
          <t>Bulk actions</t>
        </is>
      </c>
      <c r="O1461" t="inlineStr">
        <is>
          <t>2026-09</t>
        </is>
      </c>
    </row>
    <row r="1462">
      <c r="A1462" t="inlineStr">
        <is>
          <t>FB-01461</t>
        </is>
      </c>
      <c r="B1462" t="inlineStr">
        <is>
          <t>CUST-0276</t>
        </is>
      </c>
      <c r="C1462" s="11" t="n">
        <v>46288</v>
      </c>
      <c r="D1462" t="inlineStr">
        <is>
          <t>Customer Survey</t>
        </is>
      </c>
      <c r="E1462" t="inlineStr">
        <is>
          <t>Professional</t>
        </is>
      </c>
      <c r="F1462" t="inlineStr">
        <is>
          <t>SMB</t>
        </is>
      </c>
      <c r="G1462" t="inlineStr">
        <is>
          <t>Lead Management</t>
        </is>
      </c>
      <c r="H1462" t="inlineStr">
        <is>
          <t>Feature Request</t>
        </is>
      </c>
      <c r="I1462" t="inlineStr">
        <is>
          <t>Quick note from our admin. Would love to see lead scoring rules that marketing and sales can both tune. We estimate we lose roughly 39 hours a month on this.</t>
        </is>
      </c>
      <c r="J1462" t="inlineStr">
        <is>
          <t>Neutral</t>
        </is>
      </c>
      <c r="K1462" t="inlineStr">
        <is>
          <t>Medium</t>
        </is>
      </c>
      <c r="L1462" t="inlineStr">
        <is>
          <t>Workflow Slowdown</t>
        </is>
      </c>
      <c r="M1462" t="inlineStr">
        <is>
          <t>lead_score</t>
        </is>
      </c>
      <c r="N1462" t="inlineStr">
        <is>
          <t>Automated lead scoring</t>
        </is>
      </c>
      <c r="O1462" t="inlineStr">
        <is>
          <t>2026-09</t>
        </is>
      </c>
    </row>
    <row r="1463">
      <c r="A1463" t="inlineStr">
        <is>
          <t>FB-01462</t>
        </is>
      </c>
      <c r="B1463" t="inlineStr">
        <is>
          <t>CUST-0371</t>
        </is>
      </c>
      <c r="C1463" s="11" t="n">
        <v>46288</v>
      </c>
      <c r="D1463" t="inlineStr">
        <is>
          <t>Feature Request</t>
        </is>
      </c>
      <c r="E1463" t="inlineStr">
        <is>
          <t>Enterprise</t>
        </is>
      </c>
      <c r="F1463" t="inlineStr">
        <is>
          <t>Enterprise</t>
        </is>
      </c>
      <c r="G1463" t="inlineStr">
        <is>
          <t>Integrations</t>
        </is>
      </c>
      <c r="H1463" t="inlineStr">
        <is>
          <t>Integration Issue</t>
        </is>
      </c>
      <c r="I1463" t="inlineStr">
        <is>
          <t>Reps no longer trust Gmail sync, so they log activity by hand. So far 103 people on our side have reported it.</t>
        </is>
      </c>
      <c r="J1463" t="inlineStr">
        <is>
          <t>Negative</t>
        </is>
      </c>
      <c r="K1463" t="inlineStr">
        <is>
          <t>Medium</t>
        </is>
      </c>
      <c r="L1463" t="inlineStr">
        <is>
          <t>Blocks Key Task</t>
        </is>
      </c>
      <c r="M1463" t="inlineStr">
        <is>
          <t>int_email</t>
        </is>
      </c>
      <c r="N1463" t="inlineStr">
        <is>
          <t>Email and calendar sync drops</t>
        </is>
      </c>
      <c r="O1463" t="inlineStr">
        <is>
          <t>2026-09</t>
        </is>
      </c>
    </row>
    <row r="1464">
      <c r="A1464" t="inlineStr">
        <is>
          <t>FB-01463</t>
        </is>
      </c>
      <c r="B1464" t="inlineStr">
        <is>
          <t>CUST-0282</t>
        </is>
      </c>
      <c r="C1464" s="11" t="n">
        <v>46289</v>
      </c>
      <c r="D1464" t="inlineStr">
        <is>
          <t>Support Ticket</t>
        </is>
      </c>
      <c r="E1464" t="inlineStr">
        <is>
          <t>Starter</t>
        </is>
      </c>
      <c r="F1464" t="inlineStr">
        <is>
          <t>SMB</t>
        </is>
      </c>
      <c r="G1464" t="inlineStr">
        <is>
          <t>Lead Management</t>
        </is>
      </c>
      <c r="H1464" t="inlineStr">
        <is>
          <t>Performance Issue</t>
        </is>
      </c>
      <c r="I1464" t="inlineStr">
        <is>
          <t>Sharing this from our team. The lead view load times gets very slow once we pass a few thousand open leads. Our customer success lead flagged it while onboarding 70 new users.</t>
        </is>
      </c>
      <c r="J1464" t="inlineStr">
        <is>
          <t>Neutral</t>
        </is>
      </c>
      <c r="K1464" t="inlineStr">
        <is>
          <t>Low</t>
        </is>
      </c>
      <c r="L1464" t="inlineStr">
        <is>
          <t>Minor Inconvenience</t>
        </is>
      </c>
      <c r="M1464" t="inlineStr">
        <is>
          <t>lead_slow</t>
        </is>
      </c>
      <c r="N1464" t="inlineStr">
        <is>
          <t>Slow lead lists and pipeline board</t>
        </is>
      </c>
      <c r="O1464" t="inlineStr">
        <is>
          <t>2026-09</t>
        </is>
      </c>
    </row>
    <row r="1465">
      <c r="A1465" t="inlineStr">
        <is>
          <t>FB-01464</t>
        </is>
      </c>
      <c r="B1465" t="inlineStr">
        <is>
          <t>CUST-0032</t>
        </is>
      </c>
      <c r="C1465" s="11" t="n">
        <v>46289</v>
      </c>
      <c r="D1465" t="inlineStr">
        <is>
          <t>Customer Survey</t>
        </is>
      </c>
      <c r="E1465" t="inlineStr">
        <is>
          <t>Starter</t>
        </is>
      </c>
      <c r="F1465" t="inlineStr">
        <is>
          <t>SMB</t>
        </is>
      </c>
      <c r="G1465" t="inlineStr">
        <is>
          <t>Workflow Automation</t>
        </is>
      </c>
      <c r="H1465" t="inlineStr">
        <is>
          <t>Usability Issue</t>
        </is>
      </c>
      <c r="I1465" t="inlineStr">
        <is>
          <t>Noting this during onboarding. I can't tell what a branch does in the workflow editor without opening every node. Happy to join a feedback call.</t>
        </is>
      </c>
      <c r="J1465" t="inlineStr">
        <is>
          <t>Neutral</t>
        </is>
      </c>
      <c r="K1465" t="inlineStr">
        <is>
          <t>Medium</t>
        </is>
      </c>
      <c r="L1465" t="inlineStr">
        <is>
          <t>Blocks Key Task</t>
        </is>
      </c>
      <c r="M1465" t="inlineStr">
        <is>
          <t>wf_builder</t>
        </is>
      </c>
      <c r="N1465" t="inlineStr">
        <is>
          <t>Confusing workflow builder</t>
        </is>
      </c>
      <c r="O1465" t="inlineStr">
        <is>
          <t>2026-09</t>
        </is>
      </c>
    </row>
    <row r="1466">
      <c r="A1466" t="inlineStr">
        <is>
          <t>FB-01465</t>
        </is>
      </c>
      <c r="B1466" t="inlineStr">
        <is>
          <t>CUST-0351</t>
        </is>
      </c>
      <c r="C1466" s="11" t="n">
        <v>46289</v>
      </c>
      <c r="D1466" t="inlineStr">
        <is>
          <t>Feature Request</t>
        </is>
      </c>
      <c r="E1466" t="inlineStr">
        <is>
          <t>Enterprise</t>
        </is>
      </c>
      <c r="F1466" t="inlineStr">
        <is>
          <t>Enterprise</t>
        </is>
      </c>
      <c r="G1466" t="inlineStr">
        <is>
          <t>Reporting</t>
        </is>
      </c>
      <c r="H1466" t="inlineStr">
        <is>
          <t>Feature Request</t>
        </is>
      </c>
      <c r="I1466" t="inlineStr">
        <is>
          <t>Happy with most of the product. Requesting scheduled report emails so leadership gets numbers without logging in. So far 20 people on our side have reported it. Thanks to the team.</t>
        </is>
      </c>
      <c r="J1466" t="inlineStr">
        <is>
          <t>Positive</t>
        </is>
      </c>
      <c r="K1466" t="inlineStr">
        <is>
          <t>Low</t>
        </is>
      </c>
      <c r="L1466" t="inlineStr">
        <is>
          <t>Minor Inconvenience</t>
        </is>
      </c>
      <c r="M1466" t="inlineStr">
        <is>
          <t>rep_custom</t>
        </is>
      </c>
      <c r="N1466" t="inlineStr">
        <is>
          <t>Custom and scheduled reports</t>
        </is>
      </c>
      <c r="O1466" t="inlineStr">
        <is>
          <t>2026-09</t>
        </is>
      </c>
    </row>
    <row r="1467">
      <c r="A1467" t="inlineStr">
        <is>
          <t>FB-01466</t>
        </is>
      </c>
      <c r="B1467" t="inlineStr">
        <is>
          <t>CUST-0306</t>
        </is>
      </c>
      <c r="C1467" s="11" t="n">
        <v>46289</v>
      </c>
      <c r="D1467" t="inlineStr">
        <is>
          <t>Support Ticket</t>
        </is>
      </c>
      <c r="E1467" t="inlineStr">
        <is>
          <t>Professional</t>
        </is>
      </c>
      <c r="F1467" t="inlineStr">
        <is>
          <t>SMB</t>
        </is>
      </c>
      <c r="G1467" t="inlineStr">
        <is>
          <t>Integrations</t>
        </is>
      </c>
      <c r="H1467" t="inlineStr">
        <is>
          <t>Integration Issue</t>
        </is>
      </c>
      <c r="I1467" t="inlineStr">
        <is>
          <t>After the token expires, Outlook calendar sync stops with no warning. Let us know if you need examples.</t>
        </is>
      </c>
      <c r="J1467" t="inlineStr">
        <is>
          <t>Neutral</t>
        </is>
      </c>
      <c r="K1467" t="inlineStr">
        <is>
          <t>Medium</t>
        </is>
      </c>
      <c r="L1467" t="inlineStr">
        <is>
          <t>Blocks Key Task</t>
        </is>
      </c>
      <c r="M1467" t="inlineStr">
        <is>
          <t>int_email</t>
        </is>
      </c>
      <c r="N1467" t="inlineStr">
        <is>
          <t>Email and calendar sync drops</t>
        </is>
      </c>
      <c r="O1467" t="inlineStr">
        <is>
          <t>2026-09</t>
        </is>
      </c>
    </row>
    <row r="1468">
      <c r="A1468" t="inlineStr">
        <is>
          <t>FB-01467</t>
        </is>
      </c>
      <c r="B1468" t="inlineStr">
        <is>
          <t>CUST-0087</t>
        </is>
      </c>
      <c r="C1468" s="11" t="n">
        <v>46289</v>
      </c>
      <c r="D1468" t="inlineStr">
        <is>
          <t>In-App Feedback</t>
        </is>
      </c>
      <c r="E1468" t="inlineStr">
        <is>
          <t>Professional</t>
        </is>
      </c>
      <c r="F1468" t="inlineStr">
        <is>
          <t>SMB</t>
        </is>
      </c>
      <c r="G1468" t="inlineStr">
        <is>
          <t>Lead Management</t>
        </is>
      </c>
      <c r="H1468" t="inlineStr">
        <is>
          <t>Bug</t>
        </is>
      </c>
      <c r="I1468" t="inlineStr">
        <is>
          <t>Quick note from our admin. After every list import we find duplicate lead records that have to be cleaned up by hand. Our finance analyst flagged it while onboarding 20 new users.</t>
        </is>
      </c>
      <c r="J1468" t="inlineStr">
        <is>
          <t>Neutral</t>
        </is>
      </c>
      <c r="K1468" t="inlineStr">
        <is>
          <t>High</t>
        </is>
      </c>
      <c r="L1468" t="inlineStr">
        <is>
          <t>Blocks Key Task</t>
        </is>
      </c>
      <c r="M1468" t="inlineStr">
        <is>
          <t>lead_dup</t>
        </is>
      </c>
      <c r="N1468" t="inlineStr">
        <is>
          <t>Duplicate leads created</t>
        </is>
      </c>
      <c r="O1468" t="inlineStr">
        <is>
          <t>2026-09</t>
        </is>
      </c>
    </row>
    <row r="1469">
      <c r="A1469" t="inlineStr">
        <is>
          <t>FB-01468</t>
        </is>
      </c>
      <c r="B1469" t="inlineStr">
        <is>
          <t>CUST-0284</t>
        </is>
      </c>
      <c r="C1469" s="11" t="n">
        <v>46289</v>
      </c>
      <c r="D1469" t="inlineStr">
        <is>
          <t>Feature Request</t>
        </is>
      </c>
      <c r="E1469" t="inlineStr">
        <is>
          <t>Enterprise</t>
        </is>
      </c>
      <c r="F1469" t="inlineStr">
        <is>
          <t>Enterprise</t>
        </is>
      </c>
      <c r="G1469" t="inlineStr">
        <is>
          <t>User Interface</t>
        </is>
      </c>
      <c r="H1469" t="inlineStr">
        <is>
          <t>Feature Request</t>
        </is>
      </c>
      <c r="I1469" t="inlineStr">
        <is>
          <t>Please add bulk edit actions; changing records one at a time wastes hours. So far 103 people on our side have reported it.</t>
        </is>
      </c>
      <c r="J1469" t="inlineStr">
        <is>
          <t>Negative</t>
        </is>
      </c>
      <c r="K1469" t="inlineStr">
        <is>
          <t>Low</t>
        </is>
      </c>
      <c r="L1469" t="inlineStr">
        <is>
          <t>Minor Inconvenience</t>
        </is>
      </c>
      <c r="M1469" t="inlineStr">
        <is>
          <t>ui_bulk</t>
        </is>
      </c>
      <c r="N1469" t="inlineStr">
        <is>
          <t>Bulk actions</t>
        </is>
      </c>
      <c r="O1469" t="inlineStr">
        <is>
          <t>2026-09</t>
        </is>
      </c>
    </row>
    <row r="1470">
      <c r="A1470" t="inlineStr">
        <is>
          <t>FB-01469</t>
        </is>
      </c>
      <c r="B1470" t="inlineStr">
        <is>
          <t>CUST-0096</t>
        </is>
      </c>
      <c r="C1470" s="11" t="n">
        <v>46289</v>
      </c>
      <c r="D1470" t="inlineStr">
        <is>
          <t>Feature Request</t>
        </is>
      </c>
      <c r="E1470" t="inlineStr">
        <is>
          <t>Enterprise</t>
        </is>
      </c>
      <c r="F1470" t="inlineStr">
        <is>
          <t>Enterprise</t>
        </is>
      </c>
      <c r="G1470" t="inlineStr">
        <is>
          <t>Reporting</t>
        </is>
      </c>
      <c r="H1470" t="inlineStr">
        <is>
          <t>Feature Request</t>
        </is>
      </c>
      <c r="I1470" t="inlineStr">
        <is>
          <t>Quick note from our admin. Requesting forecast rollups that updates as deal stages change. We estimate we lose roughly 41 hours a month on this.</t>
        </is>
      </c>
      <c r="J1470" t="inlineStr">
        <is>
          <t>Neutral</t>
        </is>
      </c>
      <c r="K1470" t="inlineStr">
        <is>
          <t>Medium</t>
        </is>
      </c>
      <c r="L1470" t="inlineStr">
        <is>
          <t>Minor Inconvenience</t>
        </is>
      </c>
      <c r="M1470" t="inlineStr">
        <is>
          <t>rep_forecast</t>
        </is>
      </c>
      <c r="N1470" t="inlineStr">
        <is>
          <t>Sales forecasting</t>
        </is>
      </c>
      <c r="O1470" t="inlineStr">
        <is>
          <t>2026-09</t>
        </is>
      </c>
    </row>
    <row r="1471">
      <c r="A1471" t="inlineStr">
        <is>
          <t>FB-01470</t>
        </is>
      </c>
      <c r="B1471" t="inlineStr">
        <is>
          <t>CUST-0203</t>
        </is>
      </c>
      <c r="C1471" s="11" t="n">
        <v>46289</v>
      </c>
      <c r="D1471" t="inlineStr">
        <is>
          <t>Customer Survey</t>
        </is>
      </c>
      <c r="E1471" t="inlineStr">
        <is>
          <t>Professional</t>
        </is>
      </c>
      <c r="F1471" t="inlineStr">
        <is>
          <t>Mid-Market</t>
        </is>
      </c>
      <c r="G1471" t="inlineStr">
        <is>
          <t>Lead Management</t>
        </is>
      </c>
      <c r="H1471" t="inlineStr">
        <is>
          <t>Bug</t>
        </is>
      </c>
      <c r="I1471" t="inlineStr">
        <is>
          <t>Our team keeps running into this. We are seeing lead de-duplication failures when a lead arrives from both the website and a trade-show list. We estimate we lose roughly 55 hours a month on this.</t>
        </is>
      </c>
      <c r="J1471" t="inlineStr">
        <is>
          <t>Negative</t>
        </is>
      </c>
      <c r="K1471" t="inlineStr">
        <is>
          <t>Low</t>
        </is>
      </c>
      <c r="L1471" t="inlineStr">
        <is>
          <t>Minor Inconvenience</t>
        </is>
      </c>
      <c r="M1471" t="inlineStr">
        <is>
          <t>lead_dup</t>
        </is>
      </c>
      <c r="N1471" t="inlineStr">
        <is>
          <t>Duplicate leads created</t>
        </is>
      </c>
      <c r="O1471" t="inlineStr">
        <is>
          <t>2026-09</t>
        </is>
      </c>
    </row>
    <row r="1472">
      <c r="A1472" t="inlineStr">
        <is>
          <t>FB-01471</t>
        </is>
      </c>
      <c r="B1472" t="inlineStr">
        <is>
          <t>CUST-0322</t>
        </is>
      </c>
      <c r="C1472" s="11" t="n">
        <v>46289</v>
      </c>
      <c r="D1472" t="inlineStr">
        <is>
          <t>Feature Request</t>
        </is>
      </c>
      <c r="E1472" t="inlineStr">
        <is>
          <t>Starter</t>
        </is>
      </c>
      <c r="F1472" t="inlineStr">
        <is>
          <t>SMB</t>
        </is>
      </c>
      <c r="G1472" t="inlineStr">
        <is>
          <t>Contact Management</t>
        </is>
      </c>
      <c r="H1472" t="inlineStr">
        <is>
          <t>Feature Request</t>
        </is>
      </c>
      <c r="I1472" t="inlineStr">
        <is>
          <t>FYI for the product team. Please build a tool to merge duplicate contacts with a preview of what will be combined. Happy to join a feedback call.</t>
        </is>
      </c>
      <c r="J1472" t="inlineStr">
        <is>
          <t>Neutral</t>
        </is>
      </c>
      <c r="K1472" t="inlineStr">
        <is>
          <t>Medium</t>
        </is>
      </c>
      <c r="L1472" t="inlineStr">
        <is>
          <t>Blocks Key Task</t>
        </is>
      </c>
      <c r="M1472" t="inlineStr">
        <is>
          <t>contact_dedupe</t>
        </is>
      </c>
      <c r="N1472" t="inlineStr">
        <is>
          <t>Bulk contact merge</t>
        </is>
      </c>
      <c r="O1472" t="inlineStr">
        <is>
          <t>2026-09</t>
        </is>
      </c>
    </row>
    <row r="1473">
      <c r="A1473" t="inlineStr">
        <is>
          <t>FB-01472</t>
        </is>
      </c>
      <c r="B1473" t="inlineStr">
        <is>
          <t>CUST-0139</t>
        </is>
      </c>
      <c r="C1473" s="11" t="n">
        <v>46289</v>
      </c>
      <c r="D1473" t="inlineStr">
        <is>
          <t>In-App Feedback</t>
        </is>
      </c>
      <c r="E1473" t="inlineStr">
        <is>
          <t>Professional</t>
        </is>
      </c>
      <c r="F1473" t="inlineStr">
        <is>
          <t>Mid-Market</t>
        </is>
      </c>
      <c r="G1473" t="inlineStr">
        <is>
          <t>Workflow Automation</t>
        </is>
      </c>
      <c r="H1473" t="inlineStr">
        <is>
          <t>Bug</t>
        </is>
      </c>
      <c r="I1473" t="inlineStr">
        <is>
          <t>Several workflow runs failing silently left deals stuck in the wrong stage. So far 84 people on our side have reported it. Is there a workaround?</t>
        </is>
      </c>
      <c r="J1473" t="inlineStr">
        <is>
          <t>Negative</t>
        </is>
      </c>
      <c r="K1473" t="inlineStr">
        <is>
          <t>Critical</t>
        </is>
      </c>
      <c r="L1473" t="inlineStr">
        <is>
          <t>Blocks Key Task</t>
        </is>
      </c>
      <c r="M1473" t="inlineStr">
        <is>
          <t>wf_fail</t>
        </is>
      </c>
      <c r="N1473" t="inlineStr">
        <is>
          <t>Workflows failing silently</t>
        </is>
      </c>
      <c r="O1473" t="inlineStr">
        <is>
          <t>2026-09</t>
        </is>
      </c>
    </row>
    <row r="1474">
      <c r="A1474" t="inlineStr">
        <is>
          <t>FB-01473</t>
        </is>
      </c>
      <c r="B1474" t="inlineStr">
        <is>
          <t>CUST-0012</t>
        </is>
      </c>
      <c r="C1474" s="11" t="n">
        <v>46291</v>
      </c>
      <c r="D1474" t="inlineStr">
        <is>
          <t>Customer Survey</t>
        </is>
      </c>
      <c r="E1474" t="inlineStr">
        <is>
          <t>Enterprise</t>
        </is>
      </c>
      <c r="F1474" t="inlineStr">
        <is>
          <t>Enterprise</t>
        </is>
      </c>
      <c r="G1474" t="inlineStr">
        <is>
          <t>Reporting</t>
        </is>
      </c>
      <c r="H1474" t="inlineStr">
        <is>
          <t>Feature Request</t>
        </is>
      </c>
      <c r="I1474" t="inlineStr">
        <is>
          <t>Happy with most of the product. We need a custom report builder so non-technical managers can create their own views. It affects our month-end reporting process every cycle. Keep up the good work.</t>
        </is>
      </c>
      <c r="J1474" t="inlineStr">
        <is>
          <t>Positive</t>
        </is>
      </c>
      <c r="K1474" t="inlineStr">
        <is>
          <t>High</t>
        </is>
      </c>
      <c r="L1474" t="inlineStr">
        <is>
          <t>Blocks Key Task</t>
        </is>
      </c>
      <c r="M1474" t="inlineStr">
        <is>
          <t>rep_custom</t>
        </is>
      </c>
      <c r="N1474" t="inlineStr">
        <is>
          <t>Custom and scheduled reports</t>
        </is>
      </c>
      <c r="O1474" t="inlineStr">
        <is>
          <t>2026-09</t>
        </is>
      </c>
    </row>
    <row r="1475">
      <c r="A1475" t="inlineStr">
        <is>
          <t>FB-01474</t>
        </is>
      </c>
      <c r="B1475" t="inlineStr">
        <is>
          <t>CUST-0265</t>
        </is>
      </c>
      <c r="C1475" s="11" t="n">
        <v>46291</v>
      </c>
      <c r="D1475" t="inlineStr">
        <is>
          <t>Feature Request</t>
        </is>
      </c>
      <c r="E1475" t="inlineStr">
        <is>
          <t>Starter</t>
        </is>
      </c>
      <c r="F1475" t="inlineStr">
        <is>
          <t>SMB</t>
        </is>
      </c>
      <c r="G1475" t="inlineStr">
        <is>
          <t>User Interface</t>
        </is>
      </c>
      <c r="H1475" t="inlineStr">
        <is>
          <t>Feature Request</t>
        </is>
      </c>
      <c r="I1475" t="inlineStr">
        <is>
          <t>Noting this during onboarding. Requesting mobile call logging so reps can log activity right after a meeting.</t>
        </is>
      </c>
      <c r="J1475" t="inlineStr">
        <is>
          <t>Neutral</t>
        </is>
      </c>
      <c r="K1475" t="inlineStr">
        <is>
          <t>Low</t>
        </is>
      </c>
      <c r="L1475" t="inlineStr">
        <is>
          <t>Workflow Slowdown</t>
        </is>
      </c>
      <c r="M1475" t="inlineStr">
        <is>
          <t>ui_mobile</t>
        </is>
      </c>
      <c r="N1475" t="inlineStr">
        <is>
          <t>Mobile app</t>
        </is>
      </c>
      <c r="O1475" t="inlineStr">
        <is>
          <t>2026-09</t>
        </is>
      </c>
    </row>
    <row r="1476">
      <c r="A1476" t="inlineStr">
        <is>
          <t>FB-01475</t>
        </is>
      </c>
      <c r="B1476" t="inlineStr">
        <is>
          <t>CUST-0313</t>
        </is>
      </c>
      <c r="C1476" s="11" t="n">
        <v>46291</v>
      </c>
      <c r="D1476" t="inlineStr">
        <is>
          <t>Customer Survey</t>
        </is>
      </c>
      <c r="E1476" t="inlineStr">
        <is>
          <t>Starter</t>
        </is>
      </c>
      <c r="F1476" t="inlineStr">
        <is>
          <t>SMB</t>
        </is>
      </c>
      <c r="G1476" t="inlineStr">
        <is>
          <t>Lead Management</t>
        </is>
      </c>
      <c r="H1476" t="inlineStr">
        <is>
          <t>Usability Issue</t>
        </is>
      </c>
      <c r="I1476" t="inlineStr">
        <is>
          <t>Frustrated with this one. It is hard to understand how lead assignment settings decide who owns a lead. It affects our lead handoff process every cycle.</t>
        </is>
      </c>
      <c r="J1476" t="inlineStr">
        <is>
          <t>Negative</t>
        </is>
      </c>
      <c r="K1476" t="inlineStr">
        <is>
          <t>Low</t>
        </is>
      </c>
      <c r="L1476" t="inlineStr">
        <is>
          <t>Minor Inconvenience</t>
        </is>
      </c>
      <c r="M1476" t="inlineStr">
        <is>
          <t>lead_assign</t>
        </is>
      </c>
      <c r="N1476" t="inlineStr">
        <is>
          <t>Lead routing is inflexible</t>
        </is>
      </c>
      <c r="O1476" t="inlineStr">
        <is>
          <t>2026-09</t>
        </is>
      </c>
    </row>
    <row r="1477">
      <c r="A1477" t="inlineStr">
        <is>
          <t>FB-01476</t>
        </is>
      </c>
      <c r="B1477" t="inlineStr">
        <is>
          <t>CUST-0062</t>
        </is>
      </c>
      <c r="C1477" s="11" t="n">
        <v>46291</v>
      </c>
      <c r="D1477" t="inlineStr">
        <is>
          <t>Customer Survey</t>
        </is>
      </c>
      <c r="E1477" t="inlineStr">
        <is>
          <t>Professional</t>
        </is>
      </c>
      <c r="F1477" t="inlineStr">
        <is>
          <t>Mid-Market</t>
        </is>
      </c>
      <c r="G1477" t="inlineStr">
        <is>
          <t>User Interface</t>
        </is>
      </c>
      <c r="H1477" t="inlineStr">
        <is>
          <t>Feature Request</t>
        </is>
      </c>
      <c r="I1477" t="inlineStr">
        <is>
          <t>Feedback from our monthly review. Requesting offline mobile access so reps can log activity right after a meeting. It happens about 17 times a week for our team of 59. Let us know if you need examples.</t>
        </is>
      </c>
      <c r="J1477" t="inlineStr">
        <is>
          <t>Neutral</t>
        </is>
      </c>
      <c r="K1477" t="inlineStr">
        <is>
          <t>Low</t>
        </is>
      </c>
      <c r="L1477" t="inlineStr">
        <is>
          <t>Minor Inconvenience</t>
        </is>
      </c>
      <c r="M1477" t="inlineStr">
        <is>
          <t>ui_mobile</t>
        </is>
      </c>
      <c r="N1477" t="inlineStr">
        <is>
          <t>Mobile app</t>
        </is>
      </c>
      <c r="O1477" t="inlineStr">
        <is>
          <t>2026-09</t>
        </is>
      </c>
    </row>
    <row r="1478">
      <c r="A1478" t="inlineStr">
        <is>
          <t>FB-01477</t>
        </is>
      </c>
      <c r="B1478" t="inlineStr">
        <is>
          <t>CUST-0047</t>
        </is>
      </c>
      <c r="C1478" s="11" t="n">
        <v>46291</v>
      </c>
      <c r="D1478" t="inlineStr">
        <is>
          <t>In-App Feedback</t>
        </is>
      </c>
      <c r="E1478" t="inlineStr">
        <is>
          <t>Starter</t>
        </is>
      </c>
      <c r="F1478" t="inlineStr">
        <is>
          <t>SMB</t>
        </is>
      </c>
      <c r="G1478" t="inlineStr">
        <is>
          <t>Lead Management</t>
        </is>
      </c>
      <c r="H1478" t="inlineStr">
        <is>
          <t>Feature Request</t>
        </is>
      </c>
      <c r="I1478" t="inlineStr">
        <is>
          <t>Noting this during onboarding. Please add automated lead scoring based on engagement, company size and recent activity. We estimate we lose roughly 26 hours a month on this.</t>
        </is>
      </c>
      <c r="J1478" t="inlineStr">
        <is>
          <t>Neutral</t>
        </is>
      </c>
      <c r="K1478" t="inlineStr">
        <is>
          <t>Medium</t>
        </is>
      </c>
      <c r="L1478" t="inlineStr">
        <is>
          <t>Workflow Slowdown</t>
        </is>
      </c>
      <c r="M1478" t="inlineStr">
        <is>
          <t>lead_score</t>
        </is>
      </c>
      <c r="N1478" t="inlineStr">
        <is>
          <t>Automated lead scoring</t>
        </is>
      </c>
      <c r="O1478" t="inlineStr">
        <is>
          <t>2026-09</t>
        </is>
      </c>
    </row>
    <row r="1479">
      <c r="A1479" t="inlineStr">
        <is>
          <t>FB-01478</t>
        </is>
      </c>
      <c r="B1479" t="inlineStr">
        <is>
          <t>CUST-0286</t>
        </is>
      </c>
      <c r="C1479" s="11" t="n">
        <v>46291</v>
      </c>
      <c r="D1479" t="inlineStr">
        <is>
          <t>Feature Request</t>
        </is>
      </c>
      <c r="E1479" t="inlineStr">
        <is>
          <t>Enterprise</t>
        </is>
      </c>
      <c r="F1479" t="inlineStr">
        <is>
          <t>Enterprise</t>
        </is>
      </c>
      <c r="G1479" t="inlineStr">
        <is>
          <t>Reporting</t>
        </is>
      </c>
      <c r="H1479" t="inlineStr">
        <is>
          <t>Feature Request</t>
        </is>
      </c>
      <c r="I1479" t="inlineStr">
        <is>
          <t>Great support experience recently. Without report scheduling we export raw data and rebuild everything elsewhere. So far 38 people on our side have reported it. Keep up the good work.</t>
        </is>
      </c>
      <c r="J1479" t="inlineStr">
        <is>
          <t>Positive</t>
        </is>
      </c>
      <c r="K1479" t="inlineStr">
        <is>
          <t>Critical</t>
        </is>
      </c>
      <c r="L1479" t="inlineStr">
        <is>
          <t>Revenue/Operations Risk</t>
        </is>
      </c>
      <c r="M1479" t="inlineStr">
        <is>
          <t>rep_custom</t>
        </is>
      </c>
      <c r="N1479" t="inlineStr">
        <is>
          <t>Custom and scheduled reports</t>
        </is>
      </c>
      <c r="O1479" t="inlineStr">
        <is>
          <t>2026-09</t>
        </is>
      </c>
    </row>
    <row r="1480">
      <c r="A1480" t="inlineStr">
        <is>
          <t>FB-01479</t>
        </is>
      </c>
      <c r="B1480" t="inlineStr">
        <is>
          <t>CUST-0123</t>
        </is>
      </c>
      <c r="C1480" s="11" t="n">
        <v>46291</v>
      </c>
      <c r="D1480" t="inlineStr">
        <is>
          <t>Feature Request</t>
        </is>
      </c>
      <c r="E1480" t="inlineStr">
        <is>
          <t>Professional</t>
        </is>
      </c>
      <c r="F1480" t="inlineStr">
        <is>
          <t>Mid-Market</t>
        </is>
      </c>
      <c r="G1480" t="inlineStr">
        <is>
          <t>Workflow Automation</t>
        </is>
      </c>
      <c r="H1480" t="inlineStr">
        <is>
          <t>Feature Request</t>
        </is>
      </c>
      <c r="I1480" t="inlineStr">
        <is>
          <t>Quick note from our admin. A library of prebuilt automations would cut our setup time.</t>
        </is>
      </c>
      <c r="J1480" t="inlineStr">
        <is>
          <t>Neutral</t>
        </is>
      </c>
      <c r="K1480" t="inlineStr">
        <is>
          <t>Low</t>
        </is>
      </c>
      <c r="L1480" t="inlineStr">
        <is>
          <t>Minor Inconvenience</t>
        </is>
      </c>
      <c r="M1480" t="inlineStr">
        <is>
          <t>wf_templates</t>
        </is>
      </c>
      <c r="N1480" t="inlineStr">
        <is>
          <t>Workflow templates</t>
        </is>
      </c>
      <c r="O1480" t="inlineStr">
        <is>
          <t>2026-09</t>
        </is>
      </c>
    </row>
    <row r="1481">
      <c r="A1481" t="inlineStr">
        <is>
          <t>FB-01480</t>
        </is>
      </c>
      <c r="B1481" t="inlineStr">
        <is>
          <t>CUST-0096</t>
        </is>
      </c>
      <c r="C1481" s="11" t="n">
        <v>46292</v>
      </c>
      <c r="D1481" t="inlineStr">
        <is>
          <t>Feature Request</t>
        </is>
      </c>
      <c r="E1481" t="inlineStr">
        <is>
          <t>Enterprise</t>
        </is>
      </c>
      <c r="F1481" t="inlineStr">
        <is>
          <t>Enterprise</t>
        </is>
      </c>
      <c r="G1481" t="inlineStr">
        <is>
          <t>Integrations</t>
        </is>
      </c>
      <c r="H1481" t="inlineStr">
        <is>
          <t>Feature Request</t>
        </is>
      </c>
      <c r="I1481" t="inlineStr">
        <is>
          <t>Sharing this from our team. Requesting a native accounting integration to remove manual re-entry. So far 25 people on our side have reported it.</t>
        </is>
      </c>
      <c r="J1481" t="inlineStr">
        <is>
          <t>Neutral</t>
        </is>
      </c>
      <c r="K1481" t="inlineStr">
        <is>
          <t>High</t>
        </is>
      </c>
      <c r="L1481" t="inlineStr">
        <is>
          <t>Blocks Key Task</t>
        </is>
      </c>
      <c r="M1481" t="inlineStr">
        <is>
          <t>int_native</t>
        </is>
      </c>
      <c r="N1481" t="inlineStr">
        <is>
          <t>Native integrations</t>
        </is>
      </c>
      <c r="O1481" t="inlineStr">
        <is>
          <t>2026-09</t>
        </is>
      </c>
    </row>
    <row r="1482">
      <c r="A1482" t="inlineStr">
        <is>
          <t>FB-01481</t>
        </is>
      </c>
      <c r="B1482" t="inlineStr">
        <is>
          <t>CUST-0381</t>
        </is>
      </c>
      <c r="C1482" s="11" t="n">
        <v>46292</v>
      </c>
      <c r="D1482" t="inlineStr">
        <is>
          <t>In-App Feedback</t>
        </is>
      </c>
      <c r="E1482" t="inlineStr">
        <is>
          <t>Professional</t>
        </is>
      </c>
      <c r="F1482" t="inlineStr">
        <is>
          <t>Mid-Market</t>
        </is>
      </c>
      <c r="G1482" t="inlineStr">
        <is>
          <t>User Interface</t>
        </is>
      </c>
      <c r="H1482" t="inlineStr">
        <is>
          <t>Feature Request</t>
        </is>
      </c>
      <c r="I1482" t="inlineStr">
        <is>
          <t>This has been a recurring problem for us. We lose notes whenever reps are away from a desk without a mobile app. It affects our renewal process every cycle.</t>
        </is>
      </c>
      <c r="J1482" t="inlineStr">
        <is>
          <t>Negative</t>
        </is>
      </c>
      <c r="K1482" t="inlineStr">
        <is>
          <t>Low</t>
        </is>
      </c>
      <c r="L1482" t="inlineStr">
        <is>
          <t>Blocks Key Task</t>
        </is>
      </c>
      <c r="M1482" t="inlineStr">
        <is>
          <t>ui_mobile</t>
        </is>
      </c>
      <c r="N1482" t="inlineStr">
        <is>
          <t>Mobile app</t>
        </is>
      </c>
      <c r="O1482" t="inlineStr">
        <is>
          <t>2026-09</t>
        </is>
      </c>
    </row>
    <row r="1483">
      <c r="A1483" t="inlineStr">
        <is>
          <t>FB-01482</t>
        </is>
      </c>
      <c r="B1483" t="inlineStr">
        <is>
          <t>CUST-0002</t>
        </is>
      </c>
      <c r="C1483" s="11" t="n">
        <v>46292</v>
      </c>
      <c r="D1483" t="inlineStr">
        <is>
          <t>Feature Request</t>
        </is>
      </c>
      <c r="E1483" t="inlineStr">
        <is>
          <t>Starter</t>
        </is>
      </c>
      <c r="F1483" t="inlineStr">
        <is>
          <t>SMB</t>
        </is>
      </c>
      <c r="G1483" t="inlineStr">
        <is>
          <t>Contact Management</t>
        </is>
      </c>
      <c r="H1483" t="inlineStr">
        <is>
          <t>Feature Request</t>
        </is>
      </c>
      <c r="I1483" t="inlineStr">
        <is>
          <t>Contact de-duplication tooling that keeps activity history would save our ops team hours. Happy to join a feedback call.</t>
        </is>
      </c>
      <c r="J1483" t="inlineStr">
        <is>
          <t>Neutral</t>
        </is>
      </c>
      <c r="K1483" t="inlineStr">
        <is>
          <t>Critical</t>
        </is>
      </c>
      <c r="L1483" t="inlineStr">
        <is>
          <t>Revenue/Operations Risk</t>
        </is>
      </c>
      <c r="M1483" t="inlineStr">
        <is>
          <t>contact_dedupe</t>
        </is>
      </c>
      <c r="N1483" t="inlineStr">
        <is>
          <t>Bulk contact merge</t>
        </is>
      </c>
      <c r="O1483" t="inlineStr">
        <is>
          <t>2026-09</t>
        </is>
      </c>
    </row>
    <row r="1484">
      <c r="A1484" t="inlineStr">
        <is>
          <t>FB-01483</t>
        </is>
      </c>
      <c r="B1484" t="inlineStr">
        <is>
          <t>CUST-0080</t>
        </is>
      </c>
      <c r="C1484" s="11" t="n">
        <v>46292</v>
      </c>
      <c r="D1484" t="inlineStr">
        <is>
          <t>In-App Feedback</t>
        </is>
      </c>
      <c r="E1484" t="inlineStr">
        <is>
          <t>Professional</t>
        </is>
      </c>
      <c r="F1484" t="inlineStr">
        <is>
          <t>Mid-Market</t>
        </is>
      </c>
      <c r="G1484" t="inlineStr">
        <is>
          <t>Integrations</t>
        </is>
      </c>
      <c r="H1484" t="inlineStr">
        <is>
          <t>Integration Issue</t>
        </is>
      </c>
      <c r="I1484" t="inlineStr">
        <is>
          <t>This has been a recurring problem for us. Hard to debug: webhook delivery fail with vague error codes. Our sales manager flagged it while onboarding 37 new users. We need a fix before renewal.</t>
        </is>
      </c>
      <c r="J1484" t="inlineStr">
        <is>
          <t>Negative</t>
        </is>
      </c>
      <c r="K1484" t="inlineStr">
        <is>
          <t>Medium</t>
        </is>
      </c>
      <c r="L1484" t="inlineStr">
        <is>
          <t>Workflow Slowdown</t>
        </is>
      </c>
      <c r="M1484" t="inlineStr">
        <is>
          <t>int_api</t>
        </is>
      </c>
      <c r="N1484" t="inlineStr">
        <is>
          <t>API limits and webhook failures</t>
        </is>
      </c>
      <c r="O1484" t="inlineStr">
        <is>
          <t>2026-09</t>
        </is>
      </c>
    </row>
    <row r="1485">
      <c r="A1485" t="inlineStr">
        <is>
          <t>FB-01484</t>
        </is>
      </c>
      <c r="B1485" t="inlineStr">
        <is>
          <t>CUST-0208</t>
        </is>
      </c>
      <c r="C1485" s="11" t="n">
        <v>46293</v>
      </c>
      <c r="D1485" t="inlineStr">
        <is>
          <t>Support Ticket</t>
        </is>
      </c>
      <c r="E1485" t="inlineStr">
        <is>
          <t>Starter</t>
        </is>
      </c>
      <c r="F1485" t="inlineStr">
        <is>
          <t>SMB</t>
        </is>
      </c>
      <c r="G1485" t="inlineStr">
        <is>
          <t>Contact Management</t>
        </is>
      </c>
      <c r="H1485" t="inlineStr">
        <is>
          <t>Bug</t>
        </is>
      </c>
      <c r="I1485" t="inlineStr">
        <is>
          <t>The spreadsheet import silently skipped rows and we only noticed days later. Our admin flagged it while onboarding 8 new users. Let us know if you need examples.</t>
        </is>
      </c>
      <c r="J1485" t="inlineStr">
        <is>
          <t>Neutral</t>
        </is>
      </c>
      <c r="K1485" t="inlineStr">
        <is>
          <t>High</t>
        </is>
      </c>
      <c r="L1485" t="inlineStr">
        <is>
          <t>Workflow Slowdown</t>
        </is>
      </c>
      <c r="M1485" t="inlineStr">
        <is>
          <t>contact_import</t>
        </is>
      </c>
      <c r="N1485" t="inlineStr">
        <is>
          <t>Unreliable contact imports</t>
        </is>
      </c>
      <c r="O1485" t="inlineStr">
        <is>
          <t>2026-09</t>
        </is>
      </c>
    </row>
    <row r="1486">
      <c r="A1486" t="inlineStr">
        <is>
          <t>FB-01485</t>
        </is>
      </c>
      <c r="B1486" t="inlineStr">
        <is>
          <t>CUST-0306</t>
        </is>
      </c>
      <c r="C1486" s="11" t="n">
        <v>46293</v>
      </c>
      <c r="D1486" t="inlineStr">
        <is>
          <t>Customer Survey</t>
        </is>
      </c>
      <c r="E1486" t="inlineStr">
        <is>
          <t>Professional</t>
        </is>
      </c>
      <c r="F1486" t="inlineStr">
        <is>
          <t>SMB</t>
        </is>
      </c>
      <c r="G1486" t="inlineStr">
        <is>
          <t>Workflow Automation</t>
        </is>
      </c>
      <c r="H1486" t="inlineStr">
        <is>
          <t>Usability Issue</t>
        </is>
      </c>
      <c r="I1486" t="inlineStr">
        <is>
          <t>I can't tell what a branch does in the workflow editor without opening every node. So far 102 people on our side have reported it. We need a fix before renewal.</t>
        </is>
      </c>
      <c r="J1486" t="inlineStr">
        <is>
          <t>Negative</t>
        </is>
      </c>
      <c r="K1486" t="inlineStr">
        <is>
          <t>Low</t>
        </is>
      </c>
      <c r="L1486" t="inlineStr">
        <is>
          <t>Workflow Slowdown</t>
        </is>
      </c>
      <c r="M1486" t="inlineStr">
        <is>
          <t>wf_builder</t>
        </is>
      </c>
      <c r="N1486" t="inlineStr">
        <is>
          <t>Confusing workflow builder</t>
        </is>
      </c>
      <c r="O1486" t="inlineStr">
        <is>
          <t>2026-09</t>
        </is>
      </c>
    </row>
    <row r="1487">
      <c r="A1487" t="inlineStr">
        <is>
          <t>FB-01486</t>
        </is>
      </c>
      <c r="B1487" t="inlineStr">
        <is>
          <t>CUST-0154</t>
        </is>
      </c>
      <c r="C1487" s="11" t="n">
        <v>46293</v>
      </c>
      <c r="D1487" t="inlineStr">
        <is>
          <t>In-App Feedback</t>
        </is>
      </c>
      <c r="E1487" t="inlineStr">
        <is>
          <t>Professional</t>
        </is>
      </c>
      <c r="F1487" t="inlineStr">
        <is>
          <t>SMB</t>
        </is>
      </c>
      <c r="G1487" t="inlineStr">
        <is>
          <t>Lead Management</t>
        </is>
      </c>
      <c r="H1487" t="inlineStr">
        <is>
          <t>Bug</t>
        </is>
      </c>
      <c r="I1487" t="inlineStr">
        <is>
          <t>Not what we expected for the price. There are lead de-duplication failures across our pipeline views and nobody knows which record is the source of truth. It affects our month-end reporting process every cycle. Is there a workaround?</t>
        </is>
      </c>
      <c r="J1487" t="inlineStr">
        <is>
          <t>Negative</t>
        </is>
      </c>
      <c r="K1487" t="inlineStr">
        <is>
          <t>High</t>
        </is>
      </c>
      <c r="L1487" t="inlineStr">
        <is>
          <t>Workflow Slowdown</t>
        </is>
      </c>
      <c r="M1487" t="inlineStr">
        <is>
          <t>lead_dup</t>
        </is>
      </c>
      <c r="N1487" t="inlineStr">
        <is>
          <t>Duplicate leads created</t>
        </is>
      </c>
      <c r="O1487" t="inlineStr">
        <is>
          <t>2026-09</t>
        </is>
      </c>
    </row>
    <row r="1488">
      <c r="A1488" t="inlineStr">
        <is>
          <t>FB-01487</t>
        </is>
      </c>
      <c r="B1488" t="inlineStr">
        <is>
          <t>CUST-0224</t>
        </is>
      </c>
      <c r="C1488" s="11" t="n">
        <v>46293</v>
      </c>
      <c r="D1488" t="inlineStr">
        <is>
          <t>Feature Request</t>
        </is>
      </c>
      <c r="E1488" t="inlineStr">
        <is>
          <t>Enterprise</t>
        </is>
      </c>
      <c r="F1488" t="inlineStr">
        <is>
          <t>Mid-Market</t>
        </is>
      </c>
      <c r="G1488" t="inlineStr">
        <is>
          <t>Integrations</t>
        </is>
      </c>
      <c r="H1488" t="inlineStr">
        <is>
          <t>Feature Request</t>
        </is>
      </c>
      <c r="I1488" t="inlineStr">
        <is>
          <t>Great support experience recently. Please add SAML login; managing users by hand does not scale. Our sales manager flagged it while onboarding 63 new users. Keep up the good work.</t>
        </is>
      </c>
      <c r="J1488" t="inlineStr">
        <is>
          <t>Positive</t>
        </is>
      </c>
      <c r="K1488" t="inlineStr">
        <is>
          <t>Low</t>
        </is>
      </c>
      <c r="L1488" t="inlineStr">
        <is>
          <t>Minor Inconvenience</t>
        </is>
      </c>
      <c r="M1488" t="inlineStr">
        <is>
          <t>int_sso</t>
        </is>
      </c>
      <c r="N1488" t="inlineStr">
        <is>
          <t>SSO and provisioning</t>
        </is>
      </c>
      <c r="O1488" t="inlineStr">
        <is>
          <t>2026-09</t>
        </is>
      </c>
    </row>
    <row r="1489">
      <c r="A1489" t="inlineStr">
        <is>
          <t>FB-01488</t>
        </is>
      </c>
      <c r="B1489" t="inlineStr">
        <is>
          <t>CUST-0202</t>
        </is>
      </c>
      <c r="C1489" s="11" t="n">
        <v>46293</v>
      </c>
      <c r="D1489" t="inlineStr">
        <is>
          <t>Support Ticket</t>
        </is>
      </c>
      <c r="E1489" t="inlineStr">
        <is>
          <t>Enterprise</t>
        </is>
      </c>
      <c r="F1489" t="inlineStr">
        <is>
          <t>Enterprise</t>
        </is>
      </c>
      <c r="G1489" t="inlineStr">
        <is>
          <t>Workflow Automation</t>
        </is>
      </c>
      <c r="H1489" t="inlineStr">
        <is>
          <t>Bug</t>
        </is>
      </c>
      <c r="I1489" t="inlineStr">
        <is>
          <t>Since the last release we've had workflow runs failing silently and tasks are being created twice. Is there a workaround?</t>
        </is>
      </c>
      <c r="J1489" t="inlineStr">
        <is>
          <t>Negative</t>
        </is>
      </c>
      <c r="K1489" t="inlineStr">
        <is>
          <t>High</t>
        </is>
      </c>
      <c r="L1489" t="inlineStr">
        <is>
          <t>Revenue/Operations Risk</t>
        </is>
      </c>
      <c r="M1489" t="inlineStr">
        <is>
          <t>wf_fail</t>
        </is>
      </c>
      <c r="N1489" t="inlineStr">
        <is>
          <t>Workflows failing silently</t>
        </is>
      </c>
      <c r="O1489" t="inlineStr">
        <is>
          <t>2026-09</t>
        </is>
      </c>
    </row>
    <row r="1490">
      <c r="A1490" t="inlineStr">
        <is>
          <t>FB-01489</t>
        </is>
      </c>
      <c r="B1490" t="inlineStr">
        <is>
          <t>CUST-0414</t>
        </is>
      </c>
      <c r="C1490" s="11" t="n">
        <v>46293</v>
      </c>
      <c r="D1490" t="inlineStr">
        <is>
          <t>Support Ticket</t>
        </is>
      </c>
      <c r="E1490" t="inlineStr">
        <is>
          <t>Professional</t>
        </is>
      </c>
      <c r="F1490" t="inlineStr">
        <is>
          <t>Enterprise</t>
        </is>
      </c>
      <c r="G1490" t="inlineStr">
        <is>
          <t>Contact Management</t>
        </is>
      </c>
      <c r="H1490" t="inlineStr">
        <is>
          <t>Bug</t>
        </is>
      </c>
      <c r="I1490" t="inlineStr">
        <is>
          <t>Our team keeps running into this. The spreadsheet import silently skipped rows and we only noticed days later. So far 63 people on our side have reported it. We need a fix before renewal.</t>
        </is>
      </c>
      <c r="J1490" t="inlineStr">
        <is>
          <t>Negative</t>
        </is>
      </c>
      <c r="K1490" t="inlineStr">
        <is>
          <t>Critical</t>
        </is>
      </c>
      <c r="L1490" t="inlineStr">
        <is>
          <t>Blocks Key Task</t>
        </is>
      </c>
      <c r="M1490" t="inlineStr">
        <is>
          <t>contact_import</t>
        </is>
      </c>
      <c r="N1490" t="inlineStr">
        <is>
          <t>Unreliable contact imports</t>
        </is>
      </c>
      <c r="O1490" t="inlineStr">
        <is>
          <t>2026-09</t>
        </is>
      </c>
    </row>
    <row r="1491">
      <c r="A1491" t="inlineStr">
        <is>
          <t>FB-01490</t>
        </is>
      </c>
      <c r="B1491" t="inlineStr">
        <is>
          <t>CUST-0264</t>
        </is>
      </c>
      <c r="C1491" s="11" t="n">
        <v>46293</v>
      </c>
      <c r="D1491" t="inlineStr">
        <is>
          <t>Feature Request</t>
        </is>
      </c>
      <c r="E1491" t="inlineStr">
        <is>
          <t>Professional</t>
        </is>
      </c>
      <c r="F1491" t="inlineStr">
        <is>
          <t>Mid-Market</t>
        </is>
      </c>
      <c r="G1491" t="inlineStr">
        <is>
          <t>User Interface</t>
        </is>
      </c>
      <c r="H1491" t="inlineStr">
        <is>
          <t>Feature Request</t>
        </is>
      </c>
      <c r="I1491" t="inlineStr">
        <is>
          <t>We need bulk actions on lists to update owners and stages for many records at once. It affects our weekly pipeline review process every cycle.</t>
        </is>
      </c>
      <c r="J1491" t="inlineStr">
        <is>
          <t>Positive</t>
        </is>
      </c>
      <c r="K1491" t="inlineStr">
        <is>
          <t>Medium</t>
        </is>
      </c>
      <c r="L1491" t="inlineStr">
        <is>
          <t>Minor Inconvenience</t>
        </is>
      </c>
      <c r="M1491" t="inlineStr">
        <is>
          <t>ui_bulk</t>
        </is>
      </c>
      <c r="N1491" t="inlineStr">
        <is>
          <t>Bulk actions</t>
        </is>
      </c>
      <c r="O1491" t="inlineStr">
        <is>
          <t>2026-09</t>
        </is>
      </c>
    </row>
    <row r="1492">
      <c r="A1492" t="inlineStr">
        <is>
          <t>FB-01491</t>
        </is>
      </c>
      <c r="B1492" t="inlineStr">
        <is>
          <t>CUST-0186</t>
        </is>
      </c>
      <c r="C1492" s="11" t="n">
        <v>46293</v>
      </c>
      <c r="D1492" t="inlineStr">
        <is>
          <t>In-App Feedback</t>
        </is>
      </c>
      <c r="E1492" t="inlineStr">
        <is>
          <t>Professional</t>
        </is>
      </c>
      <c r="F1492" t="inlineStr">
        <is>
          <t>SMB</t>
        </is>
      </c>
      <c r="G1492" t="inlineStr">
        <is>
          <t>Integrations</t>
        </is>
      </c>
      <c r="H1492" t="inlineStr">
        <is>
          <t>Integration Issue</t>
        </is>
      </c>
      <c r="I1492" t="inlineStr">
        <is>
          <t>Feedback from our monthly review. The Outlook calendar sync duplicates meetings and misses replies. It happens about 23 times a week for our team of 105.</t>
        </is>
      </c>
      <c r="J1492" t="inlineStr">
        <is>
          <t>Neutral</t>
        </is>
      </c>
      <c r="K1492" t="inlineStr">
        <is>
          <t>Medium</t>
        </is>
      </c>
      <c r="L1492" t="inlineStr">
        <is>
          <t>Workflow Slowdown</t>
        </is>
      </c>
      <c r="M1492" t="inlineStr">
        <is>
          <t>int_email</t>
        </is>
      </c>
      <c r="N1492" t="inlineStr">
        <is>
          <t>Email and calendar sync drops</t>
        </is>
      </c>
      <c r="O1492" t="inlineStr">
        <is>
          <t>2026-09</t>
        </is>
      </c>
    </row>
    <row r="1493">
      <c r="A1493" t="inlineStr">
        <is>
          <t>FB-01492</t>
        </is>
      </c>
      <c r="B1493" t="inlineStr">
        <is>
          <t>CUST-0258</t>
        </is>
      </c>
      <c r="C1493" s="11" t="n">
        <v>46294</v>
      </c>
      <c r="D1493" t="inlineStr">
        <is>
          <t>Support Ticket</t>
        </is>
      </c>
      <c r="E1493" t="inlineStr">
        <is>
          <t>Professional</t>
        </is>
      </c>
      <c r="F1493" t="inlineStr">
        <is>
          <t>Mid-Market</t>
        </is>
      </c>
      <c r="G1493" t="inlineStr">
        <is>
          <t>Workflow Automation</t>
        </is>
      </c>
      <c r="H1493" t="inlineStr">
        <is>
          <t>Feature Request</t>
        </is>
      </c>
      <c r="I1493" t="inlineStr">
        <is>
          <t>Recent updates have been a nice improvement. We'd adopt automation faster with prebuilt automations we could customize. It happens about 23 times a week for our team of 64. Thanks to the team.</t>
        </is>
      </c>
      <c r="J1493" t="inlineStr">
        <is>
          <t>Positive</t>
        </is>
      </c>
      <c r="K1493" t="inlineStr">
        <is>
          <t>Low</t>
        </is>
      </c>
      <c r="L1493" t="inlineStr">
        <is>
          <t>Minor Inconvenience</t>
        </is>
      </c>
      <c r="M1493" t="inlineStr">
        <is>
          <t>wf_templates</t>
        </is>
      </c>
      <c r="N1493" t="inlineStr">
        <is>
          <t>Workflow templates</t>
        </is>
      </c>
      <c r="O1493" t="inlineStr">
        <is>
          <t>2026-09</t>
        </is>
      </c>
    </row>
    <row r="1494">
      <c r="A1494" t="inlineStr">
        <is>
          <t>FB-01493</t>
        </is>
      </c>
      <c r="B1494" t="inlineStr">
        <is>
          <t>CUST-0141</t>
        </is>
      </c>
      <c r="C1494" s="11" t="n">
        <v>46294</v>
      </c>
      <c r="D1494" t="inlineStr">
        <is>
          <t>Support Ticket</t>
        </is>
      </c>
      <c r="E1494" t="inlineStr">
        <is>
          <t>Enterprise</t>
        </is>
      </c>
      <c r="F1494" t="inlineStr">
        <is>
          <t>Enterprise</t>
        </is>
      </c>
      <c r="G1494" t="inlineStr">
        <is>
          <t>Workflow Automation</t>
        </is>
      </c>
      <c r="H1494" t="inlineStr">
        <is>
          <t>Usability Issue</t>
        </is>
      </c>
      <c r="I1494" t="inlineStr">
        <is>
          <t>Our new admins struggle with the workflow editor; there is no guidance or validation. Our admin flagged it while onboarding 10 new users.</t>
        </is>
      </c>
      <c r="J1494" t="inlineStr">
        <is>
          <t>Neutral</t>
        </is>
      </c>
      <c r="K1494" t="inlineStr">
        <is>
          <t>Low</t>
        </is>
      </c>
      <c r="L1494" t="inlineStr">
        <is>
          <t>Minor Inconvenience</t>
        </is>
      </c>
      <c r="M1494" t="inlineStr">
        <is>
          <t>wf_builder</t>
        </is>
      </c>
      <c r="N1494" t="inlineStr">
        <is>
          <t>Confusing workflow builder</t>
        </is>
      </c>
      <c r="O1494" t="inlineStr">
        <is>
          <t>2026-09</t>
        </is>
      </c>
    </row>
    <row r="1495">
      <c r="A1495" t="inlineStr">
        <is>
          <t>FB-01494</t>
        </is>
      </c>
      <c r="B1495" t="inlineStr">
        <is>
          <t>CUST-0100</t>
        </is>
      </c>
      <c r="C1495" s="11" t="n">
        <v>46294</v>
      </c>
      <c r="D1495" t="inlineStr">
        <is>
          <t>In-App Feedback</t>
        </is>
      </c>
      <c r="E1495" t="inlineStr">
        <is>
          <t>Professional</t>
        </is>
      </c>
      <c r="F1495" t="inlineStr">
        <is>
          <t>Mid-Market</t>
        </is>
      </c>
      <c r="G1495" t="inlineStr">
        <is>
          <t>User Interface</t>
        </is>
      </c>
      <c r="H1495" t="inlineStr">
        <is>
          <t>Performance Issue</t>
        </is>
      </c>
      <c r="I1495" t="inlineStr">
        <is>
          <t>Frustrated with this one. Since the redesign there is more page lag on older laptops. We need a fix before renewal.</t>
        </is>
      </c>
      <c r="J1495" t="inlineStr">
        <is>
          <t>Negative</t>
        </is>
      </c>
      <c r="K1495" t="inlineStr">
        <is>
          <t>High</t>
        </is>
      </c>
      <c r="L1495" t="inlineStr">
        <is>
          <t>Blocks Key Task</t>
        </is>
      </c>
      <c r="M1495" t="inlineStr">
        <is>
          <t>ui_perf</t>
        </is>
      </c>
      <c r="N1495" t="inlineStr">
        <is>
          <t>Laggy pages</t>
        </is>
      </c>
      <c r="O1495" t="inlineStr">
        <is>
          <t>2026-09</t>
        </is>
      </c>
    </row>
    <row r="1496">
      <c r="A1496" t="inlineStr">
        <is>
          <t>FB-01495</t>
        </is>
      </c>
      <c r="B1496" t="inlineStr">
        <is>
          <t>CUST-0145</t>
        </is>
      </c>
      <c r="C1496" s="11" t="n">
        <v>46295</v>
      </c>
      <c r="D1496" t="inlineStr">
        <is>
          <t>In-App Feedback</t>
        </is>
      </c>
      <c r="E1496" t="inlineStr">
        <is>
          <t>Professional</t>
        </is>
      </c>
      <c r="F1496" t="inlineStr">
        <is>
          <t>SMB</t>
        </is>
      </c>
      <c r="G1496" t="inlineStr">
        <is>
          <t>Integrations</t>
        </is>
      </c>
      <c r="H1496" t="inlineStr">
        <is>
          <t>Integration Issue</t>
        </is>
      </c>
      <c r="I1496" t="inlineStr">
        <is>
          <t>Not what we expected for the price. Our Outlook calendar sync keeps disconnecting and activities are missing from the contact timeline. Support suggested logging it here.</t>
        </is>
      </c>
      <c r="J1496" t="inlineStr">
        <is>
          <t>Negative</t>
        </is>
      </c>
      <c r="K1496" t="inlineStr">
        <is>
          <t>High</t>
        </is>
      </c>
      <c r="L1496" t="inlineStr">
        <is>
          <t>Revenue/Operations Risk</t>
        </is>
      </c>
      <c r="M1496" t="inlineStr">
        <is>
          <t>int_email</t>
        </is>
      </c>
      <c r="N1496" t="inlineStr">
        <is>
          <t>Email and calendar sync drops</t>
        </is>
      </c>
      <c r="O1496" t="inlineStr">
        <is>
          <t>2026-09</t>
        </is>
      </c>
    </row>
    <row r="1497">
      <c r="A1497" t="inlineStr">
        <is>
          <t>FB-01496</t>
        </is>
      </c>
      <c r="B1497" t="inlineStr">
        <is>
          <t>CUST-0257</t>
        </is>
      </c>
      <c r="C1497" s="11" t="n">
        <v>46295</v>
      </c>
      <c r="D1497" t="inlineStr">
        <is>
          <t>Feature Request</t>
        </is>
      </c>
      <c r="E1497" t="inlineStr">
        <is>
          <t>Enterprise</t>
        </is>
      </c>
      <c r="F1497" t="inlineStr">
        <is>
          <t>Mid-Market</t>
        </is>
      </c>
      <c r="G1497" t="inlineStr">
        <is>
          <t>Workflow Automation</t>
        </is>
      </c>
      <c r="H1497" t="inlineStr">
        <is>
          <t>Feature Request</t>
        </is>
      </c>
      <c r="I1497" t="inlineStr">
        <is>
          <t>Feedback from our monthly review. Competitors ship automation recipes; we are rebuilding the same flows from scratch. It affects our weekly pipeline review process every cycle.</t>
        </is>
      </c>
      <c r="J1497" t="inlineStr">
        <is>
          <t>Neutral</t>
        </is>
      </c>
      <c r="K1497" t="inlineStr">
        <is>
          <t>High</t>
        </is>
      </c>
      <c r="L1497" t="inlineStr">
        <is>
          <t>Blocks Key Task</t>
        </is>
      </c>
      <c r="M1497" t="inlineStr">
        <is>
          <t>wf_templates</t>
        </is>
      </c>
      <c r="N1497" t="inlineStr">
        <is>
          <t>Workflow templates</t>
        </is>
      </c>
      <c r="O1497" t="inlineStr">
        <is>
          <t>2026-09</t>
        </is>
      </c>
    </row>
    <row r="1498">
      <c r="A1498" t="inlineStr">
        <is>
          <t>FB-01497</t>
        </is>
      </c>
      <c r="B1498" t="inlineStr">
        <is>
          <t>CUST-0063</t>
        </is>
      </c>
      <c r="C1498" s="11" t="n">
        <v>46295</v>
      </c>
      <c r="D1498" t="inlineStr">
        <is>
          <t>In-App Feedback</t>
        </is>
      </c>
      <c r="E1498" t="inlineStr">
        <is>
          <t>Starter</t>
        </is>
      </c>
      <c r="F1498" t="inlineStr">
        <is>
          <t>SMB</t>
        </is>
      </c>
      <c r="G1498" t="inlineStr">
        <is>
          <t>Lead Management</t>
        </is>
      </c>
      <c r="H1498" t="inlineStr">
        <is>
          <t>Usability Issue</t>
        </is>
      </c>
      <c r="I1498" t="inlineStr">
        <is>
          <t>It is hard to understand how round-robin lead assignment decide who owns a lead. We estimate we lose roughly 6 hours a month on this.</t>
        </is>
      </c>
      <c r="J1498" t="inlineStr">
        <is>
          <t>Neutral</t>
        </is>
      </c>
      <c r="K1498" t="inlineStr">
        <is>
          <t>High</t>
        </is>
      </c>
      <c r="L1498" t="inlineStr">
        <is>
          <t>Revenue/Operations Risk</t>
        </is>
      </c>
      <c r="M1498" t="inlineStr">
        <is>
          <t>lead_assign</t>
        </is>
      </c>
      <c r="N1498" t="inlineStr">
        <is>
          <t>Lead routing is inflexible</t>
        </is>
      </c>
      <c r="O1498" t="inlineStr">
        <is>
          <t>2026-09</t>
        </is>
      </c>
    </row>
    <row r="1499">
      <c r="A1499" t="inlineStr">
        <is>
          <t>FB-01498</t>
        </is>
      </c>
      <c r="B1499" t="inlineStr">
        <is>
          <t>CUST-0229</t>
        </is>
      </c>
      <c r="C1499" s="11" t="n">
        <v>46295</v>
      </c>
      <c r="D1499" t="inlineStr">
        <is>
          <t>Feature Request</t>
        </is>
      </c>
      <c r="E1499" t="inlineStr">
        <is>
          <t>Starter</t>
        </is>
      </c>
      <c r="F1499" t="inlineStr">
        <is>
          <t>Mid-Market</t>
        </is>
      </c>
      <c r="G1499" t="inlineStr">
        <is>
          <t>Lead Management</t>
        </is>
      </c>
      <c r="H1499" t="inlineStr">
        <is>
          <t>Feature Request</t>
        </is>
      </c>
      <c r="I1499" t="inlineStr">
        <is>
          <t>Recent updates have been a nice improvement. Would love to see lead scoring rules that marketing and sales can both tune. It happens about 37 times a week for our team of 21. Happy to beta test.</t>
        </is>
      </c>
      <c r="J1499" t="inlineStr">
        <is>
          <t>Positive</t>
        </is>
      </c>
      <c r="K1499" t="inlineStr">
        <is>
          <t>Low</t>
        </is>
      </c>
      <c r="L1499" t="inlineStr">
        <is>
          <t>Minor Inconvenience</t>
        </is>
      </c>
      <c r="M1499" t="inlineStr">
        <is>
          <t>lead_score</t>
        </is>
      </c>
      <c r="N1499" t="inlineStr">
        <is>
          <t>Automated lead scoring</t>
        </is>
      </c>
      <c r="O1499" t="inlineStr">
        <is>
          <t>2026-09</t>
        </is>
      </c>
    </row>
    <row r="1500">
      <c r="A1500" t="inlineStr">
        <is>
          <t>FB-01499</t>
        </is>
      </c>
      <c r="B1500" t="inlineStr">
        <is>
          <t>CUST-0371</t>
        </is>
      </c>
      <c r="C1500" s="11" t="n">
        <v>46295</v>
      </c>
      <c r="D1500" t="inlineStr">
        <is>
          <t>In-App Feedback</t>
        </is>
      </c>
      <c r="E1500" t="inlineStr">
        <is>
          <t>Enterprise</t>
        </is>
      </c>
      <c r="F1500" t="inlineStr">
        <is>
          <t>Enterprise</t>
        </is>
      </c>
      <c r="G1500" t="inlineStr">
        <is>
          <t>Integrations</t>
        </is>
      </c>
      <c r="H1500" t="inlineStr">
        <is>
          <t>Integration Issue</t>
        </is>
      </c>
      <c r="I1500" t="inlineStr">
        <is>
          <t>Raising this again after our last business review. We keep hitting API timeouts during nightly syncs with our data warehouse. Please look into it soon.</t>
        </is>
      </c>
      <c r="J1500" t="inlineStr">
        <is>
          <t>Negative</t>
        </is>
      </c>
      <c r="K1500" t="inlineStr">
        <is>
          <t>Medium</t>
        </is>
      </c>
      <c r="L1500" t="inlineStr">
        <is>
          <t>Workflow Slowdown</t>
        </is>
      </c>
      <c r="M1500" t="inlineStr">
        <is>
          <t>int_api</t>
        </is>
      </c>
      <c r="N1500" t="inlineStr">
        <is>
          <t>API limits and webhook failures</t>
        </is>
      </c>
      <c r="O1500" t="inlineStr">
        <is>
          <t>2026-09</t>
        </is>
      </c>
    </row>
    <row r="1501">
      <c r="A1501" t="inlineStr">
        <is>
          <t>FB-01500</t>
        </is>
      </c>
      <c r="B1501" t="inlineStr">
        <is>
          <t>CUST-0339</t>
        </is>
      </c>
      <c r="C1501" s="11" t="n">
        <v>46295</v>
      </c>
      <c r="D1501" t="inlineStr">
        <is>
          <t>Support Ticket</t>
        </is>
      </c>
      <c r="E1501" t="inlineStr">
        <is>
          <t>Professional</t>
        </is>
      </c>
      <c r="F1501" t="inlineStr">
        <is>
          <t>Mid-Market</t>
        </is>
      </c>
      <c r="G1501" t="inlineStr">
        <is>
          <t>Integrations</t>
        </is>
      </c>
      <c r="H1501" t="inlineStr">
        <is>
          <t>Integration Issue</t>
        </is>
      </c>
      <c r="I1501" t="inlineStr">
        <is>
          <t>Our team keeps running into this. We keep hitting webhook delivery during nightly syncs with our data warehouse. It affects our onboarding process every cycle. Support suggested logging it here.</t>
        </is>
      </c>
      <c r="J1501" t="inlineStr">
        <is>
          <t>Negative</t>
        </is>
      </c>
      <c r="K1501" t="inlineStr">
        <is>
          <t>Medium</t>
        </is>
      </c>
      <c r="L1501" t="inlineStr">
        <is>
          <t>Blocks Key Task</t>
        </is>
      </c>
      <c r="M1501" t="inlineStr">
        <is>
          <t>int_api</t>
        </is>
      </c>
      <c r="N1501" t="inlineStr">
        <is>
          <t>API limits and webhook failures</t>
        </is>
      </c>
      <c r="O1501" t="inlineStr">
        <is>
          <t>2026-09</t>
        </is>
      </c>
    </row>
  </sheetData>
  <autoFilter ref="A1:O1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
  <sheetViews>
    <sheetView showGridLines="1" workbookViewId="0">
      <selection activeCell="A1" sqref="A1"/>
    </sheetView>
  </sheetViews>
  <sheetFormatPr baseColWidth="8" defaultRowHeight="15"/>
  <cols>
    <col width="38" customWidth="1" min="1" max="1"/>
    <col width="20" customWidth="1" min="2" max="2"/>
    <col width="20" customWidth="1" min="3" max="3"/>
    <col width="22" customWidth="1" min="4" max="4"/>
    <col width="18" customWidth="1" min="5" max="5"/>
    <col width="12" customWidth="1" min="6" max="6"/>
    <col width="14" customWidth="1" min="7" max="7"/>
  </cols>
  <sheetData>
    <row r="1">
      <c r="A1" s="1" t="inlineStr">
        <is>
          <t>Feedback Analysis</t>
        </is>
      </c>
    </row>
    <row r="2">
      <c r="A2" s="2" t="inlineStr">
        <is>
          <t>SYNTHETIC DATA — all records are randomly generated for a fictional CRM company; no real customers.</t>
        </is>
      </c>
    </row>
    <row r="3">
      <c r="A3" s="3" t="inlineStr">
        <is>
          <t>Record counts are live COUNTIF formulas on 'Cleaned Feedback'. Unique-customer counts are computed in Python (static). Volume ≠ customer prevalence.</t>
        </is>
      </c>
    </row>
    <row r="5">
      <c r="A5" s="4" t="inlineStr">
        <is>
          <t>Feature Area</t>
        </is>
      </c>
      <c r="B5" s="4" t="inlineStr">
        <is>
          <t>Feedback Records</t>
        </is>
      </c>
      <c r="C5" s="4" t="inlineStr">
        <is>
          <t>% of Records</t>
        </is>
      </c>
      <c r="D5" s="4" t="inlineStr">
        <is>
          <t>Unique Customers (static)</t>
        </is>
      </c>
    </row>
    <row r="6">
      <c r="A6" s="8" t="inlineStr">
        <is>
          <t>Workflow Automation</t>
        </is>
      </c>
      <c r="B6" s="8">
        <f>COUNTIF('Cleaned Feedback'!$G$2:$G$1501,A6)</f>
        <v/>
      </c>
      <c r="C6" s="12">
        <f>B6/COUNTA('Cleaned Feedback'!$A$2:$A$1501)</f>
        <v/>
      </c>
      <c r="D6" s="8" t="n">
        <v>175</v>
      </c>
    </row>
    <row r="7">
      <c r="A7" s="8" t="inlineStr">
        <is>
          <t>Integrations</t>
        </is>
      </c>
      <c r="B7" s="8">
        <f>COUNTIF('Cleaned Feedback'!$G$2:$G$1501,A7)</f>
        <v/>
      </c>
      <c r="C7" s="12">
        <f>B7/COUNTA('Cleaned Feedback'!$A$2:$A$1501)</f>
        <v/>
      </c>
      <c r="D7" s="8" t="n">
        <v>147</v>
      </c>
    </row>
    <row r="8">
      <c r="A8" s="8" t="inlineStr">
        <is>
          <t>Contact Management</t>
        </is>
      </c>
      <c r="B8" s="8">
        <f>COUNTIF('Cleaned Feedback'!$G$2:$G$1501,A8)</f>
        <v/>
      </c>
      <c r="C8" s="12">
        <f>B8/COUNTA('Cleaned Feedback'!$A$2:$A$1501)</f>
        <v/>
      </c>
      <c r="D8" s="8" t="n">
        <v>160</v>
      </c>
    </row>
    <row r="9">
      <c r="A9" s="8" t="inlineStr">
        <is>
          <t>Lead Management</t>
        </is>
      </c>
      <c r="B9" s="8">
        <f>COUNTIF('Cleaned Feedback'!$G$2:$G$1501,A9)</f>
        <v/>
      </c>
      <c r="C9" s="12">
        <f>B9/COUNTA('Cleaned Feedback'!$A$2:$A$1501)</f>
        <v/>
      </c>
      <c r="D9" s="8" t="n">
        <v>153</v>
      </c>
    </row>
    <row r="10">
      <c r="A10" s="8" t="inlineStr">
        <is>
          <t>Reporting</t>
        </is>
      </c>
      <c r="B10" s="8">
        <f>COUNTIF('Cleaned Feedback'!$G$2:$G$1501,A10)</f>
        <v/>
      </c>
      <c r="C10" s="12">
        <f>B10/COUNTA('Cleaned Feedback'!$A$2:$A$1501)</f>
        <v/>
      </c>
      <c r="D10" s="8" t="n">
        <v>138</v>
      </c>
    </row>
    <row r="11">
      <c r="A11" s="8" t="inlineStr">
        <is>
          <t>User Interface</t>
        </is>
      </c>
      <c r="B11" s="8">
        <f>COUNTIF('Cleaned Feedback'!$G$2:$G$1501,A11)</f>
        <v/>
      </c>
      <c r="C11" s="12">
        <f>B11/COUNTA('Cleaned Feedback'!$A$2:$A$1501)</f>
        <v/>
      </c>
      <c r="D11" s="8" t="n">
        <v>140</v>
      </c>
    </row>
    <row r="14">
      <c r="A14" s="4" t="inlineStr">
        <is>
          <t>Feedback Category</t>
        </is>
      </c>
      <c r="B14" s="4" t="inlineStr">
        <is>
          <t>Feedback Records</t>
        </is>
      </c>
      <c r="C14" s="4" t="inlineStr">
        <is>
          <t>% of Records</t>
        </is>
      </c>
      <c r="D14" s="4" t="inlineStr">
        <is>
          <t>Unique Customers (static)</t>
        </is>
      </c>
    </row>
    <row r="15">
      <c r="A15" s="8" t="inlineStr">
        <is>
          <t>Feature Request</t>
        </is>
      </c>
      <c r="B15" s="8">
        <f>COUNTIF('Cleaned Feedback'!$H$2:$H$1501,A15)</f>
        <v/>
      </c>
      <c r="C15" s="12">
        <f>B15/COUNTA('Cleaned Feedback'!$A$2:$A$1501)</f>
        <v/>
      </c>
      <c r="D15" s="8" t="n">
        <v>241</v>
      </c>
    </row>
    <row r="16">
      <c r="A16" s="8" t="inlineStr">
        <is>
          <t>Bug</t>
        </is>
      </c>
      <c r="B16" s="8">
        <f>COUNTIF('Cleaned Feedback'!$H$2:$H$1501,A16)</f>
        <v/>
      </c>
      <c r="C16" s="12">
        <f>B16/COUNTA('Cleaned Feedback'!$A$2:$A$1501)</f>
        <v/>
      </c>
      <c r="D16" s="8" t="n">
        <v>193</v>
      </c>
    </row>
    <row r="17">
      <c r="A17" s="8" t="inlineStr">
        <is>
          <t>Usability Issue</t>
        </is>
      </c>
      <c r="B17" s="8">
        <f>COUNTIF('Cleaned Feedback'!$H$2:$H$1501,A17)</f>
        <v/>
      </c>
      <c r="C17" s="12">
        <f>B17/COUNTA('Cleaned Feedback'!$A$2:$A$1501)</f>
        <v/>
      </c>
      <c r="D17" s="8" t="n">
        <v>136</v>
      </c>
    </row>
    <row r="18">
      <c r="A18" s="8" t="inlineStr">
        <is>
          <t>Performance Issue</t>
        </is>
      </c>
      <c r="B18" s="8">
        <f>COUNTIF('Cleaned Feedback'!$H$2:$H$1501,A18)</f>
        <v/>
      </c>
      <c r="C18" s="12">
        <f>B18/COUNTA('Cleaned Feedback'!$A$2:$A$1501)</f>
        <v/>
      </c>
      <c r="D18" s="8" t="n">
        <v>125</v>
      </c>
    </row>
    <row r="19">
      <c r="A19" s="8" t="inlineStr">
        <is>
          <t>Integration Issue</t>
        </is>
      </c>
      <c r="B19" s="8">
        <f>COUNTIF('Cleaned Feedback'!$H$2:$H$1501,A19)</f>
        <v/>
      </c>
      <c r="C19" s="12">
        <f>B19/COUNTA('Cleaned Feedback'!$A$2:$A$1501)</f>
        <v/>
      </c>
      <c r="D19" s="8" t="n">
        <v>105</v>
      </c>
    </row>
    <row r="22">
      <c r="A22" s="4" t="inlineStr">
        <is>
          <t>Sentiment</t>
        </is>
      </c>
      <c r="B22" s="4" t="inlineStr">
        <is>
          <t>Feedback Records</t>
        </is>
      </c>
      <c r="C22" s="4" t="inlineStr">
        <is>
          <t>% of Records</t>
        </is>
      </c>
      <c r="D22" s="4" t="inlineStr">
        <is>
          <t>Unique Customers (static)</t>
        </is>
      </c>
    </row>
    <row r="23">
      <c r="A23" s="8" t="inlineStr">
        <is>
          <t>Negative</t>
        </is>
      </c>
      <c r="B23" s="8">
        <f>COUNTIF('Cleaned Feedback'!$J$2:$J$1501,A23)</f>
        <v/>
      </c>
      <c r="C23" s="12">
        <f>B23/COUNTA('Cleaned Feedback'!$A$2:$A$1501)</f>
        <v/>
      </c>
      <c r="D23" s="8" t="n">
        <v>257</v>
      </c>
    </row>
    <row r="24">
      <c r="A24" s="8" t="inlineStr">
        <is>
          <t>Neutral</t>
        </is>
      </c>
      <c r="B24" s="8">
        <f>COUNTIF('Cleaned Feedback'!$J$2:$J$1501,A24)</f>
        <v/>
      </c>
      <c r="C24" s="12">
        <f>B24/COUNTA('Cleaned Feedback'!$A$2:$A$1501)</f>
        <v/>
      </c>
      <c r="D24" s="8" t="n">
        <v>241</v>
      </c>
    </row>
    <row r="25">
      <c r="A25" s="8" t="inlineStr">
        <is>
          <t>Positive</t>
        </is>
      </c>
      <c r="B25" s="8">
        <f>COUNTIF('Cleaned Feedback'!$J$2:$J$1501,A25)</f>
        <v/>
      </c>
      <c r="C25" s="12">
        <f>B25/COUNTA('Cleaned Feedback'!$A$2:$A$1501)</f>
        <v/>
      </c>
      <c r="D25" s="8" t="n">
        <v>140</v>
      </c>
    </row>
    <row r="28">
      <c r="A28" s="4" t="inlineStr">
        <is>
          <t>Severity</t>
        </is>
      </c>
      <c r="B28" s="4" t="inlineStr">
        <is>
          <t>Feedback Records</t>
        </is>
      </c>
      <c r="C28" s="4" t="inlineStr">
        <is>
          <t>% of Records</t>
        </is>
      </c>
      <c r="D28" s="4" t="inlineStr">
        <is>
          <t>Unique Customers (static)</t>
        </is>
      </c>
    </row>
    <row r="29">
      <c r="A29" s="8" t="inlineStr">
        <is>
          <t>Low</t>
        </is>
      </c>
      <c r="B29" s="8">
        <f>COUNTIF('Cleaned Feedback'!$K$2:$K$1501,A29)</f>
        <v/>
      </c>
      <c r="C29" s="12">
        <f>B29/COUNTA('Cleaned Feedback'!$A$2:$A$1501)</f>
        <v/>
      </c>
      <c r="D29" s="8" t="n">
        <v>248</v>
      </c>
    </row>
    <row r="30">
      <c r="A30" s="8" t="inlineStr">
        <is>
          <t>Medium</t>
        </is>
      </c>
      <c r="B30" s="8">
        <f>COUNTIF('Cleaned Feedback'!$K$2:$K$1501,A30)</f>
        <v/>
      </c>
      <c r="C30" s="12">
        <f>B30/COUNTA('Cleaned Feedback'!$A$2:$A$1501)</f>
        <v/>
      </c>
      <c r="D30" s="8" t="n">
        <v>239</v>
      </c>
    </row>
    <row r="31">
      <c r="A31" s="8" t="inlineStr">
        <is>
          <t>High</t>
        </is>
      </c>
      <c r="B31" s="8">
        <f>COUNTIF('Cleaned Feedback'!$K$2:$K$1501,A31)</f>
        <v/>
      </c>
      <c r="C31" s="12">
        <f>B31/COUNTA('Cleaned Feedback'!$A$2:$A$1501)</f>
        <v/>
      </c>
      <c r="D31" s="8" t="n">
        <v>170</v>
      </c>
    </row>
    <row r="32">
      <c r="A32" s="8" t="inlineStr">
        <is>
          <t>Critical</t>
        </is>
      </c>
      <c r="B32" s="8">
        <f>COUNTIF('Cleaned Feedback'!$K$2:$K$1501,A32)</f>
        <v/>
      </c>
      <c r="C32" s="12">
        <f>B32/COUNTA('Cleaned Feedback'!$A$2:$A$1501)</f>
        <v/>
      </c>
      <c r="D32" s="8" t="n">
        <v>75</v>
      </c>
    </row>
    <row r="35">
      <c r="A35" s="4" t="inlineStr">
        <is>
          <t>Subscription Plan</t>
        </is>
      </c>
      <c r="B35" s="4" t="inlineStr">
        <is>
          <t>Feedback Records</t>
        </is>
      </c>
      <c r="C35" s="4" t="inlineStr">
        <is>
          <t>% of Records</t>
        </is>
      </c>
      <c r="D35" s="4" t="inlineStr">
        <is>
          <t>Unique Customers (static)</t>
        </is>
      </c>
    </row>
    <row r="36">
      <c r="A36" s="8" t="inlineStr">
        <is>
          <t>Professional</t>
        </is>
      </c>
      <c r="B36" s="8">
        <f>COUNTIF('Cleaned Feedback'!$E$2:$E$1501,A36)</f>
        <v/>
      </c>
      <c r="C36" s="12">
        <f>B36/COUNTA('Cleaned Feedback'!$A$2:$A$1501)</f>
        <v/>
      </c>
      <c r="D36" s="8" t="n">
        <v>145</v>
      </c>
    </row>
    <row r="37">
      <c r="A37" s="8" t="inlineStr">
        <is>
          <t>Starter</t>
        </is>
      </c>
      <c r="B37" s="8">
        <f>COUNTIF('Cleaned Feedback'!$E$2:$E$1501,A37)</f>
        <v/>
      </c>
      <c r="C37" s="12">
        <f>B37/COUNTA('Cleaned Feedback'!$A$2:$A$1501)</f>
        <v/>
      </c>
      <c r="D37" s="8" t="n">
        <v>122</v>
      </c>
    </row>
    <row r="38">
      <c r="A38" s="8" t="inlineStr">
        <is>
          <t>Enterprise</t>
        </is>
      </c>
      <c r="B38" s="8">
        <f>COUNTIF('Cleaned Feedback'!$E$2:$E$1501,A38)</f>
        <v/>
      </c>
      <c r="C38" s="12">
        <f>B38/COUNTA('Cleaned Feedback'!$A$2:$A$1501)</f>
        <v/>
      </c>
      <c r="D38" s="8" t="n">
        <v>59</v>
      </c>
    </row>
    <row r="41">
      <c r="A41" s="4" t="inlineStr">
        <is>
          <t>Customer Segment</t>
        </is>
      </c>
      <c r="B41" s="4" t="inlineStr">
        <is>
          <t>Feedback Records</t>
        </is>
      </c>
      <c r="C41" s="4" t="inlineStr">
        <is>
          <t>% of Records</t>
        </is>
      </c>
      <c r="D41" s="4" t="inlineStr">
        <is>
          <t>Unique Customers (static)</t>
        </is>
      </c>
    </row>
    <row r="42">
      <c r="A42" s="8" t="inlineStr">
        <is>
          <t>Mid-Market</t>
        </is>
      </c>
      <c r="B42" s="8">
        <f>COUNTIF('Cleaned Feedback'!$F$2:$F$1501,A42)</f>
        <v/>
      </c>
      <c r="C42" s="12">
        <f>B42/COUNTA('Cleaned Feedback'!$A$2:$A$1501)</f>
        <v/>
      </c>
      <c r="D42" s="8" t="n">
        <v>133</v>
      </c>
    </row>
    <row r="43">
      <c r="A43" s="8" t="inlineStr">
        <is>
          <t>SMB</t>
        </is>
      </c>
      <c r="B43" s="8">
        <f>COUNTIF('Cleaned Feedback'!$F$2:$F$1501,A43)</f>
        <v/>
      </c>
      <c r="C43" s="12">
        <f>B43/COUNTA('Cleaned Feedback'!$A$2:$A$1501)</f>
        <v/>
      </c>
      <c r="D43" s="8" t="n">
        <v>140</v>
      </c>
    </row>
    <row r="44">
      <c r="A44" s="8" t="inlineStr">
        <is>
          <t>Enterprise</t>
        </is>
      </c>
      <c r="B44" s="8">
        <f>COUNTIF('Cleaned Feedback'!$F$2:$F$1501,A44)</f>
        <v/>
      </c>
      <c r="C44" s="12">
        <f>B44/COUNTA('Cleaned Feedback'!$A$2:$A$1501)</f>
        <v/>
      </c>
      <c r="D44" s="8" t="n">
        <v>53</v>
      </c>
    </row>
    <row r="47">
      <c r="A47" s="4" t="inlineStr">
        <is>
          <t>Feedback Source</t>
        </is>
      </c>
      <c r="B47" s="4" t="inlineStr">
        <is>
          <t>Feedback Records</t>
        </is>
      </c>
      <c r="C47" s="4" t="inlineStr">
        <is>
          <t>% of Records</t>
        </is>
      </c>
      <c r="D47" s="4" t="inlineStr">
        <is>
          <t>Unique Customers (static)</t>
        </is>
      </c>
    </row>
    <row r="48">
      <c r="A48" s="8" t="inlineStr">
        <is>
          <t>Support Ticket</t>
        </is>
      </c>
      <c r="B48" s="8">
        <f>COUNTIF('Cleaned Feedback'!$D$2:$D$1501,A48)</f>
        <v/>
      </c>
      <c r="C48" s="12">
        <f>B48/COUNTA('Cleaned Feedback'!$A$2:$A$1501)</f>
        <v/>
      </c>
      <c r="D48" s="8" t="n">
        <v>218</v>
      </c>
    </row>
    <row r="49">
      <c r="A49" s="8" t="inlineStr">
        <is>
          <t>In-App Feedback</t>
        </is>
      </c>
      <c r="B49" s="8">
        <f>COUNTIF('Cleaned Feedback'!$D$2:$D$1501,A49)</f>
        <v/>
      </c>
      <c r="C49" s="12">
        <f>B49/COUNTA('Cleaned Feedback'!$A$2:$A$1501)</f>
        <v/>
      </c>
      <c r="D49" s="8" t="n">
        <v>199</v>
      </c>
    </row>
    <row r="50">
      <c r="A50" s="8" t="inlineStr">
        <is>
          <t>Feature Request</t>
        </is>
      </c>
      <c r="B50" s="8">
        <f>COUNTIF('Cleaned Feedback'!$D$2:$D$1501,A50)</f>
        <v/>
      </c>
      <c r="C50" s="12">
        <f>B50/COUNTA('Cleaned Feedback'!$A$2:$A$1501)</f>
        <v/>
      </c>
      <c r="D50" s="8" t="n">
        <v>184</v>
      </c>
    </row>
    <row r="51">
      <c r="A51" s="8" t="inlineStr">
        <is>
          <t>Customer Survey</t>
        </is>
      </c>
      <c r="B51" s="8">
        <f>COUNTIF('Cleaned Feedback'!$D$2:$D$1501,A51)</f>
        <v/>
      </c>
      <c r="C51" s="12">
        <f>B51/COUNTA('Cleaned Feedback'!$A$2:$A$1501)</f>
        <v/>
      </c>
      <c r="D51" s="8" t="n">
        <v>194</v>
      </c>
    </row>
    <row r="54">
      <c r="A54" s="4" t="inlineStr">
        <is>
          <t>Month</t>
        </is>
      </c>
      <c r="B54" s="4" t="inlineStr">
        <is>
          <t>Feedback Records</t>
        </is>
      </c>
      <c r="C54" s="4" t="inlineStr">
        <is>
          <t>Unique Customers (static)</t>
        </is>
      </c>
    </row>
    <row r="55">
      <c r="A55" s="8" t="inlineStr">
        <is>
          <t>2025-10</t>
        </is>
      </c>
      <c r="B55" s="8">
        <f>COUNTIF('Cleaned Feedback'!$O$2:$O$1501,A55)</f>
        <v/>
      </c>
      <c r="C55" s="8" t="n">
        <v>90</v>
      </c>
    </row>
    <row r="56">
      <c r="A56" s="8" t="inlineStr">
        <is>
          <t>2025-11</t>
        </is>
      </c>
      <c r="B56" s="8">
        <f>COUNTIF('Cleaned Feedback'!$O$2:$O$1501,A56)</f>
        <v/>
      </c>
      <c r="C56" s="8" t="n">
        <v>70</v>
      </c>
    </row>
    <row r="57">
      <c r="A57" s="8" t="inlineStr">
        <is>
          <t>2025-12</t>
        </is>
      </c>
      <c r="B57" s="8">
        <f>COUNTIF('Cleaned Feedback'!$O$2:$O$1501,A57)</f>
        <v/>
      </c>
      <c r="C57" s="8" t="n">
        <v>81</v>
      </c>
    </row>
    <row r="58">
      <c r="A58" s="8" t="inlineStr">
        <is>
          <t>2026-01</t>
        </is>
      </c>
      <c r="B58" s="8">
        <f>COUNTIF('Cleaned Feedback'!$O$2:$O$1501,A58)</f>
        <v/>
      </c>
      <c r="C58" s="8" t="n">
        <v>98</v>
      </c>
    </row>
    <row r="59">
      <c r="A59" s="8" t="inlineStr">
        <is>
          <t>2026-02</t>
        </is>
      </c>
      <c r="B59" s="8">
        <f>COUNTIF('Cleaned Feedback'!$O$2:$O$1501,A59)</f>
        <v/>
      </c>
      <c r="C59" s="8" t="n">
        <v>91</v>
      </c>
    </row>
    <row r="60">
      <c r="A60" s="8" t="inlineStr">
        <is>
          <t>2026-03</t>
        </is>
      </c>
      <c r="B60" s="8">
        <f>COUNTIF('Cleaned Feedback'!$O$2:$O$1501,A60)</f>
        <v/>
      </c>
      <c r="C60" s="8" t="n">
        <v>96</v>
      </c>
    </row>
    <row r="61">
      <c r="A61" s="8" t="inlineStr">
        <is>
          <t>2026-04</t>
        </is>
      </c>
      <c r="B61" s="8">
        <f>COUNTIF('Cleaned Feedback'!$O$2:$O$1501,A61)</f>
        <v/>
      </c>
      <c r="C61" s="8" t="n">
        <v>89</v>
      </c>
    </row>
    <row r="62">
      <c r="A62" s="8" t="inlineStr">
        <is>
          <t>2026-05</t>
        </is>
      </c>
      <c r="B62" s="8">
        <f>COUNTIF('Cleaned Feedback'!$O$2:$O$1501,A62)</f>
        <v/>
      </c>
      <c r="C62" s="8" t="n">
        <v>103</v>
      </c>
    </row>
    <row r="63">
      <c r="A63" s="8" t="inlineStr">
        <is>
          <t>2026-06</t>
        </is>
      </c>
      <c r="B63" s="8">
        <f>COUNTIF('Cleaned Feedback'!$O$2:$O$1501,A63)</f>
        <v/>
      </c>
      <c r="C63" s="8" t="n">
        <v>105</v>
      </c>
    </row>
    <row r="64">
      <c r="A64" s="8" t="inlineStr">
        <is>
          <t>2026-07</t>
        </is>
      </c>
      <c r="B64" s="8">
        <f>COUNTIF('Cleaned Feedback'!$O$2:$O$1501,A64)</f>
        <v/>
      </c>
      <c r="C64" s="8" t="n">
        <v>99</v>
      </c>
    </row>
    <row r="65">
      <c r="A65" s="8" t="inlineStr">
        <is>
          <t>2026-08</t>
        </is>
      </c>
      <c r="B65" s="8">
        <f>COUNTIF('Cleaned Feedback'!$O$2:$O$1501,A65)</f>
        <v/>
      </c>
      <c r="C65" s="8" t="n">
        <v>115</v>
      </c>
    </row>
    <row r="66">
      <c r="A66" s="8" t="inlineStr">
        <is>
          <t>2026-09</t>
        </is>
      </c>
      <c r="B66" s="8">
        <f>COUNTIF('Cleaned Feedback'!$O$2:$O$1501,A66)</f>
        <v/>
      </c>
      <c r="C66" s="8" t="n">
        <v>108</v>
      </c>
    </row>
    <row r="69">
      <c r="A69" s="4" t="inlineStr">
        <is>
          <t>Top Complaint Themes (non-request)</t>
        </is>
      </c>
      <c r="B69" s="4" t="inlineStr">
        <is>
          <t>Feature Area</t>
        </is>
      </c>
      <c r="C69" s="4" t="inlineStr">
        <is>
          <t>Category</t>
        </is>
      </c>
      <c r="D69" s="4" t="inlineStr">
        <is>
          <t>Feedback Records</t>
        </is>
      </c>
      <c r="E69" s="4" t="inlineStr">
        <is>
          <t>Unique Customers</t>
        </is>
      </c>
      <c r="F69" s="4" t="inlineStr">
        <is>
          <t>Negative %</t>
        </is>
      </c>
      <c r="G69" s="4" t="inlineStr">
        <is>
          <t>High/Critical %</t>
        </is>
      </c>
    </row>
    <row r="70">
      <c r="A70" s="8" t="inlineStr">
        <is>
          <t>Unreliable contact imports</t>
        </is>
      </c>
      <c r="B70" s="8" t="inlineStr">
        <is>
          <t>Contact Management</t>
        </is>
      </c>
      <c r="C70" s="8" t="inlineStr">
        <is>
          <t>Bug</t>
        </is>
      </c>
      <c r="D70" s="8">
        <f>COUNTIF('Cleaned Feedback'!$M$2:$M$1501,"contact_import")</f>
        <v/>
      </c>
      <c r="E70" s="8" t="n">
        <v>86</v>
      </c>
      <c r="F70" s="12" t="n">
        <v>0.745</v>
      </c>
      <c r="G70" s="12" t="n">
        <v>0.422</v>
      </c>
    </row>
    <row r="71">
      <c r="A71" s="8" t="inlineStr">
        <is>
          <t>Workflows failing silently</t>
        </is>
      </c>
      <c r="B71" s="8" t="inlineStr">
        <is>
          <t>Workflow Automation</t>
        </is>
      </c>
      <c r="C71" s="8" t="inlineStr">
        <is>
          <t>Bug</t>
        </is>
      </c>
      <c r="D71" s="8">
        <f>COUNTIF('Cleaned Feedback'!$M$2:$M$1501,"wf_fail")</f>
        <v/>
      </c>
      <c r="E71" s="8" t="n">
        <v>78</v>
      </c>
      <c r="F71" s="12" t="n">
        <v>0.73</v>
      </c>
      <c r="G71" s="12" t="n">
        <v>0.4</v>
      </c>
    </row>
    <row r="72">
      <c r="A72" s="8" t="inlineStr">
        <is>
          <t>Email and calendar sync drops</t>
        </is>
      </c>
      <c r="B72" s="8" t="inlineStr">
        <is>
          <t>Integrations</t>
        </is>
      </c>
      <c r="C72" s="8" t="inlineStr">
        <is>
          <t>Integration Issue</t>
        </is>
      </c>
      <c r="D72" s="8">
        <f>COUNTIF('Cleaned Feedback'!$M$2:$M$1501,"int_email")</f>
        <v/>
      </c>
      <c r="E72" s="8" t="n">
        <v>74</v>
      </c>
      <c r="F72" s="12" t="n">
        <v>0.6929999999999999</v>
      </c>
      <c r="G72" s="12" t="n">
        <v>0.398</v>
      </c>
    </row>
    <row r="73">
      <c r="A73" s="8" t="inlineStr">
        <is>
          <t>Confusing workflow builder</t>
        </is>
      </c>
      <c r="B73" s="8" t="inlineStr">
        <is>
          <t>Workflow Automation</t>
        </is>
      </c>
      <c r="C73" s="8" t="inlineStr">
        <is>
          <t>Usability Issue</t>
        </is>
      </c>
      <c r="D73" s="8">
        <f>COUNTIF('Cleaned Feedback'!$M$2:$M$1501,"wf_builder")</f>
        <v/>
      </c>
      <c r="E73" s="8" t="n">
        <v>72</v>
      </c>
      <c r="F73" s="12" t="n">
        <v>0.535</v>
      </c>
      <c r="G73" s="12" t="n">
        <v>0.233</v>
      </c>
    </row>
    <row r="74">
      <c r="A74" s="8" t="inlineStr">
        <is>
          <t>Duplicate leads created</t>
        </is>
      </c>
      <c r="B74" s="8" t="inlineStr">
        <is>
          <t>Lead Management</t>
        </is>
      </c>
      <c r="C74" s="8" t="inlineStr">
        <is>
          <t>Bug</t>
        </is>
      </c>
      <c r="D74" s="8">
        <f>COUNTIF('Cleaned Feedback'!$M$2:$M$1501,"lead_dup")</f>
        <v/>
      </c>
      <c r="E74" s="8" t="n">
        <v>69</v>
      </c>
      <c r="F74" s="12" t="n">
        <v>0.753</v>
      </c>
      <c r="G74" s="12" t="n">
        <v>0.416</v>
      </c>
    </row>
    <row r="75">
      <c r="A75" s="8" t="inlineStr">
        <is>
          <t>API limits and webhook failures</t>
        </is>
      </c>
      <c r="B75" s="8" t="inlineStr">
        <is>
          <t>Integrations</t>
        </is>
      </c>
      <c r="C75" s="8" t="inlineStr">
        <is>
          <t>Integration Issue</t>
        </is>
      </c>
      <c r="D75" s="8">
        <f>COUNTIF('Cleaned Feedback'!$M$2:$M$1501,"int_api")</f>
        <v/>
      </c>
      <c r="E75" s="8" t="n">
        <v>55</v>
      </c>
      <c r="F75" s="12" t="n">
        <v>0.738</v>
      </c>
      <c r="G75" s="12" t="n">
        <v>0.431</v>
      </c>
    </row>
    <row r="76">
      <c r="A76" s="8" t="inlineStr">
        <is>
          <t>Slow dashboards</t>
        </is>
      </c>
      <c r="B76" s="8" t="inlineStr">
        <is>
          <t>Reporting</t>
        </is>
      </c>
      <c r="C76" s="8" t="inlineStr">
        <is>
          <t>Performance Issue</t>
        </is>
      </c>
      <c r="D76" s="8">
        <f>COUNTIF('Cleaned Feedback'!$M$2:$M$1501,"rep_slow")</f>
        <v/>
      </c>
      <c r="E76" s="8" t="n">
        <v>50</v>
      </c>
      <c r="F76" s="12" t="n">
        <v>0.6559999999999999</v>
      </c>
      <c r="G76" s="12" t="n">
        <v>0.311</v>
      </c>
    </row>
    <row r="77">
      <c r="A77" s="8" t="inlineStr">
        <is>
          <t>Cluttered navigation</t>
        </is>
      </c>
      <c r="B77" s="8" t="inlineStr">
        <is>
          <t>User Interface</t>
        </is>
      </c>
      <c r="C77" s="8" t="inlineStr">
        <is>
          <t>Usability Issue</t>
        </is>
      </c>
      <c r="D77" s="8">
        <f>COUNTIF('Cleaned Feedback'!$M$2:$M$1501,"ui_nav")</f>
        <v/>
      </c>
      <c r="E77" s="8" t="n">
        <v>56</v>
      </c>
      <c r="F77" s="12" t="n">
        <v>0.617</v>
      </c>
      <c r="G77" s="12" t="n">
        <v>0.217</v>
      </c>
    </row>
    <row r="78">
      <c r="A78" s="8" t="inlineStr">
        <is>
          <t>Broken report exports</t>
        </is>
      </c>
      <c r="B78" s="8" t="inlineStr">
        <is>
          <t>Reporting</t>
        </is>
      </c>
      <c r="C78" s="8" t="inlineStr">
        <is>
          <t>Bug</t>
        </is>
      </c>
      <c r="D78" s="8">
        <f>COUNTIF('Cleaned Feedback'!$M$2:$M$1501,"rep_export")</f>
        <v/>
      </c>
      <c r="E78" s="8" t="n">
        <v>55</v>
      </c>
      <c r="F78" s="12" t="n">
        <v>0.6779999999999999</v>
      </c>
      <c r="G78" s="12" t="n">
        <v>0.492</v>
      </c>
    </row>
    <row r="79">
      <c r="A79" s="8" t="inlineStr">
        <is>
          <t>Slow lead lists and pipeline board</t>
        </is>
      </c>
      <c r="B79" s="8" t="inlineStr">
        <is>
          <t>Lead Management</t>
        </is>
      </c>
      <c r="C79" s="8" t="inlineStr">
        <is>
          <t>Performance Issue</t>
        </is>
      </c>
      <c r="D79" s="8">
        <f>COUNTIF('Cleaned Feedback'!$M$2:$M$1501,"lead_slow")</f>
        <v/>
      </c>
      <c r="E79" s="8" t="n">
        <v>44</v>
      </c>
      <c r="F79" s="12" t="n">
        <v>0.75</v>
      </c>
      <c r="G79" s="12" t="n">
        <v>0.354</v>
      </c>
    </row>
    <row r="82">
      <c r="A82" s="4" t="inlineStr">
        <is>
          <t>Most Requested Features (theme)</t>
        </is>
      </c>
      <c r="B82" s="4" t="inlineStr">
        <is>
          <t>Feature Area</t>
        </is>
      </c>
      <c r="C82" s="4" t="inlineStr">
        <is>
          <t>Category</t>
        </is>
      </c>
      <c r="D82" s="4" t="inlineStr">
        <is>
          <t>Feedback Records</t>
        </is>
      </c>
      <c r="E82" s="4" t="inlineStr">
        <is>
          <t>Unique Customers</t>
        </is>
      </c>
    </row>
    <row r="83">
      <c r="A83" s="8" t="inlineStr">
        <is>
          <t>Mobile app</t>
        </is>
      </c>
      <c r="B83" s="8" t="inlineStr">
        <is>
          <t>User Interface</t>
        </is>
      </c>
      <c r="C83" s="8" t="inlineStr">
        <is>
          <t>Feature Request</t>
        </is>
      </c>
      <c r="D83" s="8">
        <f>COUNTIF('Cleaned Feedback'!$M$2:$M$1501,"ui_mobile")</f>
        <v/>
      </c>
      <c r="E83" s="8" t="n">
        <v>68</v>
      </c>
    </row>
    <row r="84">
      <c r="A84" s="8" t="inlineStr">
        <is>
          <t>Workflow templates</t>
        </is>
      </c>
      <c r="B84" s="8" t="inlineStr">
        <is>
          <t>Workflow Automation</t>
        </is>
      </c>
      <c r="C84" s="8" t="inlineStr">
        <is>
          <t>Feature Request</t>
        </is>
      </c>
      <c r="D84" s="8">
        <f>COUNTIF('Cleaned Feedback'!$M$2:$M$1501,"wf_templates")</f>
        <v/>
      </c>
      <c r="E84" s="8" t="n">
        <v>69</v>
      </c>
    </row>
    <row r="85">
      <c r="A85" s="8" t="inlineStr">
        <is>
          <t>Custom and scheduled reports</t>
        </is>
      </c>
      <c r="B85" s="8" t="inlineStr">
        <is>
          <t>Reporting</t>
        </is>
      </c>
      <c r="C85" s="8" t="inlineStr">
        <is>
          <t>Feature Request</t>
        </is>
      </c>
      <c r="D85" s="8">
        <f>COUNTIF('Cleaned Feedback'!$M$2:$M$1501,"rep_custom")</f>
        <v/>
      </c>
      <c r="E85" s="8" t="n">
        <v>59</v>
      </c>
    </row>
    <row r="86">
      <c r="A86" s="8" t="inlineStr">
        <is>
          <t>Bulk contact merge</t>
        </is>
      </c>
      <c r="B86" s="8" t="inlineStr">
        <is>
          <t>Contact Management</t>
        </is>
      </c>
      <c r="C86" s="8" t="inlineStr">
        <is>
          <t>Feature Request</t>
        </is>
      </c>
      <c r="D86" s="8">
        <f>COUNTIF('Cleaned Feedback'!$M$2:$M$1501,"contact_dedupe")</f>
        <v/>
      </c>
      <c r="E86" s="8" t="n">
        <v>63</v>
      </c>
    </row>
    <row r="87">
      <c r="A87" s="8" t="inlineStr">
        <is>
          <t>Automated lead scoring</t>
        </is>
      </c>
      <c r="B87" s="8" t="inlineStr">
        <is>
          <t>Lead Management</t>
        </is>
      </c>
      <c r="C87" s="8" t="inlineStr">
        <is>
          <t>Feature Request</t>
        </is>
      </c>
      <c r="D87" s="8">
        <f>COUNTIF('Cleaned Feedback'!$M$2:$M$1501,"lead_score")</f>
        <v/>
      </c>
      <c r="E87" s="8" t="n">
        <v>57</v>
      </c>
    </row>
    <row r="88">
      <c r="A88" s="8" t="inlineStr">
        <is>
          <t>Native integrations</t>
        </is>
      </c>
      <c r="B88" s="8" t="inlineStr">
        <is>
          <t>Integrations</t>
        </is>
      </c>
      <c r="C88" s="8" t="inlineStr">
        <is>
          <t>Feature Request</t>
        </is>
      </c>
      <c r="D88" s="8">
        <f>COUNTIF('Cleaned Feedback'!$M$2:$M$1501,"int_native")</f>
        <v/>
      </c>
      <c r="E88" s="8" t="n">
        <v>53</v>
      </c>
    </row>
    <row r="89">
      <c r="A89" s="8" t="inlineStr">
        <is>
          <t>SSO and provisioning</t>
        </is>
      </c>
      <c r="B89" s="8" t="inlineStr">
        <is>
          <t>Integrations</t>
        </is>
      </c>
      <c r="C89" s="8" t="inlineStr">
        <is>
          <t>Feature Request</t>
        </is>
      </c>
      <c r="D89" s="8">
        <f>COUNTIF('Cleaned Feedback'!$M$2:$M$1501,"int_sso")</f>
        <v/>
      </c>
      <c r="E89" s="8" t="n">
        <v>33</v>
      </c>
    </row>
    <row r="90">
      <c r="A90" s="8" t="inlineStr">
        <is>
          <t>Custom fields and hierarchy</t>
        </is>
      </c>
      <c r="B90" s="8" t="inlineStr">
        <is>
          <t>Contact Management</t>
        </is>
      </c>
      <c r="C90" s="8" t="inlineStr">
        <is>
          <t>Feature Request</t>
        </is>
      </c>
      <c r="D90" s="8">
        <f>COUNTIF('Cleaned Feedback'!$M$2:$M$1501,"contact_custom")</f>
        <v/>
      </c>
      <c r="E90" s="8" t="n">
        <v>35</v>
      </c>
    </row>
    <row r="91">
      <c r="A91" s="8" t="inlineStr">
        <is>
          <t>Bulk actions</t>
        </is>
      </c>
      <c r="B91" s="8" t="inlineStr">
        <is>
          <t>User Interface</t>
        </is>
      </c>
      <c r="C91" s="8" t="inlineStr">
        <is>
          <t>Feature Request</t>
        </is>
      </c>
      <c r="D91" s="8">
        <f>COUNTIF('Cleaned Feedback'!$M$2:$M$1501,"ui_bulk")</f>
        <v/>
      </c>
      <c r="E91" s="8" t="n">
        <v>36</v>
      </c>
    </row>
    <row r="92">
      <c r="A92" s="8" t="inlineStr">
        <is>
          <t>Approval steps in workflows</t>
        </is>
      </c>
      <c r="B92" s="8" t="inlineStr">
        <is>
          <t>Workflow Automation</t>
        </is>
      </c>
      <c r="C92" s="8" t="inlineStr">
        <is>
          <t>Feature Request</t>
        </is>
      </c>
      <c r="D92" s="8">
        <f>COUNTIF('Cleaned Feedback'!$M$2:$M$1501,"wf_approval")</f>
        <v/>
      </c>
      <c r="E92" s="8" t="n">
        <v>29</v>
      </c>
    </row>
    <row r="95">
      <c r="A95" s="4" t="inlineStr">
        <is>
          <t>High/Critical Issues by Feature Area</t>
        </is>
      </c>
      <c r="B95" s="4" t="inlineStr">
        <is>
          <t>High+Critical Records</t>
        </is>
      </c>
      <c r="C95" s="4" t="inlineStr">
        <is>
          <t>% of Area Records</t>
        </is>
      </c>
      <c r="D95" s="4" t="inlineStr">
        <is>
          <t>Unique Customers (static)</t>
        </is>
      </c>
    </row>
    <row r="96">
      <c r="A96" s="8" t="inlineStr">
        <is>
          <t>Integrations</t>
        </is>
      </c>
      <c r="B96" s="8">
        <f>COUNTIFS('Cleaned Feedback'!$G$2:$G$1501,A96,'Cleaned Feedback'!$K$2:$K$1501,"High")+COUNTIFS('Cleaned Feedback'!$G$2:$G$1501,A96,'Cleaned Feedback'!$K$2:$K$1501,"Critical")</f>
        <v/>
      </c>
      <c r="C96" s="12">
        <f>B96/COUNTIF('Cleaned Feedback'!$G$2:$G$1501,A96)</f>
        <v/>
      </c>
      <c r="D96" s="8" t="n">
        <v>62</v>
      </c>
    </row>
    <row r="97">
      <c r="A97" s="8" t="inlineStr">
        <is>
          <t>Workflow Automation</t>
        </is>
      </c>
      <c r="B97" s="8">
        <f>COUNTIFS('Cleaned Feedback'!$G$2:$G$1501,A97,'Cleaned Feedback'!$K$2:$K$1501,"High")+COUNTIFS('Cleaned Feedback'!$G$2:$G$1501,A97,'Cleaned Feedback'!$K$2:$K$1501,"Critical")</f>
        <v/>
      </c>
      <c r="C97" s="12">
        <f>B97/COUNTIF('Cleaned Feedback'!$G$2:$G$1501,A97)</f>
        <v/>
      </c>
      <c r="D97" s="8" t="n">
        <v>60</v>
      </c>
    </row>
    <row r="98">
      <c r="A98" s="8" t="inlineStr">
        <is>
          <t>Contact Management</t>
        </is>
      </c>
      <c r="B98" s="8">
        <f>COUNTIFS('Cleaned Feedback'!$G$2:$G$1501,A98,'Cleaned Feedback'!$K$2:$K$1501,"High")+COUNTIFS('Cleaned Feedback'!$G$2:$G$1501,A98,'Cleaned Feedback'!$K$2:$K$1501,"Critical")</f>
        <v/>
      </c>
      <c r="C98" s="12">
        <f>B98/COUNTIF('Cleaned Feedback'!$G$2:$G$1501,A98)</f>
        <v/>
      </c>
      <c r="D98" s="8" t="n">
        <v>56</v>
      </c>
    </row>
    <row r="99">
      <c r="A99" s="8" t="inlineStr">
        <is>
          <t>Reporting</t>
        </is>
      </c>
      <c r="B99" s="8">
        <f>COUNTIFS('Cleaned Feedback'!$G$2:$G$1501,A99,'Cleaned Feedback'!$K$2:$K$1501,"High")+COUNTIFS('Cleaned Feedback'!$G$2:$G$1501,A99,'Cleaned Feedback'!$K$2:$K$1501,"Critical")</f>
        <v/>
      </c>
      <c r="C99" s="12">
        <f>B99/COUNTIF('Cleaned Feedback'!$G$2:$G$1501,A99)</f>
        <v/>
      </c>
      <c r="D99" s="8" t="n">
        <v>52</v>
      </c>
    </row>
    <row r="100">
      <c r="A100" s="8" t="inlineStr">
        <is>
          <t>Lead Management</t>
        </is>
      </c>
      <c r="B100" s="8">
        <f>COUNTIFS('Cleaned Feedback'!$G$2:$G$1501,A100,'Cleaned Feedback'!$K$2:$K$1501,"High")+COUNTIFS('Cleaned Feedback'!$G$2:$G$1501,A100,'Cleaned Feedback'!$K$2:$K$1501,"Critical")</f>
        <v/>
      </c>
      <c r="C100" s="12">
        <f>B100/COUNTIF('Cleaned Feedback'!$G$2:$G$1501,A100)</f>
        <v/>
      </c>
      <c r="D100" s="8" t="n">
        <v>58</v>
      </c>
    </row>
    <row r="101">
      <c r="A101" s="8" t="inlineStr">
        <is>
          <t>User Interface</t>
        </is>
      </c>
      <c r="B101" s="8">
        <f>COUNTIFS('Cleaned Feedback'!$G$2:$G$1501,A101,'Cleaned Feedback'!$K$2:$K$1501,"High")+COUNTIFS('Cleaned Feedback'!$G$2:$G$1501,A101,'Cleaned Feedback'!$K$2:$K$1501,"Critical")</f>
        <v/>
      </c>
      <c r="C101" s="12">
        <f>B101/COUNTIF('Cleaned Feedback'!$G$2:$G$1501,A101)</f>
        <v/>
      </c>
      <c r="D101" s="8" t="n">
        <v>32</v>
      </c>
    </row>
  </sheetData>
  <conditionalFormatting sqref="B6:B11">
    <cfRule type="dataBar" priority="1">
      <dataBar>
        <cfvo type="num" val="0"/>
        <cfvo type="max"/>
        <color rgb="002F6FDE"/>
      </dataBar>
    </cfRule>
  </conditionalFormatting>
  <conditionalFormatting sqref="B15:B19">
    <cfRule type="dataBar" priority="2">
      <dataBar>
        <cfvo type="num" val="0"/>
        <cfvo type="max"/>
        <color rgb="002F6FDE"/>
      </dataBar>
    </cfRule>
  </conditionalFormatting>
  <conditionalFormatting sqref="B23:B25">
    <cfRule type="dataBar" priority="3">
      <dataBar>
        <cfvo type="num" val="0"/>
        <cfvo type="max"/>
        <color rgb="002F6FDE"/>
      </dataBar>
    </cfRule>
  </conditionalFormatting>
  <conditionalFormatting sqref="B29:B32">
    <cfRule type="dataBar" priority="4">
      <dataBar>
        <cfvo type="num" val="0"/>
        <cfvo type="max"/>
        <color rgb="002F6FDE"/>
      </dataBar>
    </cfRule>
  </conditionalFormatting>
  <conditionalFormatting sqref="B36:B38">
    <cfRule type="dataBar" priority="5">
      <dataBar>
        <cfvo type="num" val="0"/>
        <cfvo type="max"/>
        <color rgb="002F6FDE"/>
      </dataBar>
    </cfRule>
  </conditionalFormatting>
  <conditionalFormatting sqref="B42:B44">
    <cfRule type="dataBar" priority="6">
      <dataBar>
        <cfvo type="num" val="0"/>
        <cfvo type="max"/>
        <color rgb="002F6FDE"/>
      </dataBar>
    </cfRule>
  </conditionalFormatting>
  <conditionalFormatting sqref="B48:B51">
    <cfRule type="dataBar" priority="7">
      <dataBar>
        <cfvo type="num" val="0"/>
        <cfvo type="max"/>
        <color rgb="002F6FDE"/>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showGridLines="1"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55" customWidth="1" min="3" max="3"/>
    <col width="14" customWidth="1" min="4" max="4"/>
    <col width="14" customWidth="1" min="5" max="5"/>
    <col width="10" customWidth="1" min="6" max="6"/>
    <col width="9" customWidth="1" min="7" max="7"/>
    <col width="11" customWidth="1" min="8" max="8"/>
    <col width="10" customWidth="1" min="9" max="9"/>
    <col width="11" customWidth="1" min="10" max="10"/>
    <col width="10" customWidth="1" min="11" max="11"/>
    <col width="32" customWidth="1" min="12" max="12"/>
  </cols>
  <sheetData>
    <row r="1">
      <c r="A1" s="1" t="inlineStr">
        <is>
          <t>Feature Prioritization</t>
        </is>
      </c>
    </row>
    <row r="2">
      <c r="A2" s="2" t="inlineStr">
        <is>
          <t>SYNTHETIC DATA — all records are randomly generated for a fictional CRM company; no real customers.</t>
        </is>
      </c>
    </row>
    <row r="3">
      <c r="A3" s="3" t="inlineStr">
        <is>
          <t>Scores/ranks are formulas linked to 'RICE Calculations'. RICE scores are decision aids built on estimates, not objective facts.</t>
        </is>
      </c>
    </row>
    <row r="5" ht="36" customHeight="1">
      <c r="A5" s="4" t="inlineStr">
        <is>
          <t>Feature ID</t>
        </is>
      </c>
      <c r="B5" s="4" t="inlineStr">
        <is>
          <t>Feature Name</t>
        </is>
      </c>
      <c r="C5" s="4" t="inlineStr">
        <is>
          <t>Customer Problem</t>
        </is>
      </c>
      <c r="D5" s="4" t="inlineStr">
        <is>
          <t>Supporting Feedback Count</t>
        </is>
      </c>
      <c r="E5" s="4" t="inlineStr">
        <is>
          <t>Unique Affected Customers</t>
        </is>
      </c>
      <c r="F5" s="4" t="inlineStr">
        <is>
          <t>Reach</t>
        </is>
      </c>
      <c r="G5" s="4" t="inlineStr">
        <is>
          <t>Impact</t>
        </is>
      </c>
      <c r="H5" s="4" t="inlineStr">
        <is>
          <t>Confidence</t>
        </is>
      </c>
      <c r="I5" s="4" t="inlineStr">
        <is>
          <t>Effort (pm)</t>
        </is>
      </c>
      <c r="J5" s="4" t="inlineStr">
        <is>
          <t>RICE Score</t>
        </is>
      </c>
      <c r="K5" s="4" t="inlineStr">
        <is>
          <t>Priority Rank</t>
        </is>
      </c>
      <c r="L5" s="4" t="inlineStr">
        <is>
          <t>Recommendation</t>
        </is>
      </c>
    </row>
    <row r="6">
      <c r="A6" s="13" t="inlineStr">
        <is>
          <t>F01</t>
        </is>
      </c>
      <c r="B6" s="13" t="inlineStr">
        <is>
          <t>Duplicate Detection &amp; Bulk Merge</t>
        </is>
      </c>
      <c r="C6" s="13" t="inlineStr">
        <is>
          <t>Duplicate leads and contacts pile up from imports and web forms; teams clean them by hand</t>
        </is>
      </c>
      <c r="D6" s="13">
        <f>'RICE Calculations'!C9</f>
        <v/>
      </c>
      <c r="E6" s="13">
        <f>'RICE Calculations'!D9</f>
        <v/>
      </c>
      <c r="F6" s="13">
        <f>'RICE Calculations'!E9</f>
        <v/>
      </c>
      <c r="G6" s="13">
        <f>'RICE Calculations'!F9</f>
        <v/>
      </c>
      <c r="H6" s="13">
        <f>'RICE Calculations'!G9</f>
        <v/>
      </c>
      <c r="I6" s="13">
        <f>'RICE Calculations'!H9</f>
        <v/>
      </c>
      <c r="J6" s="13">
        <f>'RICE Calculations'!I9</f>
        <v/>
      </c>
      <c r="K6" s="13">
        <f>'RICE Calculations'!J9</f>
        <v/>
      </c>
      <c r="L6" s="13" t="inlineStr">
        <is>
          <t>Plan next (validate scope)</t>
        </is>
      </c>
    </row>
    <row r="7">
      <c r="A7" s="13" t="inlineStr">
        <is>
          <t>F02</t>
        </is>
      </c>
      <c r="B7" s="13" t="inlineStr">
        <is>
          <t>Lead Scoring &amp; Smart Routing</t>
        </is>
      </c>
      <c r="C7" s="13" t="inlineStr">
        <is>
          <t>Reps prioritise leads by gut feel and routing rules are inflexible</t>
        </is>
      </c>
      <c r="D7" s="13">
        <f>'RICE Calculations'!C10</f>
        <v/>
      </c>
      <c r="E7" s="13">
        <f>'RICE Calculations'!D10</f>
        <v/>
      </c>
      <c r="F7" s="13">
        <f>'RICE Calculations'!E10</f>
        <v/>
      </c>
      <c r="G7" s="13">
        <f>'RICE Calculations'!F10</f>
        <v/>
      </c>
      <c r="H7" s="13">
        <f>'RICE Calculations'!G10</f>
        <v/>
      </c>
      <c r="I7" s="13">
        <f>'RICE Calculations'!H10</f>
        <v/>
      </c>
      <c r="J7" s="13">
        <f>'RICE Calculations'!I10</f>
        <v/>
      </c>
      <c r="K7" s="13">
        <f>'RICE Calculations'!J10</f>
        <v/>
      </c>
      <c r="L7" s="13" t="inlineStr">
        <is>
          <t>Defer; monitor feedback</t>
        </is>
      </c>
    </row>
    <row r="8">
      <c r="A8" s="13" t="inlineStr">
        <is>
          <t>F03</t>
        </is>
      </c>
      <c r="B8" s="13" t="inlineStr">
        <is>
          <t>Reliable CSV Import with Validation</t>
        </is>
      </c>
      <c r="C8" s="13" t="inlineStr">
        <is>
          <t>Contact imports fail or scramble fields with no row-level error detail</t>
        </is>
      </c>
      <c r="D8" s="13">
        <f>'RICE Calculations'!C11</f>
        <v/>
      </c>
      <c r="E8" s="13">
        <f>'RICE Calculations'!D11</f>
        <v/>
      </c>
      <c r="F8" s="13">
        <f>'RICE Calculations'!E11</f>
        <v/>
      </c>
      <c r="G8" s="13">
        <f>'RICE Calculations'!F11</f>
        <v/>
      </c>
      <c r="H8" s="13">
        <f>'RICE Calculations'!G11</f>
        <v/>
      </c>
      <c r="I8" s="13">
        <f>'RICE Calculations'!H11</f>
        <v/>
      </c>
      <c r="J8" s="13">
        <f>'RICE Calculations'!I11</f>
        <v/>
      </c>
      <c r="K8" s="13">
        <f>'RICE Calculations'!J11</f>
        <v/>
      </c>
      <c r="L8" s="13" t="inlineStr">
        <is>
          <t>Build now (next planning cycle)</t>
        </is>
      </c>
    </row>
    <row r="9">
      <c r="A9" s="13" t="inlineStr">
        <is>
          <t>F04</t>
        </is>
      </c>
      <c r="B9" s="13" t="inlineStr">
        <is>
          <t>Workflow Run Monitoring &amp; Failure Alerts</t>
        </is>
      </c>
      <c r="C9" s="13" t="inlineStr">
        <is>
          <t>Automations fail silently or misfire and customers learn about it late</t>
        </is>
      </c>
      <c r="D9" s="13">
        <f>'RICE Calculations'!C12</f>
        <v/>
      </c>
      <c r="E9" s="13">
        <f>'RICE Calculations'!D12</f>
        <v/>
      </c>
      <c r="F9" s="13">
        <f>'RICE Calculations'!E12</f>
        <v/>
      </c>
      <c r="G9" s="13">
        <f>'RICE Calculations'!F12</f>
        <v/>
      </c>
      <c r="H9" s="13">
        <f>'RICE Calculations'!G12</f>
        <v/>
      </c>
      <c r="I9" s="13">
        <f>'RICE Calculations'!H12</f>
        <v/>
      </c>
      <c r="J9" s="13">
        <f>'RICE Calculations'!I12</f>
        <v/>
      </c>
      <c r="K9" s="13">
        <f>'RICE Calculations'!J12</f>
        <v/>
      </c>
      <c r="L9" s="13" t="inlineStr">
        <is>
          <t>Build now (next planning cycle)</t>
        </is>
      </c>
    </row>
    <row r="10">
      <c r="A10" s="13" t="inlineStr">
        <is>
          <t>F05</t>
        </is>
      </c>
      <c r="B10" s="13" t="inlineStr">
        <is>
          <t>Guided Workflow Builder &amp; Templates</t>
        </is>
      </c>
      <c r="C10" s="13" t="inlineStr">
        <is>
          <t>Workflow builder is hard to follow and customers rebuild common flows from scratch</t>
        </is>
      </c>
      <c r="D10" s="13">
        <f>'RICE Calculations'!C13</f>
        <v/>
      </c>
      <c r="E10" s="13">
        <f>'RICE Calculations'!D13</f>
        <v/>
      </c>
      <c r="F10" s="13">
        <f>'RICE Calculations'!E13</f>
        <v/>
      </c>
      <c r="G10" s="13">
        <f>'RICE Calculations'!F13</f>
        <v/>
      </c>
      <c r="H10" s="13">
        <f>'RICE Calculations'!G13</f>
        <v/>
      </c>
      <c r="I10" s="13">
        <f>'RICE Calculations'!H13</f>
        <v/>
      </c>
      <c r="J10" s="13">
        <f>'RICE Calculations'!I13</f>
        <v/>
      </c>
      <c r="K10" s="13">
        <f>'RICE Calculations'!J13</f>
        <v/>
      </c>
      <c r="L10" s="13" t="inlineStr">
        <is>
          <t>Investigate / discovery first</t>
        </is>
      </c>
    </row>
    <row r="11">
      <c r="A11" s="13" t="inlineStr">
        <is>
          <t>F06</t>
        </is>
      </c>
      <c r="B11" s="13" t="inlineStr">
        <is>
          <t>Custom &amp; Scheduled Reports with Reliable Export</t>
        </is>
      </c>
      <c r="C11" s="13" t="inlineStr">
        <is>
          <t>Managers cannot build their own reports and exports truncate or mismatch</t>
        </is>
      </c>
      <c r="D11" s="13">
        <f>'RICE Calculations'!C14</f>
        <v/>
      </c>
      <c r="E11" s="13">
        <f>'RICE Calculations'!D14</f>
        <v/>
      </c>
      <c r="F11" s="13">
        <f>'RICE Calculations'!E14</f>
        <v/>
      </c>
      <c r="G11" s="13">
        <f>'RICE Calculations'!F14</f>
        <v/>
      </c>
      <c r="H11" s="13">
        <f>'RICE Calculations'!G14</f>
        <v/>
      </c>
      <c r="I11" s="13">
        <f>'RICE Calculations'!H14</f>
        <v/>
      </c>
      <c r="J11" s="13">
        <f>'RICE Calculations'!I14</f>
        <v/>
      </c>
      <c r="K11" s="13">
        <f>'RICE Calculations'!J14</f>
        <v/>
      </c>
      <c r="L11" s="13" t="inlineStr">
        <is>
          <t>Investigate / discovery first</t>
        </is>
      </c>
    </row>
    <row r="12">
      <c r="A12" s="13" t="inlineStr">
        <is>
          <t>F07</t>
        </is>
      </c>
      <c r="B12" s="13" t="inlineStr">
        <is>
          <t>Performance Tuning for Dashboards &amp; Lists</t>
        </is>
      </c>
      <c r="C12" s="13" t="inlineStr">
        <is>
          <t>Dashboards, lead boards, search and pages are slow with large data</t>
        </is>
      </c>
      <c r="D12" s="13">
        <f>'RICE Calculations'!C15</f>
        <v/>
      </c>
      <c r="E12" s="13">
        <f>'RICE Calculations'!D15</f>
        <v/>
      </c>
      <c r="F12" s="13">
        <f>'RICE Calculations'!E15</f>
        <v/>
      </c>
      <c r="G12" s="13">
        <f>'RICE Calculations'!F15</f>
        <v/>
      </c>
      <c r="H12" s="13">
        <f>'RICE Calculations'!G15</f>
        <v/>
      </c>
      <c r="I12" s="13">
        <f>'RICE Calculations'!H15</f>
        <v/>
      </c>
      <c r="J12" s="13">
        <f>'RICE Calculations'!I15</f>
        <v/>
      </c>
      <c r="K12" s="13">
        <f>'RICE Calculations'!J15</f>
        <v/>
      </c>
      <c r="L12" s="13" t="inlineStr">
        <is>
          <t>Build now (next planning cycle)</t>
        </is>
      </c>
    </row>
    <row r="13">
      <c r="A13" s="13" t="inlineStr">
        <is>
          <t>F08</t>
        </is>
      </c>
      <c r="B13" s="13" t="inlineStr">
        <is>
          <t>Email &amp; Calendar Sync Reliability</t>
        </is>
      </c>
      <c r="C13" s="13" t="inlineStr">
        <is>
          <t>Gmail/Outlook sync disconnects and drops activities</t>
        </is>
      </c>
      <c r="D13" s="13">
        <f>'RICE Calculations'!C16</f>
        <v/>
      </c>
      <c r="E13" s="13">
        <f>'RICE Calculations'!D16</f>
        <v/>
      </c>
      <c r="F13" s="13">
        <f>'RICE Calculations'!E16</f>
        <v/>
      </c>
      <c r="G13" s="13">
        <f>'RICE Calculations'!F16</f>
        <v/>
      </c>
      <c r="H13" s="13">
        <f>'RICE Calculations'!G16</f>
        <v/>
      </c>
      <c r="I13" s="13">
        <f>'RICE Calculations'!H16</f>
        <v/>
      </c>
      <c r="J13" s="13">
        <f>'RICE Calculations'!I16</f>
        <v/>
      </c>
      <c r="K13" s="13">
        <f>'RICE Calculations'!J16</f>
        <v/>
      </c>
      <c r="L13" s="13" t="inlineStr">
        <is>
          <t>Plan next (validate scope)</t>
        </is>
      </c>
    </row>
    <row r="14">
      <c r="A14" s="13" t="inlineStr">
        <is>
          <t>F09</t>
        </is>
      </c>
      <c r="B14" s="13" t="inlineStr">
        <is>
          <t>API &amp; Webhook Reliability Console</t>
        </is>
      </c>
      <c r="C14" s="13" t="inlineStr">
        <is>
          <t>Rate limits and failed webhooks are hard to debug with no retry or logs</t>
        </is>
      </c>
      <c r="D14" s="13">
        <f>'RICE Calculations'!C17</f>
        <v/>
      </c>
      <c r="E14" s="13">
        <f>'RICE Calculations'!D17</f>
        <v/>
      </c>
      <c r="F14" s="13">
        <f>'RICE Calculations'!E17</f>
        <v/>
      </c>
      <c r="G14" s="13">
        <f>'RICE Calculations'!F17</f>
        <v/>
      </c>
      <c r="H14" s="13">
        <f>'RICE Calculations'!G17</f>
        <v/>
      </c>
      <c r="I14" s="13">
        <f>'RICE Calculations'!H17</f>
        <v/>
      </c>
      <c r="J14" s="13">
        <f>'RICE Calculations'!I17</f>
        <v/>
      </c>
      <c r="K14" s="13">
        <f>'RICE Calculations'!J17</f>
        <v/>
      </c>
      <c r="L14" s="13" t="inlineStr">
        <is>
          <t>Plan next (validate scope)</t>
        </is>
      </c>
    </row>
    <row r="15">
      <c r="A15" s="13" t="inlineStr">
        <is>
          <t>F10</t>
        </is>
      </c>
      <c r="B15" s="13" t="inlineStr">
        <is>
          <t>Native Integrations (Accounting, Marketing, Slack)</t>
        </is>
      </c>
      <c r="C15" s="13" t="inlineStr">
        <is>
          <t>Customers maintain Zapier chains and re-enter data across systems</t>
        </is>
      </c>
      <c r="D15" s="13">
        <f>'RICE Calculations'!C18</f>
        <v/>
      </c>
      <c r="E15" s="13">
        <f>'RICE Calculations'!D18</f>
        <v/>
      </c>
      <c r="F15" s="13">
        <f>'RICE Calculations'!E18</f>
        <v/>
      </c>
      <c r="G15" s="13">
        <f>'RICE Calculations'!F18</f>
        <v/>
      </c>
      <c r="H15" s="13">
        <f>'RICE Calculations'!G18</f>
        <v/>
      </c>
      <c r="I15" s="13">
        <f>'RICE Calculations'!H18</f>
        <v/>
      </c>
      <c r="J15" s="13">
        <f>'RICE Calculations'!I18</f>
        <v/>
      </c>
      <c r="K15" s="13">
        <f>'RICE Calculations'!J18</f>
        <v/>
      </c>
      <c r="L15" s="13" t="inlineStr">
        <is>
          <t>Defer; monitor feedback</t>
        </is>
      </c>
    </row>
    <row r="16">
      <c r="A16" s="13" t="inlineStr">
        <is>
          <t>F11</t>
        </is>
      </c>
      <c r="B16" s="13" t="inlineStr">
        <is>
          <t>Mobile App</t>
        </is>
      </c>
      <c r="C16" s="13" t="inlineStr">
        <is>
          <t>Field reps cannot update deals or log activity away from a desk</t>
        </is>
      </c>
      <c r="D16" s="13">
        <f>'RICE Calculations'!C19</f>
        <v/>
      </c>
      <c r="E16" s="13">
        <f>'RICE Calculations'!D19</f>
        <v/>
      </c>
      <c r="F16" s="13">
        <f>'RICE Calculations'!E19</f>
        <v/>
      </c>
      <c r="G16" s="13">
        <f>'RICE Calculations'!F19</f>
        <v/>
      </c>
      <c r="H16" s="13">
        <f>'RICE Calculations'!G19</f>
        <v/>
      </c>
      <c r="I16" s="13">
        <f>'RICE Calculations'!H19</f>
        <v/>
      </c>
      <c r="J16" s="13">
        <f>'RICE Calculations'!I19</f>
        <v/>
      </c>
      <c r="K16" s="13">
        <f>'RICE Calculations'!J19</f>
        <v/>
      </c>
      <c r="L16" s="13" t="inlineStr">
        <is>
          <t>Defer; monitor feedback</t>
        </is>
      </c>
    </row>
    <row r="17">
      <c r="A17" s="13" t="inlineStr">
        <is>
          <t>F12</t>
        </is>
      </c>
      <c r="B17" s="13" t="inlineStr">
        <is>
          <t>Bulk Actions &amp; Simplified Navigation</t>
        </is>
      </c>
      <c r="C17" s="13" t="inlineStr">
        <is>
          <t>Records are changed one at a time and navigation is cluttered</t>
        </is>
      </c>
      <c r="D17" s="13">
        <f>'RICE Calculations'!C20</f>
        <v/>
      </c>
      <c r="E17" s="13">
        <f>'RICE Calculations'!D20</f>
        <v/>
      </c>
      <c r="F17" s="13">
        <f>'RICE Calculations'!E20</f>
        <v/>
      </c>
      <c r="G17" s="13">
        <f>'RICE Calculations'!F20</f>
        <v/>
      </c>
      <c r="H17" s="13">
        <f>'RICE Calculations'!G20</f>
        <v/>
      </c>
      <c r="I17" s="13">
        <f>'RICE Calculations'!H20</f>
        <v/>
      </c>
      <c r="J17" s="13">
        <f>'RICE Calculations'!I20</f>
        <v/>
      </c>
      <c r="K17" s="13">
        <f>'RICE Calculations'!J20</f>
        <v/>
      </c>
      <c r="L17" s="13" t="inlineStr">
        <is>
          <t>Investigate / discovery first</t>
        </is>
      </c>
    </row>
  </sheetData>
  <autoFilter ref="A5:L17"/>
  <conditionalFormatting sqref="J6:J17">
    <cfRule type="colorScale" priority="1">
      <colorScale>
        <cfvo type="min"/>
        <cfvo type="percentile" val="50"/>
        <cfvo type="max"/>
        <color rgb="00F8D7DA"/>
        <color rgb="00FFF3CD"/>
        <color rgb="00C6E8CF"/>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2"/>
  <sheetViews>
    <sheetView showGridLines="1" workbookViewId="0">
      <pane xSplit="2" ySplit="8" topLeftCell="C9"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16" customWidth="1" min="3" max="3"/>
    <col width="16" customWidth="1" min="4" max="4"/>
    <col width="16" customWidth="1" min="5" max="5"/>
    <col width="12" customWidth="1" min="6" max="6"/>
    <col width="14" customWidth="1" min="7" max="7"/>
    <col width="16" customWidth="1" min="8" max="8"/>
    <col width="12" customWidth="1" min="9" max="9"/>
    <col width="12" customWidth="1" min="10" max="10"/>
    <col width="16" customWidth="1" min="11" max="11"/>
    <col width="110" customWidth="1" min="12" max="12"/>
  </cols>
  <sheetData>
    <row r="1">
      <c r="A1" s="1" t="inlineStr">
        <is>
          <t>RICE Calculations</t>
        </is>
      </c>
    </row>
    <row r="2">
      <c r="A2" s="2" t="inlineStr">
        <is>
          <t>SYNTHETIC DATA — all records are randomly generated for a fictional CRM company; no real customers.</t>
        </is>
      </c>
    </row>
    <row r="3">
      <c r="A3" s="3" t="inlineStr">
        <is>
          <t>Reach window: 2025-10-01 to 2026-09-30 (12 months). RICE = Reach × Impact × Confidence ÷ Effort. Green = observed from data; yellow = analyst ESTIMATE (editable — scores and ranks recalculate).</t>
        </is>
      </c>
    </row>
    <row r="5">
      <c r="A5" t="inlineStr">
        <is>
          <t>Reporting multiplier (estimate)</t>
        </is>
      </c>
      <c r="B5" s="14" t="n">
        <v>2.5</v>
      </c>
      <c r="C5" t="inlineStr">
        <is>
          <t>Assumed # of affected accounts represented by each account that reported (feedback under-reports).</t>
        </is>
      </c>
    </row>
    <row r="6">
      <c r="A6" t="inlineStr">
        <is>
          <t>Account base / reach cap (observed)</t>
        </is>
      </c>
      <c r="B6" s="15" t="n">
        <v>420</v>
      </c>
      <c r="C6" t="inlineStr">
        <is>
          <t>Accounts in synthetic customer master; Reach cannot exceed this.</t>
        </is>
      </c>
    </row>
    <row r="8" ht="48" customHeight="1">
      <c r="A8" s="4" t="inlineStr">
        <is>
          <t>Feature ID</t>
        </is>
      </c>
      <c r="B8" s="4" t="inlineStr">
        <is>
          <t>Feature Name</t>
        </is>
      </c>
      <c r="C8" s="4" t="inlineStr">
        <is>
          <t>Supporting Feedback (observed)</t>
        </is>
      </c>
      <c r="D8" s="4" t="inlineStr">
        <is>
          <t>Unique Affected Customers (observed)</t>
        </is>
      </c>
      <c r="E8" s="4" t="inlineStr">
        <is>
          <t>Reach (est. accounts/12 mo)</t>
        </is>
      </c>
      <c r="F8" s="4" t="inlineStr">
        <is>
          <t>Impact (estimate)</t>
        </is>
      </c>
      <c r="G8" s="4" t="inlineStr">
        <is>
          <t>Confidence (estimate)</t>
        </is>
      </c>
      <c r="H8" s="4" t="inlineStr">
        <is>
          <t>Effort (person-months, estimate)</t>
        </is>
      </c>
      <c r="I8" s="4" t="inlineStr">
        <is>
          <t>RICE Score</t>
        </is>
      </c>
      <c r="J8" s="4" t="inlineStr">
        <is>
          <t>Priority Rank</t>
        </is>
      </c>
      <c r="K8" s="4" t="inlineStr">
        <is>
          <t>Python RICE (cross-check)</t>
        </is>
      </c>
      <c r="L8" s="4" t="inlineStr">
        <is>
          <t>How estimates were chosen</t>
        </is>
      </c>
    </row>
    <row r="9">
      <c r="A9" s="13" t="inlineStr">
        <is>
          <t>F01</t>
        </is>
      </c>
      <c r="B9" s="13" t="inlineStr">
        <is>
          <t>Duplicate Detection &amp; Bulk Merge</t>
        </is>
      </c>
      <c r="C9" s="16" t="n">
        <v>150</v>
      </c>
      <c r="D9" s="16" t="n">
        <v>118</v>
      </c>
      <c r="E9" s="13">
        <f>MIN($B$6,ROUND(D9*$B$5,0))</f>
        <v/>
      </c>
      <c r="F9" s="17" t="n">
        <v>1</v>
      </c>
      <c r="G9" s="18" t="n">
        <v>1</v>
      </c>
      <c r="H9" s="17" t="n">
        <v>4</v>
      </c>
      <c r="I9" s="13">
        <f>ROUND(E9*F9*G9/H9,2)</f>
        <v/>
      </c>
      <c r="J9" s="13">
        <f>RANK(I9,$I$9:$I$20)</f>
        <v/>
      </c>
      <c r="K9" s="13" t="n">
        <v>73.75</v>
      </c>
      <c r="L9" s="13" t="inlineStr">
        <is>
          <t>Impact 1.0: 37% of supporting records are High/Critical severity or blocking/risk impact (thresholds: &gt;=55%-&gt;3, &gt;=40%-&gt;2, &gt;=25%-&gt;1, &gt;=12%-&gt;0.5, else 0.25). Confidence 1.00: 150 records, 4/4 sources, 3/3 plans (rule: 0.5 base +0.1 per evidence criterion) minus tech-risk penalty 0.0. Reach 295: 118 reporting accounts x 2.5 reporting multiplier, capped at the 420-account base. Effort 4.0 person-months: Matching engine + merge UI + history-preserving merge; ~2 engineers for 2 months (analyst estimate)</t>
        </is>
      </c>
    </row>
    <row r="10">
      <c r="A10" s="13" t="inlineStr">
        <is>
          <t>F02</t>
        </is>
      </c>
      <c r="B10" s="13" t="inlineStr">
        <is>
          <t>Lead Scoring &amp; Smart Routing</t>
        </is>
      </c>
      <c r="C10" s="16" t="n">
        <v>114</v>
      </c>
      <c r="D10" s="16" t="n">
        <v>90</v>
      </c>
      <c r="E10" s="13">
        <f>MIN($B$6,ROUND(D10*$B$5,0))</f>
        <v/>
      </c>
      <c r="F10" s="17" t="n">
        <v>0.5</v>
      </c>
      <c r="G10" s="18" t="n">
        <v>0.8</v>
      </c>
      <c r="H10" s="17" t="n">
        <v>5</v>
      </c>
      <c r="I10" s="13">
        <f>ROUND(E10*F10*G10/H10,2)</f>
        <v/>
      </c>
      <c r="J10" s="13">
        <f>RANK(I10,$I$9:$I$20)</f>
        <v/>
      </c>
      <c r="K10" s="13" t="n">
        <v>18</v>
      </c>
      <c r="L10" s="13" t="inlineStr">
        <is>
          <t>Impact 0.5: 23% of supporting records are High/Critical severity or blocking/risk impact (thresholds: &gt;=55%-&gt;3, &gt;=40%-&gt;2, &gt;=25%-&gt;1, &gt;=12%-&gt;0.5, else 0.25). Confidence 0.80: 114 records, 4/4 sources, 3/3 plans (rule: 0.5 base +0.1 per evidence criterion) minus tech-risk penalty 0.1. Reach 225: 90 reporting accounts x 2.5 reporting multiplier, capped at the 420-account base. Effort 5.0 person-months: Rules-based scoring first, routing builder reuse; model quality is uncertain (analyst estimate)</t>
        </is>
      </c>
    </row>
    <row r="11">
      <c r="A11" s="13" t="inlineStr">
        <is>
          <t>F03</t>
        </is>
      </c>
      <c r="B11" s="13" t="inlineStr">
        <is>
          <t>Reliable CSV Import with Validation</t>
        </is>
      </c>
      <c r="C11" s="16" t="n">
        <v>102</v>
      </c>
      <c r="D11" s="16" t="n">
        <v>86</v>
      </c>
      <c r="E11" s="13">
        <f>MIN($B$6,ROUND(D11*$B$5,0))</f>
        <v/>
      </c>
      <c r="F11" s="17" t="n">
        <v>2</v>
      </c>
      <c r="G11" s="18" t="n">
        <v>0.9</v>
      </c>
      <c r="H11" s="17" t="n">
        <v>2</v>
      </c>
      <c r="I11" s="13">
        <f>ROUND(E11*F11*G11/H11,2)</f>
        <v/>
      </c>
      <c r="J11" s="13">
        <f>RANK(I11,$I$9:$I$20)</f>
        <v/>
      </c>
      <c r="K11" s="13" t="n">
        <v>193.5</v>
      </c>
      <c r="L11" s="13" t="inlineStr">
        <is>
          <t>Impact 2.0: 50% of supporting records are High/Critical severity or blocking/risk impact (thresholds: &gt;=55%-&gt;3, &gt;=40%-&gt;2, &gt;=25%-&gt;1, &gt;=12%-&gt;0.5, else 0.25). Confidence 0.90: 102 records, 4/4 sources, 3/3 plans (rule: 0.5 base +0.1 per evidence criterion) minus tech-risk penalty 0.0. Reach 215: 86 reporting accounts x 2.5 reporting multiplier, capped at the 420-account base. Effort 2.0 person-months: Pre-import validation, field-mapping memory, row-level error report (analyst estimate)</t>
        </is>
      </c>
    </row>
    <row r="12">
      <c r="A12" s="13" t="inlineStr">
        <is>
          <t>F04</t>
        </is>
      </c>
      <c r="B12" s="13" t="inlineStr">
        <is>
          <t>Workflow Run Monitoring &amp; Failure Alerts</t>
        </is>
      </c>
      <c r="C12" s="16" t="n">
        <v>100</v>
      </c>
      <c r="D12" s="16" t="n">
        <v>78</v>
      </c>
      <c r="E12" s="13">
        <f>MIN($B$6,ROUND(D12*$B$5,0))</f>
        <v/>
      </c>
      <c r="F12" s="17" t="n">
        <v>2</v>
      </c>
      <c r="G12" s="18" t="n">
        <v>0.9</v>
      </c>
      <c r="H12" s="17" t="n">
        <v>2.5</v>
      </c>
      <c r="I12" s="13">
        <f>ROUND(E12*F12*G12/H12,2)</f>
        <v/>
      </c>
      <c r="J12" s="13">
        <f>RANK(I12,$I$9:$I$20)</f>
        <v/>
      </c>
      <c r="K12" s="13" t="n">
        <v>140.4</v>
      </c>
      <c r="L12" s="13" t="inlineStr">
        <is>
          <t>Impact 2.0: 53% of supporting records are High/Critical severity or blocking/risk impact (thresholds: &gt;=55%-&gt;3, &gt;=40%-&gt;2, &gt;=25%-&gt;1, &gt;=12%-&gt;0.5, else 0.25). Confidence 0.90: 100 records, 4/4 sources, 3/3 plans (rule: 0.5 base +0.1 per evidence criterion) minus tech-risk penalty 0.0. Reach 195: 78 reporting accounts x 2.5 reporting multiplier, capped at the 420-account base. Effort 2.5 person-months: Run log UI, failure alerts, retry controls on existing engine (analyst estimate)</t>
        </is>
      </c>
    </row>
    <row r="13">
      <c r="A13" s="13" t="inlineStr">
        <is>
          <t>F05</t>
        </is>
      </c>
      <c r="B13" s="13" t="inlineStr">
        <is>
          <t>Guided Workflow Builder &amp; Templates</t>
        </is>
      </c>
      <c r="C13" s="16" t="n">
        <v>166</v>
      </c>
      <c r="D13" s="16" t="n">
        <v>124</v>
      </c>
      <c r="E13" s="13">
        <f>MIN($B$6,ROUND(D13*$B$5,0))</f>
        <v/>
      </c>
      <c r="F13" s="17" t="n">
        <v>1</v>
      </c>
      <c r="G13" s="18" t="n">
        <v>1</v>
      </c>
      <c r="H13" s="17" t="n">
        <v>5</v>
      </c>
      <c r="I13" s="13">
        <f>ROUND(E13*F13*G13/H13,2)</f>
        <v/>
      </c>
      <c r="J13" s="13">
        <f>RANK(I13,$I$9:$I$20)</f>
        <v/>
      </c>
      <c r="K13" s="13" t="n">
        <v>62</v>
      </c>
      <c r="L13" s="13" t="inlineStr">
        <is>
          <t>Impact 1.0: 27% of supporting records are High/Critical severity or blocking/risk impact (thresholds: &gt;=55%-&gt;3, &gt;=40%-&gt;2, &gt;=25%-&gt;1, &gt;=12%-&gt;0.5, else 0.25). Confidence 1.00: 166 records, 4/4 sources, 3/3 plans (rule: 0.5 base +0.1 per evidence criterion) minus tech-risk penalty 0.0. Reach 310: 124 reporting accounts x 2.5 reporting multiplier, capped at the 420-account base. Effort 5.0 person-months: Builder UX rework plus 10-15 templates; design-heavy (analyst estimate)</t>
        </is>
      </c>
    </row>
    <row r="14">
      <c r="A14" s="13" t="inlineStr">
        <is>
          <t>F06</t>
        </is>
      </c>
      <c r="B14" s="13" t="inlineStr">
        <is>
          <t>Custom &amp; Scheduled Reports with Reliable Export</t>
        </is>
      </c>
      <c r="C14" s="16" t="n">
        <v>135</v>
      </c>
      <c r="D14" s="16" t="n">
        <v>96</v>
      </c>
      <c r="E14" s="13">
        <f>MIN($B$6,ROUND(D14*$B$5,0))</f>
        <v/>
      </c>
      <c r="F14" s="17" t="n">
        <v>1</v>
      </c>
      <c r="G14" s="18" t="n">
        <v>0.8</v>
      </c>
      <c r="H14" s="17" t="n">
        <v>6</v>
      </c>
      <c r="I14" s="13">
        <f>ROUND(E14*F14*G14/H14,2)</f>
        <v/>
      </c>
      <c r="J14" s="13">
        <f>RANK(I14,$I$9:$I$20)</f>
        <v/>
      </c>
      <c r="K14" s="13" t="n">
        <v>32</v>
      </c>
      <c r="L14" s="13" t="inlineStr">
        <is>
          <t>Impact 1.0: 39% of supporting records are High/Critical severity or blocking/risk impact (thresholds: &gt;=55%-&gt;3, &gt;=40%-&gt;2, &gt;=25%-&gt;1, &gt;=12%-&gt;0.5, else 0.25). Confidence 0.80: 135 records, 4/4 sources, 3/3 plans (rule: 0.5 base +0.1 per evidence criterion) minus tech-risk penalty 0.1. Reach 240: 96 reporting accounts x 2.5 reporting multiplier, capped at the 420-account base. Effort 6.0 person-months: Report builder is a large scope; export fix is small (analyst estimate)</t>
        </is>
      </c>
    </row>
    <row r="15">
      <c r="A15" s="13" t="inlineStr">
        <is>
          <t>F07</t>
        </is>
      </c>
      <c r="B15" s="13" t="inlineStr">
        <is>
          <t>Performance Tuning for Dashboards &amp; Lists</t>
        </is>
      </c>
      <c r="C15" s="16" t="n">
        <v>189</v>
      </c>
      <c r="D15" s="16" t="n">
        <v>125</v>
      </c>
      <c r="E15" s="13">
        <f>MIN($B$6,ROUND(D15*$B$5,0))</f>
        <v/>
      </c>
      <c r="F15" s="17" t="n">
        <v>2</v>
      </c>
      <c r="G15" s="18" t="n">
        <v>0.9</v>
      </c>
      <c r="H15" s="17" t="n">
        <v>5</v>
      </c>
      <c r="I15" s="13">
        <f>ROUND(E15*F15*G15/H15,2)</f>
        <v/>
      </c>
      <c r="J15" s="13">
        <f>RANK(I15,$I$9:$I$20)</f>
        <v/>
      </c>
      <c r="K15" s="13" t="n">
        <v>112.68</v>
      </c>
      <c r="L15" s="13" t="inlineStr">
        <is>
          <t>Impact 2.0: 44% of supporting records are High/Critical severity or blocking/risk impact (thresholds: &gt;=55%-&gt;3, &gt;=40%-&gt;2, &gt;=25%-&gt;1, &gt;=12%-&gt;0.5, else 0.25). Confidence 0.90: 189 records, 4/4 sources, 3/3 plans (rule: 0.5 base +0.1 per evidence criterion) minus tech-risk penalty 0.1. Reach 313: 125 reporting accounts x 2.5 reporting multiplier, capped at the 420-account base. Effort 5.0 person-months: Profiling-driven; root causes unknown until investigated (analyst estimate)</t>
        </is>
      </c>
    </row>
    <row r="16">
      <c r="A16" s="13" t="inlineStr">
        <is>
          <t>F08</t>
        </is>
      </c>
      <c r="B16" s="13" t="inlineStr">
        <is>
          <t>Email &amp; Calendar Sync Reliability</t>
        </is>
      </c>
      <c r="C16" s="16" t="n">
        <v>88</v>
      </c>
      <c r="D16" s="16" t="n">
        <v>74</v>
      </c>
      <c r="E16" s="13">
        <f>MIN($B$6,ROUND(D16*$B$5,0))</f>
        <v/>
      </c>
      <c r="F16" s="17" t="n">
        <v>2</v>
      </c>
      <c r="G16" s="18" t="n">
        <v>0.7</v>
      </c>
      <c r="H16" s="17" t="n">
        <v>3</v>
      </c>
      <c r="I16" s="13">
        <f>ROUND(E16*F16*G16/H16,2)</f>
        <v/>
      </c>
      <c r="J16" s="13">
        <f>RANK(I16,$I$9:$I$20)</f>
        <v/>
      </c>
      <c r="K16" s="13" t="n">
        <v>86.33</v>
      </c>
      <c r="L16" s="13" t="inlineStr">
        <is>
          <t>Impact 2.0: 50% of supporting records are High/Critical severity or blocking/risk impact (thresholds: &gt;=55%-&gt;3, &gt;=40%-&gt;2, &gt;=25%-&gt;1, &gt;=12%-&gt;0.5, else 0.25). Confidence 0.70: 88 records, 4/4 sources, 3/3 plans (rule: 0.5 base +0.1 per evidence criterion) minus tech-risk penalty 0.1. Reach 185: 74 reporting accounts x 2.5 reporting multiplier, capped at the 420-account base. Effort 3.0 person-months: Token refresh, health indicator, backfill job; third-party API quirks (analyst estimate)</t>
        </is>
      </c>
    </row>
    <row r="17">
      <c r="A17" s="13" t="inlineStr">
        <is>
          <t>F09</t>
        </is>
      </c>
      <c r="B17" s="13" t="inlineStr">
        <is>
          <t>API &amp; Webhook Reliability Console</t>
        </is>
      </c>
      <c r="C17" s="16" t="n">
        <v>65</v>
      </c>
      <c r="D17" s="16" t="n">
        <v>55</v>
      </c>
      <c r="E17" s="13">
        <f>MIN($B$6,ROUND(D17*$B$5,0))</f>
        <v/>
      </c>
      <c r="F17" s="17" t="n">
        <v>2</v>
      </c>
      <c r="G17" s="18" t="n">
        <v>0.7</v>
      </c>
      <c r="H17" s="17" t="n">
        <v>2.5</v>
      </c>
      <c r="I17" s="13">
        <f>ROUND(E17*F17*G17/H17,2)</f>
        <v/>
      </c>
      <c r="J17" s="13">
        <f>RANK(I17,$I$9:$I$20)</f>
        <v/>
      </c>
      <c r="K17" s="13" t="n">
        <v>77.28</v>
      </c>
      <c r="L17" s="13" t="inlineStr">
        <is>
          <t>Impact 2.0: 54% of supporting records are High/Critical severity or blocking/risk impact (thresholds: &gt;=55%-&gt;3, &gt;=40%-&gt;2, &gt;=25%-&gt;1, &gt;=12%-&gt;0.5, else 0.25). Confidence 0.70: 65 records, 3/4 sources, 3/3 plans (rule: 0.5 base +0.1 per evidence criterion) minus tech-risk penalty 0.0. Reach 138: 55 reporting accounts x 2.5 reporting multiplier, capped at the 420-account base. Effort 2.5 person-months: Delivery log, retries, rate-limit headers and docs (analyst estimate)</t>
        </is>
      </c>
    </row>
    <row r="18">
      <c r="A18" s="13" t="inlineStr">
        <is>
          <t>F10</t>
        </is>
      </c>
      <c r="B18" s="13" t="inlineStr">
        <is>
          <t>Native Integrations (Accounting, Marketing, Slack)</t>
        </is>
      </c>
      <c r="C18" s="16" t="n">
        <v>58</v>
      </c>
      <c r="D18" s="16" t="n">
        <v>53</v>
      </c>
      <c r="E18" s="13">
        <f>MIN($B$6,ROUND(D18*$B$5,0))</f>
        <v/>
      </c>
      <c r="F18" s="17" t="n">
        <v>0.5</v>
      </c>
      <c r="G18" s="18" t="n">
        <v>0.7</v>
      </c>
      <c r="H18" s="17" t="n">
        <v>8</v>
      </c>
      <c r="I18" s="13">
        <f>ROUND(E18*F18*G18/H18,2)</f>
        <v/>
      </c>
      <c r="J18" s="13">
        <f>RANK(I18,$I$9:$I$20)</f>
        <v/>
      </c>
      <c r="K18" s="13" t="n">
        <v>5.82</v>
      </c>
      <c r="L18" s="13" t="inlineStr">
        <is>
          <t>Impact 0.5: 24% of supporting records are High/Critical severity or blocking/risk impact (thresholds: &gt;=55%-&gt;3, &gt;=40%-&gt;2, &gt;=25%-&gt;1, &gt;=12%-&gt;0.5, else 0.25). Confidence 0.70: 58 records, 4/4 sources, 3/3 plans (rule: 0.5 base +0.1 per evidence criterion) minus tech-risk penalty 0.1. Reach 133: 53 reporting accounts x 2.5 reporting multiplier, capped at the 420-account base. Effort 8.0 person-months: Three connectors with partner reviews (analyst estimate)</t>
        </is>
      </c>
    </row>
    <row r="19">
      <c r="A19" s="13" t="inlineStr">
        <is>
          <t>F11</t>
        </is>
      </c>
      <c r="B19" s="13" t="inlineStr">
        <is>
          <t>Mobile App</t>
        </is>
      </c>
      <c r="C19" s="16" t="n">
        <v>82</v>
      </c>
      <c r="D19" s="16" t="n">
        <v>68</v>
      </c>
      <c r="E19" s="13">
        <f>MIN($B$6,ROUND(D19*$B$5,0))</f>
        <v/>
      </c>
      <c r="F19" s="17" t="n">
        <v>0.5</v>
      </c>
      <c r="G19" s="18" t="n">
        <v>0.7</v>
      </c>
      <c r="H19" s="17" t="n">
        <v>12</v>
      </c>
      <c r="I19" s="13">
        <f>ROUND(E19*F19*G19/H19,2)</f>
        <v/>
      </c>
      <c r="J19" s="13">
        <f>RANK(I19,$I$9:$I$20)</f>
        <v/>
      </c>
      <c r="K19" s="13" t="n">
        <v>4.96</v>
      </c>
      <c r="L19" s="13" t="inlineStr">
        <is>
          <t>Impact 0.5: 22% of supporting records are High/Critical severity or blocking/risk impact (thresholds: &gt;=55%-&gt;3, &gt;=40%-&gt;2, &gt;=25%-&gt;1, &gt;=12%-&gt;0.5, else 0.25). Confidence 0.70: 82 records, 4/4 sources, 3/3 plans (rule: 0.5 base +0.1 per evidence criterion) minus tech-risk penalty 0.1. Reach 170: 68 reporting accounts x 2.5 reporting multiplier, capped at the 420-account base. Effort 12.0 person-months: New client, offline sync, app-store release; largest scope (analyst estimate)</t>
        </is>
      </c>
    </row>
    <row r="20">
      <c r="A20" s="13" t="inlineStr">
        <is>
          <t>F12</t>
        </is>
      </c>
      <c r="B20" s="13" t="inlineStr">
        <is>
          <t>Bulk Actions &amp; Simplified Navigation</t>
        </is>
      </c>
      <c r="C20" s="16" t="n">
        <v>100</v>
      </c>
      <c r="D20" s="16" t="n">
        <v>84</v>
      </c>
      <c r="E20" s="13">
        <f>MIN($B$6,ROUND(D20*$B$5,0))</f>
        <v/>
      </c>
      <c r="F20" s="17" t="n">
        <v>1</v>
      </c>
      <c r="G20" s="18" t="n">
        <v>0.9</v>
      </c>
      <c r="H20" s="17" t="n">
        <v>3</v>
      </c>
      <c r="I20" s="13">
        <f>ROUND(E20*F20*G20/H20,2)</f>
        <v/>
      </c>
      <c r="J20" s="13">
        <f>RANK(I20,$I$9:$I$20)</f>
        <v/>
      </c>
      <c r="K20" s="13" t="n">
        <v>63</v>
      </c>
      <c r="L20" s="13" t="inlineStr">
        <is>
          <t>Impact 1.0: 26% of supporting records are High/Critical severity or blocking/risk impact (thresholds: &gt;=55%-&gt;3, &gt;=40%-&gt;2, &gt;=25%-&gt;1, &gt;=12%-&gt;0.5, else 0.25). Confidence 0.90: 100 records, 4/4 sources, 3/3 plans (rule: 0.5 base +0.1 per evidence criterion) minus tech-risk penalty 0.0. Reach 210: 84 reporting accounts x 2.5 reporting multiplier, capped at the 420-account base. Effort 3.0 person-months: Multi-select framework plus IA changes (analyst estimate)</t>
        </is>
      </c>
    </row>
    <row r="23">
      <c r="A23" s="19" t="inlineStr">
        <is>
          <t>Sensitivity analysis — priority rank under alternative assumptions (computed in Python)</t>
        </is>
      </c>
    </row>
    <row r="24">
      <c r="A24" s="4" t="inlineStr">
        <is>
          <t>feature_id</t>
        </is>
      </c>
      <c r="B24" s="4" t="inlineStr">
        <is>
          <t>feature_name</t>
        </is>
      </c>
      <c r="C24" s="4" t="inlineStr">
        <is>
          <t>Base case</t>
        </is>
      </c>
      <c r="D24" s="4" t="inlineStr">
        <is>
          <t>Reporting multiplier 1.5</t>
        </is>
      </c>
      <c r="E24" s="4" t="inlineStr">
        <is>
          <t>Reporting multiplier 4.0</t>
        </is>
      </c>
      <c r="F24" s="4" t="inlineStr">
        <is>
          <t>Reach capped at 250 accounts</t>
        </is>
      </c>
      <c r="G24" s="4" t="inlineStr">
        <is>
          <t>Impact from High/Critical severity only</t>
        </is>
      </c>
      <c r="H24" s="4" t="inlineStr">
        <is>
          <t>Confidence flat 0.8</t>
        </is>
      </c>
      <c r="I24" s="4" t="inlineStr">
        <is>
          <t>Optimistic effort (low estimates)</t>
        </is>
      </c>
      <c r="J24" s="4" t="inlineStr">
        <is>
          <t>Pessimistic effort (high estimates)</t>
        </is>
      </c>
      <c r="K24" s="4" t="inlineStr">
        <is>
          <t>Best rank</t>
        </is>
      </c>
      <c r="L24" s="4" t="inlineStr">
        <is>
          <t>Worst rank</t>
        </is>
      </c>
    </row>
    <row r="25">
      <c r="A25" s="8" t="inlineStr">
        <is>
          <t>F03</t>
        </is>
      </c>
      <c r="B25" s="8" t="inlineStr">
        <is>
          <t>Reliable CSV Import with Validation</t>
        </is>
      </c>
      <c r="C25" s="8" t="n">
        <v>1</v>
      </c>
      <c r="D25" s="8" t="n">
        <v>1</v>
      </c>
      <c r="E25" s="8" t="n">
        <v>1</v>
      </c>
      <c r="F25" s="8" t="n">
        <v>1</v>
      </c>
      <c r="G25" s="8" t="n">
        <v>1</v>
      </c>
      <c r="H25" s="8" t="n">
        <v>1</v>
      </c>
      <c r="I25" s="8" t="n">
        <v>1</v>
      </c>
      <c r="J25" s="8" t="n">
        <v>1</v>
      </c>
      <c r="K25" s="8" t="n">
        <v>1</v>
      </c>
      <c r="L25" s="8" t="n">
        <v>1</v>
      </c>
    </row>
    <row r="26">
      <c r="A26" s="8" t="inlineStr">
        <is>
          <t>F04</t>
        </is>
      </c>
      <c r="B26" s="8" t="inlineStr">
        <is>
          <t>Workflow Run Monitoring &amp; Failure Alerts</t>
        </is>
      </c>
      <c r="C26" s="8" t="n">
        <v>2</v>
      </c>
      <c r="D26" s="8" t="n">
        <v>2</v>
      </c>
      <c r="E26" s="8" t="n">
        <v>2</v>
      </c>
      <c r="F26" s="8" t="n">
        <v>2</v>
      </c>
      <c r="G26" s="8" t="n">
        <v>2</v>
      </c>
      <c r="H26" s="8" t="n">
        <v>2</v>
      </c>
      <c r="I26" s="8" t="n">
        <v>3</v>
      </c>
      <c r="J26" s="8" t="n">
        <v>2</v>
      </c>
      <c r="K26" s="8" t="n">
        <v>2</v>
      </c>
      <c r="L26" s="8" t="n">
        <v>3</v>
      </c>
    </row>
    <row r="27">
      <c r="A27" s="8" t="inlineStr">
        <is>
          <t>F07</t>
        </is>
      </c>
      <c r="B27" s="8" t="inlineStr">
        <is>
          <t>Performance Tuning for Dashboards &amp; Lists</t>
        </is>
      </c>
      <c r="C27" s="8" t="n">
        <v>3</v>
      </c>
      <c r="D27" s="8" t="n">
        <v>3</v>
      </c>
      <c r="E27" s="8" t="n">
        <v>3</v>
      </c>
      <c r="F27" s="8" t="n">
        <v>3</v>
      </c>
      <c r="G27" s="8" t="n">
        <v>5</v>
      </c>
      <c r="H27" s="8" t="n">
        <v>3</v>
      </c>
      <c r="I27" s="8" t="n">
        <v>2</v>
      </c>
      <c r="J27" s="8" t="n">
        <v>3</v>
      </c>
      <c r="K27" s="8" t="n">
        <v>2</v>
      </c>
      <c r="L27" s="8" t="n">
        <v>5</v>
      </c>
    </row>
    <row r="28">
      <c r="A28" s="8" t="inlineStr">
        <is>
          <t>F08</t>
        </is>
      </c>
      <c r="B28" s="8" t="inlineStr">
        <is>
          <t>Email &amp; Calendar Sync Reliability</t>
        </is>
      </c>
      <c r="C28" s="8" t="n">
        <v>4</v>
      </c>
      <c r="D28" s="8" t="n">
        <v>4</v>
      </c>
      <c r="E28" s="8" t="n">
        <v>4</v>
      </c>
      <c r="F28" s="8" t="n">
        <v>4</v>
      </c>
      <c r="G28" s="8" t="n">
        <v>6</v>
      </c>
      <c r="H28" s="8" t="n">
        <v>4</v>
      </c>
      <c r="I28" s="8" t="n">
        <v>4</v>
      </c>
      <c r="J28" s="8" t="n">
        <v>4</v>
      </c>
      <c r="K28" s="8" t="n">
        <v>4</v>
      </c>
      <c r="L28" s="8" t="n">
        <v>6</v>
      </c>
    </row>
    <row r="29">
      <c r="A29" s="8" t="inlineStr">
        <is>
          <t>F09</t>
        </is>
      </c>
      <c r="B29" s="8" t="inlineStr">
        <is>
          <t>API &amp; Webhook Reliability Console</t>
        </is>
      </c>
      <c r="C29" s="8" t="n">
        <v>5</v>
      </c>
      <c r="D29" s="8" t="n">
        <v>5</v>
      </c>
      <c r="E29" s="8" t="n">
        <v>5</v>
      </c>
      <c r="F29" s="8" t="n">
        <v>5</v>
      </c>
      <c r="G29" s="8" t="n">
        <v>3</v>
      </c>
      <c r="H29" s="8" t="n">
        <v>5</v>
      </c>
      <c r="I29" s="8" t="n">
        <v>6</v>
      </c>
      <c r="J29" s="8" t="n">
        <v>6</v>
      </c>
      <c r="K29" s="8" t="n">
        <v>3</v>
      </c>
      <c r="L29" s="8" t="n">
        <v>6</v>
      </c>
    </row>
    <row r="30">
      <c r="A30" s="8" t="inlineStr">
        <is>
          <t>F01</t>
        </is>
      </c>
      <c r="B30" s="8" t="inlineStr">
        <is>
          <t>Duplicate Detection &amp; Bulk Merge</t>
        </is>
      </c>
      <c r="C30" s="8" t="n">
        <v>6</v>
      </c>
      <c r="D30" s="8" t="n">
        <v>6</v>
      </c>
      <c r="E30" s="8" t="n">
        <v>6</v>
      </c>
      <c r="F30" s="8" t="n">
        <v>7</v>
      </c>
      <c r="G30" s="8" t="n">
        <v>4</v>
      </c>
      <c r="H30" s="8" t="n">
        <v>6</v>
      </c>
      <c r="I30" s="8" t="n">
        <v>5</v>
      </c>
      <c r="J30" s="8" t="n">
        <v>5</v>
      </c>
      <c r="K30" s="8" t="n">
        <v>4</v>
      </c>
      <c r="L30" s="8" t="n">
        <v>7</v>
      </c>
    </row>
    <row r="31">
      <c r="A31" s="8" t="inlineStr">
        <is>
          <t>F12</t>
        </is>
      </c>
      <c r="B31" s="8" t="inlineStr">
        <is>
          <t>Bulk Actions &amp; Simplified Navigation</t>
        </is>
      </c>
      <c r="C31" s="8" t="n">
        <v>7</v>
      </c>
      <c r="D31" s="8" t="n">
        <v>7</v>
      </c>
      <c r="E31" s="8" t="n">
        <v>7</v>
      </c>
      <c r="F31" s="8" t="n">
        <v>6</v>
      </c>
      <c r="G31" s="8" t="n">
        <v>8</v>
      </c>
      <c r="H31" s="8" t="n">
        <v>7</v>
      </c>
      <c r="I31" s="8" t="n">
        <v>7</v>
      </c>
      <c r="J31" s="8" t="n">
        <v>8</v>
      </c>
      <c r="K31" s="8" t="n">
        <v>6</v>
      </c>
      <c r="L31" s="8" t="n">
        <v>8</v>
      </c>
    </row>
    <row r="32">
      <c r="A32" s="8" t="inlineStr">
        <is>
          <t>F05</t>
        </is>
      </c>
      <c r="B32" s="8" t="inlineStr">
        <is>
          <t>Guided Workflow Builder &amp; Templates</t>
        </is>
      </c>
      <c r="C32" s="8" t="n">
        <v>8</v>
      </c>
      <c r="D32" s="8" t="n">
        <v>8</v>
      </c>
      <c r="E32" s="8" t="n">
        <v>8</v>
      </c>
      <c r="F32" s="8" t="n">
        <v>8</v>
      </c>
      <c r="G32" s="8" t="n">
        <v>9</v>
      </c>
      <c r="H32" s="8" t="n">
        <v>8</v>
      </c>
      <c r="I32" s="8" t="n">
        <v>8</v>
      </c>
      <c r="J32" s="8" t="n">
        <v>7</v>
      </c>
      <c r="K32" s="8" t="n">
        <v>7</v>
      </c>
      <c r="L32" s="8" t="n">
        <v>9</v>
      </c>
    </row>
    <row r="33">
      <c r="A33" s="8" t="inlineStr">
        <is>
          <t>F06</t>
        </is>
      </c>
      <c r="B33" s="8" t="inlineStr">
        <is>
          <t>Custom &amp; Scheduled Reports with Reliable Export</t>
        </is>
      </c>
      <c r="C33" s="8" t="n">
        <v>9</v>
      </c>
      <c r="D33" s="8" t="n">
        <v>9</v>
      </c>
      <c r="E33" s="8" t="n">
        <v>9</v>
      </c>
      <c r="F33" s="8" t="n">
        <v>9</v>
      </c>
      <c r="G33" s="8" t="n">
        <v>7</v>
      </c>
      <c r="H33" s="8" t="n">
        <v>9</v>
      </c>
      <c r="I33" s="8" t="n">
        <v>9</v>
      </c>
      <c r="J33" s="8" t="n">
        <v>9</v>
      </c>
      <c r="K33" s="8" t="n">
        <v>7</v>
      </c>
      <c r="L33" s="8" t="n">
        <v>9</v>
      </c>
    </row>
    <row r="34">
      <c r="A34" s="8" t="inlineStr">
        <is>
          <t>F02</t>
        </is>
      </c>
      <c r="B34" s="8" t="inlineStr">
        <is>
          <t>Lead Scoring &amp; Smart Routing</t>
        </is>
      </c>
      <c r="C34" s="8" t="n">
        <v>10</v>
      </c>
      <c r="D34" s="8" t="n">
        <v>10</v>
      </c>
      <c r="E34" s="8" t="n">
        <v>10</v>
      </c>
      <c r="F34" s="8" t="n">
        <v>10</v>
      </c>
      <c r="G34" s="8" t="n">
        <v>10</v>
      </c>
      <c r="H34" s="8" t="n">
        <v>10</v>
      </c>
      <c r="I34" s="8" t="n">
        <v>10</v>
      </c>
      <c r="J34" s="8" t="n">
        <v>10</v>
      </c>
      <c r="K34" s="8" t="n">
        <v>10</v>
      </c>
      <c r="L34" s="8" t="n">
        <v>10</v>
      </c>
    </row>
    <row r="35">
      <c r="A35" s="8" t="inlineStr">
        <is>
          <t>F10</t>
        </is>
      </c>
      <c r="B35" s="8" t="inlineStr">
        <is>
          <t>Native Integrations (Accounting, Marketing, Slack)</t>
        </is>
      </c>
      <c r="C35" s="8" t="n">
        <v>11</v>
      </c>
      <c r="D35" s="8" t="n">
        <v>11</v>
      </c>
      <c r="E35" s="8" t="n">
        <v>11</v>
      </c>
      <c r="F35" s="8" t="n">
        <v>11</v>
      </c>
      <c r="G35" s="8" t="n">
        <v>11</v>
      </c>
      <c r="H35" s="8" t="n">
        <v>11</v>
      </c>
      <c r="I35" s="8" t="n">
        <v>11</v>
      </c>
      <c r="J35" s="8" t="n">
        <v>11</v>
      </c>
      <c r="K35" s="8" t="n">
        <v>11</v>
      </c>
      <c r="L35" s="8" t="n">
        <v>11</v>
      </c>
    </row>
    <row r="36">
      <c r="A36" s="8" t="inlineStr">
        <is>
          <t>F11</t>
        </is>
      </c>
      <c r="B36" s="8" t="inlineStr">
        <is>
          <t>Mobile App</t>
        </is>
      </c>
      <c r="C36" s="8" t="n">
        <v>12</v>
      </c>
      <c r="D36" s="8" t="n">
        <v>12</v>
      </c>
      <c r="E36" s="8" t="n">
        <v>12</v>
      </c>
      <c r="F36" s="8" t="n">
        <v>12</v>
      </c>
      <c r="G36" s="8" t="n">
        <v>12</v>
      </c>
      <c r="H36" s="8" t="n">
        <v>12</v>
      </c>
      <c r="I36" s="8" t="n">
        <v>12</v>
      </c>
      <c r="J36" s="8" t="n">
        <v>12</v>
      </c>
      <c r="K36" s="8" t="n">
        <v>12</v>
      </c>
      <c r="L36" s="8" t="n">
        <v>12</v>
      </c>
    </row>
    <row r="39">
      <c r="A39" s="19" t="inlineStr">
        <is>
          <t>Monte Carlo rank stability — 5000 trials, each of R, I, C, E perturbed ±30% (uniform, seed 7)</t>
        </is>
      </c>
    </row>
    <row r="40">
      <c r="A40" s="4" t="inlineStr">
        <is>
          <t>Feature ID</t>
        </is>
      </c>
      <c r="B40" s="4" t="inlineStr">
        <is>
          <t>feature_name</t>
        </is>
      </c>
      <c r="C40" s="4" t="inlineStr">
        <is>
          <t>base_rank</t>
        </is>
      </c>
      <c r="D40" s="4" t="inlineStr">
        <is>
          <t>median_rank</t>
        </is>
      </c>
      <c r="E40" s="4" t="inlineStr">
        <is>
          <t>p10_rank</t>
        </is>
      </c>
      <c r="F40" s="4" t="inlineStr">
        <is>
          <t>p90_rank</t>
        </is>
      </c>
      <c r="G40" s="4" t="inlineStr">
        <is>
          <t>prob_top3_pct</t>
        </is>
      </c>
      <c r="H40" s="4" t="inlineStr">
        <is>
          <t>prob_rank1_pct</t>
        </is>
      </c>
    </row>
    <row r="41">
      <c r="A41" s="8" t="inlineStr">
        <is>
          <t>F03</t>
        </is>
      </c>
      <c r="B41" s="8" t="inlineStr">
        <is>
          <t>Reliable CSV Import with Validation</t>
        </is>
      </c>
      <c r="C41" s="8" t="n">
        <v>1</v>
      </c>
      <c r="D41" s="8" t="n">
        <v>1</v>
      </c>
      <c r="E41" s="8" t="n">
        <v>1</v>
      </c>
      <c r="F41" s="8" t="n">
        <v>3</v>
      </c>
      <c r="G41" s="8" t="n">
        <v>96.09999999999999</v>
      </c>
      <c r="H41" s="8" t="n">
        <v>65.8</v>
      </c>
    </row>
    <row r="42">
      <c r="A42" s="8" t="inlineStr">
        <is>
          <t>F04</t>
        </is>
      </c>
      <c r="B42" s="8" t="inlineStr">
        <is>
          <t>Workflow Run Monitoring &amp; Failure Alerts</t>
        </is>
      </c>
      <c r="C42" s="8" t="n">
        <v>2</v>
      </c>
      <c r="D42" s="8" t="n">
        <v>2</v>
      </c>
      <c r="E42" s="8" t="n">
        <v>1</v>
      </c>
      <c r="F42" s="8" t="n">
        <v>4</v>
      </c>
      <c r="G42" s="8" t="n">
        <v>80.59999999999999</v>
      </c>
      <c r="H42" s="8" t="n">
        <v>22.2</v>
      </c>
    </row>
    <row r="43">
      <c r="A43" s="8" t="inlineStr">
        <is>
          <t>F07</t>
        </is>
      </c>
      <c r="B43" s="8" t="inlineStr">
        <is>
          <t>Performance Tuning for Dashboards &amp; Lists</t>
        </is>
      </c>
      <c r="C43" s="8" t="n">
        <v>3</v>
      </c>
      <c r="D43" s="8" t="n">
        <v>3</v>
      </c>
      <c r="E43" s="8" t="n">
        <v>2</v>
      </c>
      <c r="F43" s="8" t="n">
        <v>6</v>
      </c>
      <c r="G43" s="8" t="n">
        <v>57.6</v>
      </c>
      <c r="H43" s="8" t="n">
        <v>8.1</v>
      </c>
    </row>
    <row r="44">
      <c r="A44" s="8" t="inlineStr">
        <is>
          <t>F08</t>
        </is>
      </c>
      <c r="B44" s="8" t="inlineStr">
        <is>
          <t>Email &amp; Calendar Sync Reliability</t>
        </is>
      </c>
      <c r="C44" s="8" t="n">
        <v>4</v>
      </c>
      <c r="D44" s="8" t="n">
        <v>5</v>
      </c>
      <c r="E44" s="8" t="n">
        <v>2</v>
      </c>
      <c r="F44" s="8" t="n">
        <v>7</v>
      </c>
      <c r="G44" s="8" t="n">
        <v>28.8</v>
      </c>
      <c r="H44" s="8" t="n">
        <v>2.3</v>
      </c>
    </row>
    <row r="45">
      <c r="A45" s="8" t="inlineStr">
        <is>
          <t>F09</t>
        </is>
      </c>
      <c r="B45" s="8" t="inlineStr">
        <is>
          <t>API &amp; Webhook Reliability Console</t>
        </is>
      </c>
      <c r="C45" s="8" t="n">
        <v>5</v>
      </c>
      <c r="D45" s="8" t="n">
        <v>5</v>
      </c>
      <c r="E45" s="8" t="n">
        <v>3</v>
      </c>
      <c r="F45" s="8" t="n">
        <v>8</v>
      </c>
      <c r="G45" s="8" t="n">
        <v>18.6</v>
      </c>
      <c r="H45" s="8" t="n">
        <v>1.1</v>
      </c>
    </row>
    <row r="46">
      <c r="A46" s="8" t="inlineStr">
        <is>
          <t>F01</t>
        </is>
      </c>
      <c r="B46" s="8" t="inlineStr">
        <is>
          <t>Duplicate Detection &amp; Bulk Merge</t>
        </is>
      </c>
      <c r="C46" s="8" t="n">
        <v>6</v>
      </c>
      <c r="D46" s="8" t="n">
        <v>6</v>
      </c>
      <c r="E46" s="8" t="n">
        <v>4</v>
      </c>
      <c r="F46" s="8" t="n">
        <v>8</v>
      </c>
      <c r="G46" s="8" t="n">
        <v>9.6</v>
      </c>
      <c r="H46" s="8" t="n">
        <v>0.4</v>
      </c>
    </row>
    <row r="47">
      <c r="A47" s="8" t="inlineStr">
        <is>
          <t>F12</t>
        </is>
      </c>
      <c r="B47" s="8" t="inlineStr">
        <is>
          <t>Bulk Actions &amp; Simplified Navigation</t>
        </is>
      </c>
      <c r="C47" s="8" t="n">
        <v>7</v>
      </c>
      <c r="D47" s="8" t="n">
        <v>7</v>
      </c>
      <c r="E47" s="8" t="n">
        <v>4</v>
      </c>
      <c r="F47" s="8" t="n">
        <v>8</v>
      </c>
      <c r="G47" s="8" t="n">
        <v>5.3</v>
      </c>
      <c r="H47" s="8" t="n">
        <v>0.1</v>
      </c>
    </row>
    <row r="48">
      <c r="A48" s="8" t="inlineStr">
        <is>
          <t>F05</t>
        </is>
      </c>
      <c r="B48" s="8" t="inlineStr">
        <is>
          <t>Guided Workflow Builder &amp; Templates</t>
        </is>
      </c>
      <c r="C48" s="8" t="n">
        <v>8</v>
      </c>
      <c r="D48" s="8" t="n">
        <v>7</v>
      </c>
      <c r="E48" s="8" t="n">
        <v>5</v>
      </c>
      <c r="F48" s="8" t="n">
        <v>8</v>
      </c>
      <c r="G48" s="8" t="n">
        <v>3.5</v>
      </c>
      <c r="H48" s="8" t="n">
        <v>0</v>
      </c>
    </row>
    <row r="49">
      <c r="A49" s="8" t="inlineStr">
        <is>
          <t>F06</t>
        </is>
      </c>
      <c r="B49" s="8" t="inlineStr">
        <is>
          <t>Custom &amp; Scheduled Reports with Reliable Export</t>
        </is>
      </c>
      <c r="C49" s="8" t="n">
        <v>9</v>
      </c>
      <c r="D49" s="8" t="n">
        <v>9</v>
      </c>
      <c r="E49" s="8" t="n">
        <v>8</v>
      </c>
      <c r="F49" s="8" t="n">
        <v>10</v>
      </c>
      <c r="G49" s="8" t="n">
        <v>0</v>
      </c>
      <c r="H49" s="8" t="n">
        <v>0</v>
      </c>
    </row>
    <row r="50">
      <c r="A50" s="8" t="inlineStr">
        <is>
          <t>F02</t>
        </is>
      </c>
      <c r="B50" s="8" t="inlineStr">
        <is>
          <t>Lead Scoring &amp; Smart Routing</t>
        </is>
      </c>
      <c r="C50" s="8" t="n">
        <v>10</v>
      </c>
      <c r="D50" s="8" t="n">
        <v>10</v>
      </c>
      <c r="E50" s="8" t="n">
        <v>9</v>
      </c>
      <c r="F50" s="8" t="n">
        <v>10</v>
      </c>
      <c r="G50" s="8" t="n">
        <v>0</v>
      </c>
      <c r="H50" s="8" t="n">
        <v>0</v>
      </c>
    </row>
    <row r="51">
      <c r="A51" s="8" t="inlineStr">
        <is>
          <t>F10</t>
        </is>
      </c>
      <c r="B51" s="8" t="inlineStr">
        <is>
          <t>Native Integrations (Accounting, Marketing, Slack)</t>
        </is>
      </c>
      <c r="C51" s="8" t="n">
        <v>11</v>
      </c>
      <c r="D51" s="8" t="n">
        <v>11</v>
      </c>
      <c r="E51" s="8" t="n">
        <v>11</v>
      </c>
      <c r="F51" s="8" t="n">
        <v>12</v>
      </c>
      <c r="G51" s="8" t="n">
        <v>0</v>
      </c>
      <c r="H51" s="8" t="n">
        <v>0</v>
      </c>
    </row>
    <row r="52">
      <c r="A52" s="8" t="inlineStr">
        <is>
          <t>F11</t>
        </is>
      </c>
      <c r="B52" s="8" t="inlineStr">
        <is>
          <t>Mobile App</t>
        </is>
      </c>
      <c r="C52" s="8" t="n">
        <v>12</v>
      </c>
      <c r="D52" s="8" t="n">
        <v>12</v>
      </c>
      <c r="E52" s="8" t="n">
        <v>11</v>
      </c>
      <c r="F52" s="8" t="n">
        <v>12</v>
      </c>
      <c r="G52" s="8" t="n">
        <v>0</v>
      </c>
      <c r="H52" s="8" t="n">
        <v>0</v>
      </c>
    </row>
  </sheetData>
  <autoFilter ref="A8:L20"/>
  <conditionalFormatting sqref="I9:I20">
    <cfRule type="colorScale" priority="1">
      <colorScale>
        <cfvo type="min"/>
        <cfvo type="percentile" val="50"/>
        <cfvo type="max"/>
        <color rgb="00F8D7DA"/>
        <color rgb="00FFF3CD"/>
        <color rgb="00C6E8CF"/>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showGridLines="1" workbookViewId="0">
      <pane ySplit="5" topLeftCell="A6" activePane="bottomLeft" state="frozen"/>
      <selection pane="bottomLeft" activeCell="A1" sqref="A1"/>
    </sheetView>
  </sheetViews>
  <sheetFormatPr baseColWidth="8" defaultRowHeight="15"/>
  <cols>
    <col width="9" customWidth="1" min="1" max="1"/>
    <col width="46" customWidth="1" min="2" max="2"/>
    <col width="34" customWidth="1" min="3" max="3"/>
    <col width="70" customWidth="1" min="4" max="4"/>
    <col width="36" customWidth="1" min="5" max="5"/>
  </cols>
  <sheetData>
    <row r="1">
      <c r="A1" s="1" t="inlineStr">
        <is>
          <t>Product Recommendations</t>
        </is>
      </c>
    </row>
    <row r="2">
      <c r="A2" s="2" t="inlineStr">
        <is>
          <t>SYNTHETIC DATA — all records are randomly generated for a fictional CRM company; no real customers.</t>
        </is>
      </c>
    </row>
    <row r="3">
      <c r="A3" s="3" t="inlineStr">
        <is>
          <t>Hypotheses for the product team, derived from RICE ranks and the feedback analysis; not validated outcomes.</t>
        </is>
      </c>
    </row>
    <row r="5">
      <c r="A5" s="4" t="inlineStr">
        <is>
          <t>Priority</t>
        </is>
      </c>
      <c r="B5" s="4" t="inlineStr">
        <is>
          <t>Feature</t>
        </is>
      </c>
      <c r="C5" s="4" t="inlineStr">
        <is>
          <t>Recommendation</t>
        </is>
      </c>
      <c r="D5" s="4" t="inlineStr">
        <is>
          <t>Why (observed data)</t>
        </is>
      </c>
      <c r="E5" s="4" t="inlineStr">
        <is>
          <t>Open risk / what to validate</t>
        </is>
      </c>
    </row>
    <row r="6">
      <c r="A6" s="13" t="n">
        <v>1</v>
      </c>
      <c r="B6" s="13" t="inlineStr">
        <is>
          <t>F03 Reliable CSV Import with Validation</t>
        </is>
      </c>
      <c r="C6" s="13" t="inlineStr">
        <is>
          <t>Build now (next planning cycle)</t>
        </is>
      </c>
      <c r="D6" s="13" t="inlineStr">
        <is>
          <t>102 records from 86 accounts; 50% High/Critical or blocking; RICE 193.5</t>
        </is>
      </c>
      <c r="E6" s="13" t="inlineStr">
        <is>
          <t>Rank stable across scenarios</t>
        </is>
      </c>
    </row>
    <row r="7">
      <c r="A7" s="13" t="n">
        <v>2</v>
      </c>
      <c r="B7" s="13" t="inlineStr">
        <is>
          <t>F04 Workflow Run Monitoring &amp; Failure Alerts</t>
        </is>
      </c>
      <c r="C7" s="13" t="inlineStr">
        <is>
          <t>Build now (next planning cycle)</t>
        </is>
      </c>
      <c r="D7" s="13" t="inlineStr">
        <is>
          <t>100 records from 78 accounts; 53% High/Critical or blocking; RICE 140.4</t>
        </is>
      </c>
      <c r="E7" s="13" t="inlineStr">
        <is>
          <t>Rank stable across scenarios</t>
        </is>
      </c>
    </row>
    <row r="8">
      <c r="A8" s="13" t="n">
        <v>3</v>
      </c>
      <c r="B8" s="13" t="inlineStr">
        <is>
          <t>F07 Performance Tuning for Dashboards &amp; Lists</t>
        </is>
      </c>
      <c r="C8" s="13" t="inlineStr">
        <is>
          <t>Build now (next planning cycle)</t>
        </is>
      </c>
      <c r="D8" s="13" t="inlineStr">
        <is>
          <t>189 records from 125 accounts; 44% High/Critical or blocking; RICE 112.68</t>
        </is>
      </c>
      <c r="E8" s="13" t="inlineStr">
        <is>
          <t>Rank is sensitive to effort estimate</t>
        </is>
      </c>
    </row>
    <row r="9">
      <c r="A9" s="13" t="n">
        <v>4</v>
      </c>
      <c r="B9" s="13" t="inlineStr">
        <is>
          <t>F08 Email &amp; Calendar Sync Reliability</t>
        </is>
      </c>
      <c r="C9" s="13" t="inlineStr">
        <is>
          <t>Plan next (validate scope)</t>
        </is>
      </c>
      <c r="D9" s="13" t="inlineStr">
        <is>
          <t>88 records from 74 accounts; 50% High/Critical or blocking; RICE 86.33</t>
        </is>
      </c>
      <c r="E9" s="13" t="inlineStr">
        <is>
          <t>Rank stable across scenarios</t>
        </is>
      </c>
    </row>
    <row r="10">
      <c r="A10" s="13" t="n">
        <v>5</v>
      </c>
      <c r="B10" s="13" t="inlineStr">
        <is>
          <t>F09 API &amp; Webhook Reliability Console</t>
        </is>
      </c>
      <c r="C10" s="13" t="inlineStr">
        <is>
          <t>Plan next (validate scope)</t>
        </is>
      </c>
      <c r="D10" s="13" t="inlineStr">
        <is>
          <t>65 records from 55 accounts; 54% High/Critical or blocking; RICE 77.28</t>
        </is>
      </c>
      <c r="E10" s="13" t="inlineStr">
        <is>
          <t>Rank is sensitive to effort estimate</t>
        </is>
      </c>
    </row>
    <row r="11">
      <c r="A11" s="13" t="n">
        <v>6</v>
      </c>
      <c r="B11" s="13" t="inlineStr">
        <is>
          <t>F01 Duplicate Detection &amp; Bulk Merge</t>
        </is>
      </c>
      <c r="C11" s="13" t="inlineStr">
        <is>
          <t>Plan next (validate scope)</t>
        </is>
      </c>
      <c r="D11" s="13" t="inlineStr">
        <is>
          <t>150 records from 118 accounts; 37% High/Critical or blocking; RICE 73.75</t>
        </is>
      </c>
      <c r="E11" s="13" t="inlineStr">
        <is>
          <t>Rank is sensitive to effort estimate</t>
        </is>
      </c>
    </row>
    <row r="12">
      <c r="A12" s="13" t="n">
        <v>7</v>
      </c>
      <c r="B12" s="13" t="inlineStr">
        <is>
          <t>F12 Bulk Actions &amp; Simplified Navigation</t>
        </is>
      </c>
      <c r="C12" s="13" t="inlineStr">
        <is>
          <t>Investigate / discovery first</t>
        </is>
      </c>
      <c r="D12" s="13" t="inlineStr">
        <is>
          <t>100 records from 84 accounts; 26% High/Critical or blocking; RICE 63</t>
        </is>
      </c>
      <c r="E12" s="13" t="inlineStr">
        <is>
          <t>Rank stable across scenarios</t>
        </is>
      </c>
    </row>
    <row r="13">
      <c r="A13" s="13" t="n">
        <v>8</v>
      </c>
      <c r="B13" s="13" t="inlineStr">
        <is>
          <t>F05 Guided Workflow Builder &amp; Templates</t>
        </is>
      </c>
      <c r="C13" s="13" t="inlineStr">
        <is>
          <t>Investigate / discovery first</t>
        </is>
      </c>
      <c r="D13" s="13" t="inlineStr">
        <is>
          <t>166 records from 124 accounts; 27% High/Critical or blocking; RICE 62</t>
        </is>
      </c>
      <c r="E13" s="13" t="inlineStr">
        <is>
          <t>Rank stable across scenarios</t>
        </is>
      </c>
    </row>
    <row r="14">
      <c r="A14" s="13" t="n">
        <v>9</v>
      </c>
      <c r="B14" s="13" t="inlineStr">
        <is>
          <t>F06 Custom &amp; Scheduled Reports with Reliable Export</t>
        </is>
      </c>
      <c r="C14" s="13" t="inlineStr">
        <is>
          <t>Investigate / discovery first</t>
        </is>
      </c>
      <c r="D14" s="13" t="inlineStr">
        <is>
          <t>135 records from 96 accounts; 39% High/Critical or blocking; RICE 32</t>
        </is>
      </c>
      <c r="E14" s="13" t="inlineStr">
        <is>
          <t>Rank stable across scenarios</t>
        </is>
      </c>
    </row>
    <row r="15">
      <c r="A15" s="13" t="n">
        <v>10</v>
      </c>
      <c r="B15" s="13" t="inlineStr">
        <is>
          <t>F02 Lead Scoring &amp; Smart Routing</t>
        </is>
      </c>
      <c r="C15" s="13" t="inlineStr">
        <is>
          <t>Defer; monitor feedback</t>
        </is>
      </c>
      <c r="D15" s="13" t="inlineStr">
        <is>
          <t>114 records from 90 accounts; 23% High/Critical or blocking; RICE 18</t>
        </is>
      </c>
      <c r="E15" s="13" t="inlineStr">
        <is>
          <t>Rank stable across scenarios</t>
        </is>
      </c>
    </row>
    <row r="16">
      <c r="A16" s="13" t="n">
        <v>11</v>
      </c>
      <c r="B16" s="13" t="inlineStr">
        <is>
          <t>F10 Native Integrations (Accounting, Marketing, Slack)</t>
        </is>
      </c>
      <c r="C16" s="13" t="inlineStr">
        <is>
          <t>Defer; monitor feedback</t>
        </is>
      </c>
      <c r="D16" s="13" t="inlineStr">
        <is>
          <t>58 records from 53 accounts; 24% High/Critical or blocking; RICE 5.82</t>
        </is>
      </c>
      <c r="E16" s="13" t="inlineStr">
        <is>
          <t>Rank stable across scenarios</t>
        </is>
      </c>
    </row>
    <row r="17">
      <c r="A17" s="13" t="n">
        <v>12</v>
      </c>
      <c r="B17" s="13" t="inlineStr">
        <is>
          <t>F11 Mobile App</t>
        </is>
      </c>
      <c r="C17" s="13" t="inlineStr">
        <is>
          <t>Defer; monitor feedback</t>
        </is>
      </c>
      <c r="D17" s="13" t="inlineStr">
        <is>
          <t>82 records from 68 accounts; 22% High/Critical or blocking; RICE 4.96</t>
        </is>
      </c>
      <c r="E17" s="13" t="inlineStr">
        <is>
          <t>Rank stable across scenarios</t>
        </is>
      </c>
    </row>
  </sheetData>
  <autoFilter ref="A5:E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2026-10-29T09:40:50Z</dcterms:created>
  <dcterms:modified xsi:type="dcterms:W3CDTF">2026-10-29T09:40:50Z</dcterms:modified>
</cp:coreProperties>
</file>